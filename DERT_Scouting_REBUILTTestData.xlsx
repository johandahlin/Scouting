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D Projects\DERT\QRCodeTest\"/>
    </mc:Choice>
  </mc:AlternateContent>
  <xr:revisionPtr revIDLastSave="0" documentId="13_ncr:1_{67FF8EEC-3C73-46DF-A9F3-870BEA881881}" xr6:coauthVersionLast="47" xr6:coauthVersionMax="47" xr10:uidLastSave="{00000000-0000-0000-0000-000000000000}"/>
  <bookViews>
    <workbookView xWindow="3040" yWindow="3040" windowWidth="19200" windowHeight="11170" activeTab="2" xr2:uid="{22C98769-AA28-4D3C-9C55-FAEF3A66851A}"/>
  </bookViews>
  <sheets>
    <sheet name="Instructions" sheetId="1" r:id="rId1"/>
    <sheet name="Scans" sheetId="2" r:id="rId2"/>
    <sheet name="Team Summary" sheetId="3" r:id="rId3"/>
    <sheet name="Team Look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4" l="1" a="1"/>
  <c r="A6" i="4" s="1"/>
  <c r="A5" i="3" a="1"/>
  <c r="A5" i="3" s="1"/>
  <c r="D5" i="3" l="1" a="1"/>
  <c r="D5" i="3" s="1"/>
  <c r="F5" i="3" a="1"/>
  <c r="C3" i="4" s="1"/>
  <c r="B5" i="3" a="1"/>
  <c r="B5" i="3" s="1"/>
  <c r="C5" i="3" a="1"/>
  <c r="C5" i="3" s="1"/>
  <c r="G5" i="3" a="1"/>
  <c r="G5" i="3" s="1"/>
  <c r="H5" i="3" a="1"/>
  <c r="H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T5" i="3" a="1"/>
  <c r="T5" i="3" s="1"/>
  <c r="E5" i="3" a="1"/>
  <c r="E5" i="3" s="1"/>
  <c r="K5" i="3" a="1"/>
  <c r="K5" i="3" s="1"/>
  <c r="F5" i="3" l="1"/>
  <c r="J5" i="3" a="1"/>
  <c r="R5" i="3" a="1"/>
  <c r="I5" i="3" a="1"/>
  <c r="I5" i="3" s="1"/>
  <c r="R5" i="3" l="1"/>
  <c r="D3" i="4"/>
  <c r="J5" i="3"/>
  <c r="U5" i="3" a="1"/>
  <c r="U5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<sst xmlns="http://schemas.openxmlformats.org/spreadsheetml/2006/main" count="7231" uniqueCount="577">
  <si>
    <t>Match type</t>
  </si>
  <si>
    <t>Match #</t>
  </si>
  <si>
    <t>Team #</t>
  </si>
  <si>
    <t>Alliance</t>
  </si>
  <si>
    <t>Station</t>
  </si>
  <si>
    <t>Scout name</t>
  </si>
  <si>
    <t>Robot on field?</t>
  </si>
  <si>
    <t>Starting position</t>
  </si>
  <si>
    <t>Fuel preloaded</t>
  </si>
  <si>
    <t>Auto fuel scored</t>
  </si>
  <si>
    <t>Auto fuel missed</t>
  </si>
  <si>
    <t>Auto path</t>
  </si>
  <si>
    <t>Picked up fuel from</t>
  </si>
  <si>
    <t>Tower climb in auto</t>
  </si>
  <si>
    <t>Teleop fuel scored</t>
  </si>
  <si>
    <t>Teleop fuel missed</t>
  </si>
  <si>
    <t>Intake from</t>
  </si>
  <si>
    <t>Shoots from</t>
  </si>
  <si>
    <t>Drives over / through</t>
  </si>
  <si>
    <t>Inactive Hub behavior</t>
  </si>
  <si>
    <t>Fuel it can carry</t>
  </si>
  <si>
    <t>Played defense</t>
  </si>
  <si>
    <t>Was defended</t>
  </si>
  <si>
    <t>Tower climb</t>
  </si>
  <si>
    <t>Climb time</t>
  </si>
  <si>
    <t>Driver skill</t>
  </si>
  <si>
    <t>Robot speed</t>
  </si>
  <si>
    <t>Shooting accuracy</t>
  </si>
  <si>
    <t>Problems</t>
  </si>
  <si>
    <t>Minor fouls</t>
  </si>
  <si>
    <t>Major fouls</t>
  </si>
  <si>
    <t>Card</t>
  </si>
  <si>
    <t>Pick?</t>
  </si>
  <si>
    <t>Observations</t>
  </si>
  <si>
    <t>Auto pts</t>
  </si>
  <si>
    <t>Teleop fuel pts</t>
  </si>
  <si>
    <t>Climb pts</t>
  </si>
  <si>
    <t>Total pts</t>
  </si>
  <si>
    <t>Submitted</t>
  </si>
  <si>
    <t>DERT #2040 - REBUILT Team Summary</t>
  </si>
  <si>
    <t>Updates automatically from the Scans sheet. One row per team, sorted by team number. Rank 1 = highest average total points.</t>
  </si>
  <si>
    <t>Matches</t>
  </si>
  <si>
    <t>Avg auto pts</t>
  </si>
  <si>
    <t>Avg teleop fuel</t>
  </si>
  <si>
    <t>Avg climb pts</t>
  </si>
  <si>
    <t>Avg total pts</t>
  </si>
  <si>
    <t>Best total</t>
  </si>
  <si>
    <t>Shot accuracy</t>
  </si>
  <si>
    <t>Auto climb rate</t>
  </si>
  <si>
    <t>Endgame climb rate</t>
  </si>
  <si>
    <t>Level 3 climbs</t>
  </si>
  <si>
    <t>Avg driver skill</t>
  </si>
  <si>
    <t>Defense matches</t>
  </si>
  <si>
    <t>Matches w/ problems</t>
  </si>
  <si>
    <t>Total fouls</t>
  </si>
  <si>
    <t>Pick: Yes votes</t>
  </si>
  <si>
    <t>No-shows</t>
  </si>
  <si>
    <t>Rank</t>
  </si>
  <si>
    <t>PICK LIST - sorted by average total points</t>
  </si>
  <si>
    <t>DERT #2040 - Team Lookup</t>
  </si>
  <si>
    <t>Type a team number in the yellow cell to see every scan of that team (including observations).</t>
  </si>
  <si>
    <t>Team #:</t>
  </si>
  <si>
    <t>DERT #2040 - REBUILT Scouting Workbook</t>
  </si>
  <si>
    <t>Import data from the DERT Scout web app (index.html) by scanning its QR codes.</t>
  </si>
  <si>
    <t>ONE-TIME SETUP (each laptop)</t>
  </si>
  <si>
    <t>Turn OFF Excel AutoComplete: File &gt; Options &gt; Advanced &gt; uncheck 'Enable AutoComplete for cell values'.</t>
  </si>
  <si>
    <t xml:space="preserve">   Otherwise Excel may 'finish' a scanned value for you (e.g. 'Depot' becomes 'Depot; Outpost') and the data will be wrong.</t>
  </si>
  <si>
    <t>Use a USB/Bluetooth QR scanner in keyboard mode (most scanners default to this). Set its keyboard language to match Windows.</t>
  </si>
  <si>
    <t>Test: open Notepad and scan a code - you should see values separated by tabs and the cursor should jump to a new line at the end.</t>
  </si>
  <si>
    <t>IMPORTING MATCHES</t>
  </si>
  <si>
    <t>Go to the Scans sheet and click the first EMPTY cell in column A (Match type).</t>
  </si>
  <si>
    <t>Scan the student's QR code. The whole match fills one row and the cursor moves to the next row automatically.</t>
  </si>
  <si>
    <t>Repeat for every QR code. Keep scanning - the table grows by itself.</t>
  </si>
  <si>
    <t>Made a mistake? Delete the whole row (right-click row number &gt; Delete) and scan again.</t>
  </si>
  <si>
    <t>SHEETS</t>
  </si>
  <si>
    <t>-</t>
  </si>
  <si>
    <t>Scans - raw data, one row per robot per match. Do not change the column headers or their order.</t>
  </si>
  <si>
    <t>Team Summary - averages per team (updates automatically). Pick list on the right is sorted by average total points.</t>
  </si>
  <si>
    <t>Team Lookup - type a team number in the yellow cell to see every match and all observations for that team.</t>
  </si>
  <si>
    <t>LEGEND</t>
  </si>
  <si>
    <t>Teal header = column names (must match the web app).   Yellow cell = type here.   Everything else is calculated or scanned - don't edit.</t>
  </si>
  <si>
    <t>Points: fuel in active Hub = 1 pt. Tower Level 1 = 15 pts in auto / 10 pts in teleop, Level 2 = 20, Level 3 = 30 (2026 REBUILT Game Manual, Table 6-4).</t>
  </si>
  <si>
    <t>Ratings (Driver skill, Robot speed, Shooting accuracy) are 1 = poor to 5 = great. Multi-choice answers are separated by '; '.</t>
  </si>
  <si>
    <t>Requires Microsoft 365 / Excel 2021 or newer (uses UNIQUE, SORTBY, FILTER, HSTACK).</t>
  </si>
  <si>
    <t>IF YOU CHANGE THE WEB FORM</t>
  </si>
  <si>
    <t>Adding, removing or re-ordering fields in index.html changes the QR columns. Update the Scans headers to match</t>
  </si>
  <si>
    <t xml:space="preserve">   (the web app's QR screen has an 'Excel column headers' section you can copy), and check the Team Summary formulas.</t>
  </si>
  <si>
    <t>EXAMPLE ROW (what one scanned match looks like)</t>
  </si>
  <si>
    <t>Match type:  Qual</t>
  </si>
  <si>
    <t>Match #:  12</t>
  </si>
  <si>
    <t>Team #:  2040</t>
  </si>
  <si>
    <t>Alliance:  Blue</t>
  </si>
  <si>
    <t>Station:  2</t>
  </si>
  <si>
    <t>Scout name:  Alex</t>
  </si>
  <si>
    <t>Robot on field?:  Yes</t>
  </si>
  <si>
    <t>Starting position:  Center</t>
  </si>
  <si>
    <t>Fuel preloaded:  8</t>
  </si>
  <si>
    <t>Auto fuel scored:  8</t>
  </si>
  <si>
    <t>Auto fuel missed:  2</t>
  </si>
  <si>
    <t>Auto path:  Left start line; Went to Neutral Zone</t>
  </si>
  <si>
    <t>Picked up fuel from:  Depot</t>
  </si>
  <si>
    <t>Tower climb in auto:  Level 1</t>
  </si>
  <si>
    <t>Teleop fuel scored:  47</t>
  </si>
  <si>
    <t>Teleop fuel missed:  9</t>
  </si>
  <si>
    <t>Intake from:  Neutral Zone floor; Depot</t>
  </si>
  <si>
    <t>Shoots from:  Close to Hub; Mid range</t>
  </si>
  <si>
    <t>Drives over / through:  Bump</t>
  </si>
  <si>
    <t>Inactive Hub behavior:  Collects / stockpiles</t>
  </si>
  <si>
    <t>Fuel it can carry:  26–40</t>
  </si>
  <si>
    <t>Played defense:  None</t>
  </si>
  <si>
    <t>Was defended:  Some</t>
  </si>
  <si>
    <t>Tower climb:  Level 3</t>
  </si>
  <si>
    <t>Climb time:  5–10 s</t>
  </si>
  <si>
    <t>Driver skill:  4</t>
  </si>
  <si>
    <t>Robot speed:  4</t>
  </si>
  <si>
    <t>Shooting accuracy:  4</t>
  </si>
  <si>
    <t xml:space="preserve">Problems:  </t>
  </si>
  <si>
    <t>Minor fouls:  0</t>
  </si>
  <si>
    <t>Major fouls:  0</t>
  </si>
  <si>
    <t>Card:  None</t>
  </si>
  <si>
    <t>Pick?:  Yes</t>
  </si>
  <si>
    <t>Observations:  Fast shooter, very consistent climb</t>
  </si>
  <si>
    <t>Auto pts:  23</t>
  </si>
  <si>
    <t>Teleop fuel pts:  47</t>
  </si>
  <si>
    <t>Climb pts:  30</t>
  </si>
  <si>
    <t>Total pts:  100</t>
  </si>
  <si>
    <t>Submitted:  10/6/2026, 3:45:12 PM</t>
  </si>
  <si>
    <t>Qual</t>
  </si>
  <si>
    <t>Red</t>
  </si>
  <si>
    <t>Ava</t>
  </si>
  <si>
    <t>Yes</t>
  </si>
  <si>
    <t>Right</t>
  </si>
  <si>
    <t>Left start line</t>
  </si>
  <si>
    <t>None</t>
  </si>
  <si>
    <t>Outpost / Human Player; Depot</t>
  </si>
  <si>
    <t>Close to Hub</t>
  </si>
  <si>
    <t>Plays defense</t>
  </si>
  <si>
    <t>1–10</t>
  </si>
  <si>
    <t>A lot</t>
  </si>
  <si>
    <t>No</t>
  </si>
  <si>
    <t>Maybe</t>
  </si>
  <si>
    <t>Struggled to score; aggressive defender</t>
  </si>
  <si>
    <t>3/20/2026, 9:04:39 AM</t>
  </si>
  <si>
    <t>Ben</t>
  </si>
  <si>
    <t>Left</t>
  </si>
  <si>
    <t>Neutral Zone floor; Alliance Zone floor; Depot</t>
  </si>
  <si>
    <t>Close to Hub; Mid range; Long range; While moving</t>
  </si>
  <si>
    <t>Bump; Trench</t>
  </si>
  <si>
    <t>Collects / stockpiles; Passes fuel to our zone</t>
  </si>
  <si>
    <t>40+</t>
  </si>
  <si>
    <t>Shoots well from long range; fed fuel to partners during inactive shift</t>
  </si>
  <si>
    <t>3/20/2026, 9:03:43 AM</t>
  </si>
  <si>
    <t>Chloe</t>
  </si>
  <si>
    <t>Center</t>
  </si>
  <si>
    <t>Neutral Zone floor; Outpost / Human Player</t>
  </si>
  <si>
    <t>Close to Hub; Mid range</t>
  </si>
  <si>
    <t>Trench</t>
  </si>
  <si>
    <t>Collects / stockpiles</t>
  </si>
  <si>
    <t>26–40</t>
  </si>
  <si>
    <t>Stuck on Bump</t>
  </si>
  <si>
    <t>3/20/2026, 9:04:52 AM</t>
  </si>
  <si>
    <t>Blue</t>
  </si>
  <si>
    <t>Dev</t>
  </si>
  <si>
    <t>3/20/2026, 9:04:06 AM</t>
  </si>
  <si>
    <t>Ella</t>
  </si>
  <si>
    <t>Left start line; Went to Neutral Zone; Used Trench</t>
  </si>
  <si>
    <t>Neutral Zone</t>
  </si>
  <si>
    <t>Consistent cycles; shoots well from long range</t>
  </si>
  <si>
    <t>3/20/2026, 9:04:04 AM</t>
  </si>
  <si>
    <t>Finn</t>
  </si>
  <si>
    <t>Some</t>
  </si>
  <si>
    <t>Consistent cycles; fed fuel to partners during inactive shift</t>
  </si>
  <si>
    <t>3/20/2026, 9:04:51 AM</t>
  </si>
  <si>
    <t>3/20/2026, 9:13:08 AM</t>
  </si>
  <si>
    <t>Left start line; Went to Neutral Zone; Crossed Bump</t>
  </si>
  <si>
    <t>Consistent cycles</t>
  </si>
  <si>
    <t>3/20/2026, 9:13:18 AM</t>
  </si>
  <si>
    <t>3/20/2026, 9:11:57 AM</t>
  </si>
  <si>
    <t>Bump</t>
  </si>
  <si>
    <t>3/20/2026, 9:12:06 AM</t>
  </si>
  <si>
    <t>Depot</t>
  </si>
  <si>
    <t>Heavily</t>
  </si>
  <si>
    <t>Died / disabled</t>
  </si>
  <si>
    <t>Robot stopped moving mid-match</t>
  </si>
  <si>
    <t>3/20/2026, 9:12:10 AM</t>
  </si>
  <si>
    <t>Struggled to score</t>
  </si>
  <si>
    <t>3/20/2026, 9:20:35 AM</t>
  </si>
  <si>
    <t>11–25</t>
  </si>
  <si>
    <t>3/20/2026, 9:21:02 AM</t>
  </si>
  <si>
    <t>3/20/2026, 9:20:29 AM</t>
  </si>
  <si>
    <t>3/20/2026, 9:20:00 AM</t>
  </si>
  <si>
    <t>Idle</t>
  </si>
  <si>
    <t>3/20/2026, 9:21:06 AM</t>
  </si>
  <si>
    <t>3/20/2026, 9:28:54 AM</t>
  </si>
  <si>
    <t>3/20/2026, 9:29:11 AM</t>
  </si>
  <si>
    <t>Level 1</t>
  </si>
  <si>
    <t>5–10 s</t>
  </si>
  <si>
    <t>Climbed L1 cleanly</t>
  </si>
  <si>
    <t>3/20/2026, 9:29:08 AM</t>
  </si>
  <si>
    <t>3/20/2026, 9:29:17 AM</t>
  </si>
  <si>
    <t>3/20/2026, 9:29:18 AM</t>
  </si>
  <si>
    <t>Aggressive defender</t>
  </si>
  <si>
    <t>3/20/2026, 9:28:15 AM</t>
  </si>
  <si>
    <t>Shoots anyway</t>
  </si>
  <si>
    <t>3/20/2026, 9:36:08 AM</t>
  </si>
  <si>
    <t>3/20/2026, 9:37:07 AM</t>
  </si>
  <si>
    <t>3/20/2026, 9:36:21 AM</t>
  </si>
  <si>
    <t>3/20/2026, 9:36:11 AM</t>
  </si>
  <si>
    <t>3/20/2026, 9:35:54 AM</t>
  </si>
  <si>
    <t>3/20/2026, 9:36:14 AM</t>
  </si>
  <si>
    <t>3/20/2026, 9:44:44 AM</t>
  </si>
  <si>
    <t>3/20/2026, 9:43:29 AM</t>
  </si>
  <si>
    <t>3/20/2026, 9:43:38 AM</t>
  </si>
  <si>
    <t>Struggled to score; climbed L1 cleanly; aggressive defender</t>
  </si>
  <si>
    <t>3/20/2026, 9:44:24 AM</t>
  </si>
  <si>
    <t>Fed fuel to partners during inactive shift</t>
  </si>
  <si>
    <t>3/20/2026, 9:44:41 AM</t>
  </si>
  <si>
    <t>3/20/2026, 9:43:33 AM</t>
  </si>
  <si>
    <t>High-volume scorer; shoots well from long range</t>
  </si>
  <si>
    <t>3/20/2026, 9:51:28 AM</t>
  </si>
  <si>
    <t>High-volume scorer; fed fuel to partners during inactive shift</t>
  </si>
  <si>
    <t>3/20/2026, 9:51:23 AM</t>
  </si>
  <si>
    <t>3/20/2026, 9:52:13 AM</t>
  </si>
  <si>
    <t>3/20/2026, 9:52:30 AM</t>
  </si>
  <si>
    <t>3/20/2026, 9:52:27 AM</t>
  </si>
  <si>
    <t>3/20/2026, 9:52:38 AM</t>
  </si>
  <si>
    <t>3/20/2026, 9:59:34 AM</t>
  </si>
  <si>
    <t>High-volume scorer; shoots well from long range; fed fuel to partners during inactive shift</t>
  </si>
  <si>
    <t>3/20/2026, 10:00:34 AM</t>
  </si>
  <si>
    <t>3/20/2026, 10:01:17 AM</t>
  </si>
  <si>
    <t>3/20/2026, 10:01:19 AM</t>
  </si>
  <si>
    <t>3/20/2026, 10:01:01 AM</t>
  </si>
  <si>
    <t>3/20/2026, 10:01:00 AM</t>
  </si>
  <si>
    <t>Broke mechanism</t>
  </si>
  <si>
    <t>3/20/2026, 10:08:06 AM</t>
  </si>
  <si>
    <t>3/20/2026, 10:08:55 AM</t>
  </si>
  <si>
    <t>3/20/2026, 10:09:11 AM</t>
  </si>
  <si>
    <t>3/20/2026, 10:09:18 AM</t>
  </si>
  <si>
    <t>3/20/2026, 10:09:12 AM</t>
  </si>
  <si>
    <t>3/20/2026, 10:08:11 AM</t>
  </si>
  <si>
    <t>3/20/2026, 10:16:20 AM</t>
  </si>
  <si>
    <t>3/20/2026, 10:16:17 AM</t>
  </si>
  <si>
    <t>3/20/2026, 10:16:43 AM</t>
  </si>
  <si>
    <t>3/20/2026, 10:17:18 AM</t>
  </si>
  <si>
    <t>Climbed L1 cleanly; fed fuel to partners during inactive shift</t>
  </si>
  <si>
    <t>3/20/2026, 10:16:00 AM</t>
  </si>
  <si>
    <t>3/20/2026, 10:17:03 AM</t>
  </si>
  <si>
    <t>3/20/2026, 10:25:07 AM</t>
  </si>
  <si>
    <t>3/20/2026, 10:23:47 AM</t>
  </si>
  <si>
    <t>3/20/2026, 10:24:37 AM</t>
  </si>
  <si>
    <t>3/20/2026, 10:23:51 AM</t>
  </si>
  <si>
    <t>3/20/2026, 10:24:27 AM</t>
  </si>
  <si>
    <t>3/20/2026, 10:25:11 AM</t>
  </si>
  <si>
    <t>3/20/2026, 10:33:15 AM</t>
  </si>
  <si>
    <t>Consistent cycles; shoots well from long range; fed fuel to partners during inactive shift</t>
  </si>
  <si>
    <t>3/20/2026, 10:32:05 AM</t>
  </si>
  <si>
    <t>3/20/2026, 10:32:50 AM</t>
  </si>
  <si>
    <t>3/20/2026, 10:32:17 AM</t>
  </si>
  <si>
    <t>Lost comms</t>
  </si>
  <si>
    <t>3/20/2026, 10:32:12 AM</t>
  </si>
  <si>
    <t>3/20/2026, 10:39:45 AM</t>
  </si>
  <si>
    <t>3/20/2026, 10:40:50 AM</t>
  </si>
  <si>
    <t>3/20/2026, 10:39:40 AM</t>
  </si>
  <si>
    <t>3/20/2026, 10:40:03 AM</t>
  </si>
  <si>
    <t>3/20/2026, 10:39:39 AM</t>
  </si>
  <si>
    <t>3/20/2026, 10:39:21 AM</t>
  </si>
  <si>
    <t>3/20/2026, 10:47:20 AM</t>
  </si>
  <si>
    <t>3/20/2026, 10:47:52 AM</t>
  </si>
  <si>
    <t>3/20/2026, 10:48:44 AM</t>
  </si>
  <si>
    <t>3/20/2026, 10:48:47 AM</t>
  </si>
  <si>
    <t>3/20/2026, 10:48:42 AM</t>
  </si>
  <si>
    <t>3/20/2026, 10:49:02 AM</t>
  </si>
  <si>
    <t>Fuel jam</t>
  </si>
  <si>
    <t>3/20/2026, 10:56:28 AM</t>
  </si>
  <si>
    <t>3/20/2026, 10:57:07 AM</t>
  </si>
  <si>
    <t>3/20/2026, 10:57:14 AM</t>
  </si>
  <si>
    <t>3/20/2026, 10:55:32 AM</t>
  </si>
  <si>
    <t>Shoots well from long range</t>
  </si>
  <si>
    <t>3/20/2026, 10:56:44 AM</t>
  </si>
  <si>
    <t>3/20/2026, 10:57:11 AM</t>
  </si>
  <si>
    <t>3/20/2026, 11:04:05 AM</t>
  </si>
  <si>
    <t>3/20/2026, 11:04:13 AM</t>
  </si>
  <si>
    <t>3/20/2026, 11:03:20 AM</t>
  </si>
  <si>
    <t>3/20/2026, 11:03:39 AM</t>
  </si>
  <si>
    <t>3/20/2026, 11:04:12 AM</t>
  </si>
  <si>
    <t>3/20/2026, 11:03:49 AM</t>
  </si>
  <si>
    <t>3/20/2026, 11:12:54 AM</t>
  </si>
  <si>
    <t>3/20/2026, 11:12:24 AM</t>
  </si>
  <si>
    <t>3/20/2026, 11:11:40 AM</t>
  </si>
  <si>
    <t>3/20/2026, 11:11:56 AM</t>
  </si>
  <si>
    <t>3/20/2026, 11:11:21 AM</t>
  </si>
  <si>
    <t>3/20/2026, 11:12:11 AM</t>
  </si>
  <si>
    <t>Robot stopped moving mid-match; fed fuel to partners during inactive shift</t>
  </si>
  <si>
    <t>3/20/2026, 11:19:38 AM</t>
  </si>
  <si>
    <t>3/20/2026, 11:19:21 AM</t>
  </si>
  <si>
    <t>3/20/2026, 11:21:09 AM</t>
  </si>
  <si>
    <t>3/20/2026, 11:20:27 AM</t>
  </si>
  <si>
    <t>3/20/2026, 11:19:42 AM</t>
  </si>
  <si>
    <t>3/20/2026, 11:20:13 AM</t>
  </si>
  <si>
    <t>3/20/2026, 11:27:30 AM</t>
  </si>
  <si>
    <t>3/20/2026, 11:28:53 AM</t>
  </si>
  <si>
    <t>3/20/2026, 11:28:47 AM</t>
  </si>
  <si>
    <t>3/20/2026, 11:27:45 AM</t>
  </si>
  <si>
    <t>3/20/2026, 11:28:55 AM</t>
  </si>
  <si>
    <t>3/20/2026, 11:27:33 AM</t>
  </si>
  <si>
    <t>3/20/2026, 11:36:04 AM</t>
  </si>
  <si>
    <t>3/20/2026, 11:35:50 AM</t>
  </si>
  <si>
    <t>3/20/2026, 11:36:49 AM</t>
  </si>
  <si>
    <t>3/20/2026, 11:35:35 AM</t>
  </si>
  <si>
    <t>3/20/2026, 11:37:01 AM</t>
  </si>
  <si>
    <t>3/20/2026, 11:35:49 AM</t>
  </si>
  <si>
    <t>3/20/2026, 11:43:32 AM</t>
  </si>
  <si>
    <t>3/20/2026, 11:43:50 AM</t>
  </si>
  <si>
    <t>3/20/2026, 11:44:11 AM</t>
  </si>
  <si>
    <t>3/20/2026, 11:43:44 AM</t>
  </si>
  <si>
    <t>3/20/2026, 11:44:32 AM</t>
  </si>
  <si>
    <t>3/20/2026, 11:43:40 AM</t>
  </si>
  <si>
    <t>3/20/2026, 11:53:07 AM</t>
  </si>
  <si>
    <t>3/20/2026, 11:52:46 AM</t>
  </si>
  <si>
    <t>High-volume scorer</t>
  </si>
  <si>
    <t>3/20/2026, 11:51:46 AM</t>
  </si>
  <si>
    <t>3/20/2026, 11:52:24 AM</t>
  </si>
  <si>
    <t>3/20/2026, 11:51:28 AM</t>
  </si>
  <si>
    <t>10–20 s</t>
  </si>
  <si>
    <t>Struggled to score; climbed L1 cleanly</t>
  </si>
  <si>
    <t>3/20/2026, 11:52:48 AM</t>
  </si>
  <si>
    <t>3/20/2026, 1:00:47 PM</t>
  </si>
  <si>
    <t>3/20/2026, 1:00:04 PM</t>
  </si>
  <si>
    <t>3/20/2026, 12:59:54 PM</t>
  </si>
  <si>
    <t>3/20/2026, 1:00:06 PM</t>
  </si>
  <si>
    <t>3/20/2026, 12:59:21 PM</t>
  </si>
  <si>
    <t>3/20/2026, 1:01:09 PM</t>
  </si>
  <si>
    <t>3/20/2026, 1:08:44 PM</t>
  </si>
  <si>
    <t>3/20/2026, 1:08:41 PM</t>
  </si>
  <si>
    <t>3/20/2026, 1:07:28 PM</t>
  </si>
  <si>
    <t>3/20/2026, 1:09:19 PM</t>
  </si>
  <si>
    <t>3/20/2026, 1:07:32 PM</t>
  </si>
  <si>
    <t>3/20/2026, 1:08:51 PM</t>
  </si>
  <si>
    <t>3/20/2026, 1:16:15 PM</t>
  </si>
  <si>
    <t>3/20/2026, 1:16:40 PM</t>
  </si>
  <si>
    <t>Shoots well from long range; robot stopped moving mid-match</t>
  </si>
  <si>
    <t>3/20/2026, 1:15:46 PM</t>
  </si>
  <si>
    <t>3/20/2026, 1:15:26 PM</t>
  </si>
  <si>
    <t>3/20/2026, 1:17:16 PM</t>
  </si>
  <si>
    <t>3/20/2026, 1:24:42 PM</t>
  </si>
  <si>
    <t>3/20/2026, 1:24:34 PM</t>
  </si>
  <si>
    <t>3/20/2026, 1:23:52 PM</t>
  </si>
  <si>
    <t>3/20/2026, 1:25:17 PM</t>
  </si>
  <si>
    <t>3/20/2026, 1:23:50 PM</t>
  </si>
  <si>
    <t>3/20/2026, 1:24:16 PM</t>
  </si>
  <si>
    <t>3/20/2026, 1:31:30 PM</t>
  </si>
  <si>
    <t>3/20/2026, 1:32:29 PM</t>
  </si>
  <si>
    <t>3/20/2026, 1:31:52 PM</t>
  </si>
  <si>
    <t>3/20/2026, 1:31:40 PM</t>
  </si>
  <si>
    <t>3/20/2026, 1:33:13 PM</t>
  </si>
  <si>
    <t>3/20/2026, 1:31:49 PM</t>
  </si>
  <si>
    <t>3/20/2026, 1:40:00 PM</t>
  </si>
  <si>
    <t>3/20/2026, 1:39:46 PM</t>
  </si>
  <si>
    <t>3/20/2026, 1:39:55 PM</t>
  </si>
  <si>
    <t>3/20/2026, 1:40:33 PM</t>
  </si>
  <si>
    <t>3/20/2026, 1:39:40 PM</t>
  </si>
  <si>
    <t>Attempted</t>
  </si>
  <si>
    <t>Over 20 s</t>
  </si>
  <si>
    <t>Struggled to score; climb attempt failed</t>
  </si>
  <si>
    <t>3/20/2026, 1:40:04 PM</t>
  </si>
  <si>
    <t>3/20/2026, 1:47:53 PM</t>
  </si>
  <si>
    <t>3/20/2026, 1:48:44 PM</t>
  </si>
  <si>
    <t>3/20/2026, 1:48:06 PM</t>
  </si>
  <si>
    <t>3/20/2026, 1:48:01 PM</t>
  </si>
  <si>
    <t>3/20/2026, 1:47:21 PM</t>
  </si>
  <si>
    <t>3/20/2026, 1:47:20 PM</t>
  </si>
  <si>
    <t>3/20/2026, 1:56:14 PM</t>
  </si>
  <si>
    <t>3/20/2026, 1:55:42 PM</t>
  </si>
  <si>
    <t>3/20/2026, 1:56:09 PM</t>
  </si>
  <si>
    <t>3/20/2026, 1:57:18 PM</t>
  </si>
  <si>
    <t>3/20/2026, 1:55:51 PM</t>
  </si>
  <si>
    <t>3/20/2026, 1:56:20 PM</t>
  </si>
  <si>
    <t>3/20/2026, 2:04:17 PM</t>
  </si>
  <si>
    <t>3/20/2026, 2:03:28 PM</t>
  </si>
  <si>
    <t>3/20/2026, 2:04:05 PM</t>
  </si>
  <si>
    <t>3/20/2026, 2:03:21 PM</t>
  </si>
  <si>
    <t>3/20/2026, 2:03:58 PM</t>
  </si>
  <si>
    <t>3/20/2026, 2:04:33 PM</t>
  </si>
  <si>
    <t>Grace</t>
  </si>
  <si>
    <t>3/20/2026, 2:11:55 PM</t>
  </si>
  <si>
    <t>Henry</t>
  </si>
  <si>
    <t>3/20/2026, 2:11:45 PM</t>
  </si>
  <si>
    <t>Isla</t>
  </si>
  <si>
    <t>3/20/2026, 2:13:06 PM</t>
  </si>
  <si>
    <t>Jack</t>
  </si>
  <si>
    <t>3/20/2026, 2:13:13 PM</t>
  </si>
  <si>
    <t>Kai</t>
  </si>
  <si>
    <t>Lily</t>
  </si>
  <si>
    <t>3/20/2026, 2:12:41 PM</t>
  </si>
  <si>
    <t>3/20/2026, 2:19:39 PM</t>
  </si>
  <si>
    <t>3/20/2026, 2:20:45 PM</t>
  </si>
  <si>
    <t>3/20/2026, 2:20:58 PM</t>
  </si>
  <si>
    <t>3/20/2026, 2:20:42 PM</t>
  </si>
  <si>
    <t>3/20/2026, 2:20:48 PM</t>
  </si>
  <si>
    <t>3/20/2026, 2:21:01 PM</t>
  </si>
  <si>
    <t>3/20/2026, 2:27:37 PM</t>
  </si>
  <si>
    <t>3/20/2026, 2:27:44 PM</t>
  </si>
  <si>
    <t>3/20/2026, 2:27:46 PM</t>
  </si>
  <si>
    <t>3/20/2026, 2:27:25 PM</t>
  </si>
  <si>
    <t>3/20/2026, 2:28:52 PM</t>
  </si>
  <si>
    <t>3/20/2026, 2:36:15 PM</t>
  </si>
  <si>
    <t>3/20/2026, 2:35:21 PM</t>
  </si>
  <si>
    <t>Consistent cycles; climbed L1 cleanly</t>
  </si>
  <si>
    <t>3/20/2026, 2:36:46 PM</t>
  </si>
  <si>
    <t>3/20/2026, 2:36:36 PM</t>
  </si>
  <si>
    <t>3/20/2026, 2:36:03 PM</t>
  </si>
  <si>
    <t>3/20/2026, 2:36:30 PM</t>
  </si>
  <si>
    <t>3/20/2026, 2:45:03 PM</t>
  </si>
  <si>
    <t>3/20/2026, 2:43:43 PM</t>
  </si>
  <si>
    <t>3/20/2026, 2:44:11 PM</t>
  </si>
  <si>
    <t>3/20/2026, 2:45:12 PM</t>
  </si>
  <si>
    <t>3/20/2026, 2:43:38 PM</t>
  </si>
  <si>
    <t>3/20/2026, 2:43:41 PM</t>
  </si>
  <si>
    <t>3/20/2026, 2:51:55 PM</t>
  </si>
  <si>
    <t>3/20/2026, 2:53:02 PM</t>
  </si>
  <si>
    <t>3/20/2026, 2:51:45 PM</t>
  </si>
  <si>
    <t>3/20/2026, 2:53:11 PM</t>
  </si>
  <si>
    <t>3/20/2026, 2:51:57 PM</t>
  </si>
  <si>
    <t>3/20/2026, 2:52:55 PM</t>
  </si>
  <si>
    <t>3/20/2026, 3:01:13 PM</t>
  </si>
  <si>
    <t>3/20/2026, 3:00:48 PM</t>
  </si>
  <si>
    <t>3/20/2026, 3:00:18 PM</t>
  </si>
  <si>
    <t>3/20/2026, 2:59:35 PM</t>
  </si>
  <si>
    <t>Consistent cycles; shoots well from long range; robot stopped moving mid-match</t>
  </si>
  <si>
    <t>3/20/2026, 3:00:35 PM</t>
  </si>
  <si>
    <t>3/20/2026, 3:00:41 PM</t>
  </si>
  <si>
    <t>3/20/2026, 3:09:18 PM</t>
  </si>
  <si>
    <t>3/20/2026, 3:09:07 PM</t>
  </si>
  <si>
    <t>3/20/2026, 3:07:36 PM</t>
  </si>
  <si>
    <t>3/20/2026, 3:08:54 PM</t>
  </si>
  <si>
    <t>3/20/2026, 3:07:46 PM</t>
  </si>
  <si>
    <t>3/20/2026, 3:08:04 PM</t>
  </si>
  <si>
    <t>3/20/2026, 3:15:28 PM</t>
  </si>
  <si>
    <t>3/20/2026, 3:15:20 PM</t>
  </si>
  <si>
    <t>3/20/2026, 3:16:20 PM</t>
  </si>
  <si>
    <t>Climb attempt failed</t>
  </si>
  <si>
    <t>3/20/2026, 3:15:31 PM</t>
  </si>
  <si>
    <t>3/20/2026, 3:16:52 PM</t>
  </si>
  <si>
    <t>3/20/2026, 3:16:23 PM</t>
  </si>
  <si>
    <t>3/21/2026, 9:03:41 AM</t>
  </si>
  <si>
    <t>3/21/2026, 9:03:56 AM</t>
  </si>
  <si>
    <t>3/21/2026, 9:04:25 AM</t>
  </si>
  <si>
    <t>3/21/2026, 9:03:40 AM</t>
  </si>
  <si>
    <t>3/21/2026, 9:04:49 AM</t>
  </si>
  <si>
    <t>3/21/2026, 9:03:21 AM</t>
  </si>
  <si>
    <t>3/21/2026, 9:13:11 AM</t>
  </si>
  <si>
    <t>3/21/2026, 9:11:57 AM</t>
  </si>
  <si>
    <t>3/21/2026, 9:13:06 AM</t>
  </si>
  <si>
    <t>3/21/2026, 9:11:24 AM</t>
  </si>
  <si>
    <t>3/21/2026, 9:12:26 AM</t>
  </si>
  <si>
    <t>3/21/2026, 9:12:22 AM</t>
  </si>
  <si>
    <t>3/21/2026, 9:19:48 AM</t>
  </si>
  <si>
    <t>3/21/2026, 9:19:27 AM</t>
  </si>
  <si>
    <t>3/21/2026, 9:20:25 AM</t>
  </si>
  <si>
    <t>3/21/2026, 9:21:07 AM</t>
  </si>
  <si>
    <t>3/21/2026, 9:19:56 AM</t>
  </si>
  <si>
    <t>3/21/2026, 9:19:44 AM</t>
  </si>
  <si>
    <t>3/21/2026, 9:27:27 AM</t>
  </si>
  <si>
    <t>3/21/2026, 9:27:22 AM</t>
  </si>
  <si>
    <t>3/21/2026, 9:28:56 AM</t>
  </si>
  <si>
    <t>3/21/2026, 9:28:22 AM</t>
  </si>
  <si>
    <t>3/21/2026, 9:27:32 AM</t>
  </si>
  <si>
    <t>3/21/2026, 9:28:41 AM</t>
  </si>
  <si>
    <t>3/21/2026, 9:36:34 AM</t>
  </si>
  <si>
    <t>3/21/2026, 9:36:05 AM</t>
  </si>
  <si>
    <t>3/21/2026, 9:36:50 AM</t>
  </si>
  <si>
    <t>3/21/2026, 9:37:14 AM</t>
  </si>
  <si>
    <t>3/21/2026, 9:36:41 AM</t>
  </si>
  <si>
    <t>3/21/2026, 9:36:52 AM</t>
  </si>
  <si>
    <t>3/21/2026, 9:43:25 AM</t>
  </si>
  <si>
    <t>3/21/2026, 9:43:30 AM</t>
  </si>
  <si>
    <t>3/21/2026, 9:43:33 AM</t>
  </si>
  <si>
    <t>3/21/2026, 9:43:28 AM</t>
  </si>
  <si>
    <t>3/21/2026, 9:44:09 AM</t>
  </si>
  <si>
    <t>3/21/2026, 9:43:59 AM</t>
  </si>
  <si>
    <t>3/21/2026, 9:53:17 AM</t>
  </si>
  <si>
    <t>Consistent cycles; climbed L1 cleanly; fed fuel to partners during inactive shift</t>
  </si>
  <si>
    <t>3/21/2026, 9:52:54 AM</t>
  </si>
  <si>
    <t>3/21/2026, 9:52:39 AM</t>
  </si>
  <si>
    <t>3/21/2026, 9:52:38 AM</t>
  </si>
  <si>
    <t>3/21/2026, 9:52:51 AM</t>
  </si>
  <si>
    <t>3/21/2026, 9:51:46 AM</t>
  </si>
  <si>
    <t>3/21/2026, 10:00:45 AM</t>
  </si>
  <si>
    <t>3/21/2026, 10:00:50 AM</t>
  </si>
  <si>
    <t>3/21/2026, 10:00:40 AM</t>
  </si>
  <si>
    <t>3/21/2026, 10:01:05 AM</t>
  </si>
  <si>
    <t>3/21/2026, 10:01:11 AM</t>
  </si>
  <si>
    <t>3/21/2026, 10:01:10 AM</t>
  </si>
  <si>
    <t>3/21/2026, 10:08:43 AM</t>
  </si>
  <si>
    <t>3/21/2026, 10:09:15 AM</t>
  </si>
  <si>
    <t>3/21/2026, 10:08:29 AM</t>
  </si>
  <si>
    <t>3/21/2026, 10:08:23 AM</t>
  </si>
  <si>
    <t>3/21/2026, 10:07:39 AM</t>
  </si>
  <si>
    <t>3/21/2026, 10:08:57 AM</t>
  </si>
  <si>
    <t>3/21/2026, 10:16:06 AM</t>
  </si>
  <si>
    <t>3/21/2026, 10:15:47 AM</t>
  </si>
  <si>
    <t>3/21/2026, 10:17:14 AM</t>
  </si>
  <si>
    <t>3/21/2026, 10:16:43 AM</t>
  </si>
  <si>
    <t>3/21/2026, 10:16:09 AM</t>
  </si>
  <si>
    <t>3/21/2026, 10:16:15 AM</t>
  </si>
  <si>
    <t>3/21/2026, 10:24:27 AM</t>
  </si>
  <si>
    <t>3/21/2026, 10:23:46 AM</t>
  </si>
  <si>
    <t>3/21/2026, 10:23:40 AM</t>
  </si>
  <si>
    <t>3/21/2026, 10:23:47 AM</t>
  </si>
  <si>
    <t>3/21/2026, 10:23:24 AM</t>
  </si>
  <si>
    <t>3/21/2026, 10:25:12 AM</t>
  </si>
  <si>
    <t>3/21/2026, 10:31:33 AM</t>
  </si>
  <si>
    <t>3/21/2026, 10:32:30 AM</t>
  </si>
  <si>
    <t>3/21/2026, 10:33:13 AM</t>
  </si>
  <si>
    <t>3/21/2026, 10:31:44 AM</t>
  </si>
  <si>
    <t>3/21/2026, 10:31:26 AM</t>
  </si>
  <si>
    <t>3/21/2026, 10:31:29 AM</t>
  </si>
  <si>
    <t>3/21/2026, 10:39:36 AM</t>
  </si>
  <si>
    <t>3/21/2026, 10:41:08 AM</t>
  </si>
  <si>
    <t>3/21/2026, 10:39:37 AM</t>
  </si>
  <si>
    <t>3/21/2026, 10:40:45 AM</t>
  </si>
  <si>
    <t>3/21/2026, 10:40:24 AM</t>
  </si>
  <si>
    <t>3/21/2026, 10:40:38 AM</t>
  </si>
  <si>
    <t>3/21/2026, 10:47:27 AM</t>
  </si>
  <si>
    <t>3/21/2026, 10:48:56 AM</t>
  </si>
  <si>
    <t>3/21/2026, 10:48:06 AM</t>
  </si>
  <si>
    <t>3/21/2026, 10:48:13 AM</t>
  </si>
  <si>
    <t>3/21/2026, 10:47:40 AM</t>
  </si>
  <si>
    <t>3/21/2026, 10:48:35 AM</t>
  </si>
  <si>
    <t>3/21/2026, 10:57:12 AM</t>
  </si>
  <si>
    <t>3/21/2026, 10:56:56 AM</t>
  </si>
  <si>
    <t>3/21/2026, 10:57:19 AM</t>
  </si>
  <si>
    <t>3/21/2026, 10:56:47 AM</t>
  </si>
  <si>
    <t>3/21/2026, 10:56:09 AM</t>
  </si>
  <si>
    <t>3/21/2026, 11:04:27 AM</t>
  </si>
  <si>
    <t>3/21/2026, 11:04:11 AM</t>
  </si>
  <si>
    <t>3/21/2026, 11:04:07 AM</t>
  </si>
  <si>
    <t>3/21/2026, 11:05:19 AM</t>
  </si>
  <si>
    <t>3/21/2026, 11:04:42 AM</t>
  </si>
  <si>
    <t>3/21/2026, 11:05:00 AM</t>
  </si>
  <si>
    <t>3/21/2026, 11:12:58 AM</t>
  </si>
  <si>
    <t>3/21/2026, 11:11:52 AM</t>
  </si>
  <si>
    <t>3/21/2026, 11:13:11 AM</t>
  </si>
  <si>
    <t>3/21/2026, 11:11:21 AM</t>
  </si>
  <si>
    <t>3/21/2026, 11:12:48 AM</t>
  </si>
  <si>
    <t>3/21/2026, 11:12:05 AM</t>
  </si>
  <si>
    <t>3/21/2026, 11:21:08 AM</t>
  </si>
  <si>
    <t>3/21/2026, 11:20:24 AM</t>
  </si>
  <si>
    <t>3/21/2026, 11:20:46 AM</t>
  </si>
  <si>
    <t>3/21/2026, 11:20:48 AM</t>
  </si>
  <si>
    <t>3/21/2026, 11:20:04 AM</t>
  </si>
  <si>
    <t>3/21/2026, 11:19:43 AM</t>
  </si>
  <si>
    <t>3/21/2026, 11:27:35 AM</t>
  </si>
  <si>
    <t>Struggled to score; climb attempt failed; aggressive defender</t>
  </si>
  <si>
    <t>3/21/2026, 11:28:08 AM</t>
  </si>
  <si>
    <t>3/21/2026, 11:28:31 AM</t>
  </si>
  <si>
    <t>3/21/2026, 11:27:23 AM</t>
  </si>
  <si>
    <t>3/21/2026, 11:27:29 AM</t>
  </si>
  <si>
    <t>3/21/2026, 11:28:51 AM</t>
  </si>
  <si>
    <t>3/21/2026, 11:36:22 AM</t>
  </si>
  <si>
    <t>3/21/2026, 11:36:37 AM</t>
  </si>
  <si>
    <t>3/21/2026, 11:37:04 AM</t>
  </si>
  <si>
    <t>3/21/2026, 11:36:47 AM</t>
  </si>
  <si>
    <t>3/21/2026, 11:36:35 AM</t>
  </si>
  <si>
    <t>3/21/2026, 11:45:17 AM</t>
  </si>
  <si>
    <t>3/21/2026, 11:44:39 AM</t>
  </si>
  <si>
    <t>3/21/2026, 11:44:20 AM</t>
  </si>
  <si>
    <t>3/21/2026, 11:44:41 AM</t>
  </si>
  <si>
    <t>Robot stopped moving mid-match; aggressive defender</t>
  </si>
  <si>
    <t>3/21/2026, 11:43:43 AM</t>
  </si>
  <si>
    <t>3/21/2026, 11:44:46 AM</t>
  </si>
  <si>
    <t>3/21/2026, 11:53:01 AM</t>
  </si>
  <si>
    <t>3/21/2026, 11:52:49 AM</t>
  </si>
  <si>
    <t>3/21/2026, 11:51:58 AM</t>
  </si>
  <si>
    <t>3/21/2026, 11:52:21 AM</t>
  </si>
  <si>
    <t>3/21/2026, 11:52:15 AM</t>
  </si>
  <si>
    <t>3/21/2026, 11:52:13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</si>
</sst>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Avg total: &quot;0.0"/>
  </numFmts>
  <fonts count="7" x14ac:knownFonts="1">
    <font>
      <sz val="10"/>
      <color theme="1"/>
      <name val="Arial"/>
      <family val="2"/>
    </font>
    <font>
      <b/>
      <sz val="10"/>
      <color rgb="FF1C1C1C"/>
      <name val="Arial"/>
      <family val="2"/>
    </font>
    <font>
      <b/>
      <sz val="10"/>
      <color theme="1"/>
      <name val="Arial"/>
      <family val="2"/>
    </font>
    <font>
      <b/>
      <sz val="16"/>
      <color rgb="FFF9F9F9"/>
      <name val="Arial"/>
      <family val="2"/>
    </font>
    <font>
      <b/>
      <sz val="14"/>
      <color theme="1"/>
      <name val="Arial"/>
      <family val="2"/>
    </font>
    <font>
      <b/>
      <sz val="12"/>
      <color rgb="FF0E8F8B"/>
      <name val="Arial"/>
      <family val="2"/>
    </font>
    <font>
      <sz val="10"/>
      <color rgb="FF5A5A5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2B4A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FFF2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vertical="center" wrapText="1"/>
    </xf>
    <xf numFmtId="0" fontId="2" fillId="3" borderId="0" xfId="0" applyFont="1" applyFill="1"/>
    <xf numFmtId="0" fontId="0" fillId="4" borderId="0" xfId="0" applyFill="1"/>
    <xf numFmtId="0" fontId="3" fillId="4" borderId="0" xfId="0" applyFont="1" applyFill="1"/>
    <xf numFmtId="0" fontId="1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4" fillId="5" borderId="1" xfId="0" applyFont="1" applyFill="1" applyBorder="1"/>
    <xf numFmtId="165" fontId="0" fillId="0" borderId="0" xfId="0" applyNumberFormat="1"/>
    <xf numFmtId="0" fontId="5" fillId="0" borderId="0" xfId="0" applyFont="1"/>
    <xf numFmtId="0" fontId="6" fillId="0" borderId="0" xfId="0" applyFont="1"/>
  </cellXfs>
  <cellStyles count="1">
    <cellStyle name="Normal" xfId="0" builtinId="0" customBuiltin="1"/>
  </cellStyles>
  <dxfs count="5"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</font>
      <fill>
        <patternFill>
          <fgColor indexed="64"/>
          <bgColor rgb="FFF9F9F9"/>
        </patternFill>
      </fill>
    </dxf>
    <dxf>
      <font>
        <b/>
        <color rgb="FF1C1C1C"/>
      </font>
      <fill>
        <patternFill patternType="solid">
          <fgColor indexed="64"/>
          <bgColor rgb="FF12B4AF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4EB9A2-751B-49CA-A808-5C35DD6ACFC6}" name="Scans" displayName="Scans" ref="A1:AM373" totalsRowShown="0" headerRowDxfId="4">
  <autoFilter ref="A1:AM373" xr:uid="{434EB9A2-751B-49CA-A808-5C35DD6ACFC6}"/>
  <tableColumns count="39">
    <tableColumn id="1" xr3:uid="{0C09BACE-88C4-4F6D-9A14-F6BAD29583B6}" name="Match type"/>
    <tableColumn id="2" xr3:uid="{D3BEE4B7-9BD1-4657-AD49-D214AA2D0239}" name="Match #"/>
    <tableColumn id="3" xr3:uid="{DE4F3FE4-6557-4CAE-890D-BBDDA3289B4D}" name="Team #"/>
    <tableColumn id="4" xr3:uid="{846F38D0-0488-4BEB-92EF-A5751D75E21B}" name="Alliance"/>
    <tableColumn id="5" xr3:uid="{839A7DC6-B5F1-41D4-B63F-CB8E529907D7}" name="Station"/>
    <tableColumn id="6" xr3:uid="{F56EC7A0-DA20-4AFA-A37E-5D359A88464F}" name="Scout name"/>
    <tableColumn id="7" xr3:uid="{31253C93-6EFE-42B6-B1AB-FAA93AA6FC8E}" name="Robot on field?"/>
    <tableColumn id="8" xr3:uid="{F2C6CB14-7520-40D7-9633-B2676B137679}" name="Starting position"/>
    <tableColumn id="9" xr3:uid="{2FED543A-E69A-43DF-9789-18EDF347A750}" name="Fuel preloaded"/>
    <tableColumn id="10" xr3:uid="{A59B2E7B-60B9-4EE1-9BEC-CE850468CCF7}" name="Auto fuel scored"/>
    <tableColumn id="11" xr3:uid="{0559686A-DFA3-465B-8E86-40B66ED113DB}" name="Auto fuel missed"/>
    <tableColumn id="12" xr3:uid="{D1004C55-CA52-4290-B502-39C5437668BF}" name="Auto path"/>
    <tableColumn id="13" xr3:uid="{DAA04B2B-629E-435A-B25B-120F45E5DA1C}" name="Picked up fuel from"/>
    <tableColumn id="14" xr3:uid="{24E5E5C9-7DC3-452A-9AFE-C2266937BB7B}" name="Tower climb in auto"/>
    <tableColumn id="15" xr3:uid="{829037BE-82CA-43C2-AB90-63CA5D011A11}" name="Teleop fuel scored"/>
    <tableColumn id="16" xr3:uid="{1C93E913-9121-455D-8148-A9D8F0C24241}" name="Teleop fuel missed"/>
    <tableColumn id="17" xr3:uid="{02C6E0D0-EA4C-4CD9-A8F9-EC69334575FA}" name="Intake from"/>
    <tableColumn id="18" xr3:uid="{933BE325-87DF-46C1-AEB6-0B7B5B217A56}" name="Shoots from"/>
    <tableColumn id="19" xr3:uid="{B8A9F833-3F35-4314-9B8F-0FA42AA7BD95}" name="Drives over / through"/>
    <tableColumn id="20" xr3:uid="{D5A0CFE2-D6ED-45B4-A2BE-52887E888635}" name="Inactive Hub behavior"/>
    <tableColumn id="21" xr3:uid="{1E8CA0DE-01A8-4C5E-A7C2-510D0C253D55}" name="Fuel it can carry"/>
    <tableColumn id="22" xr3:uid="{A47DE0DA-46A5-4BDC-B95A-EE9167B21CE0}" name="Played defense"/>
    <tableColumn id="23" xr3:uid="{C30D06F4-AEF4-4949-AC7B-B98A4BF0843B}" name="Was defended"/>
    <tableColumn id="24" xr3:uid="{3B093ECD-186D-4667-898F-8D65DB4FA487}" name="Tower climb"/>
    <tableColumn id="25" xr3:uid="{A6AFC528-421B-4717-9E53-D9B3DF570A1D}" name="Climb time"/>
    <tableColumn id="26" xr3:uid="{01350470-19B4-4AEF-8CA4-581611FE6A43}" name="Driver skill"/>
    <tableColumn id="27" xr3:uid="{71F0DFA4-B358-40E7-9207-3D58EBC79E63}" name="Robot speed"/>
    <tableColumn id="28" xr3:uid="{3ED4F6D3-4C72-42ED-B840-257319034089}" name="Shooting accuracy"/>
    <tableColumn id="29" xr3:uid="{F882D7F3-DCCA-47BD-9291-9B5904A1A882}" name="Problems"/>
    <tableColumn id="30" xr3:uid="{076FE577-99CF-4067-8F86-9295ADA4C37E}" name="Minor fouls"/>
    <tableColumn id="31" xr3:uid="{380F157F-B441-48C1-98F7-7297022DBCD5}" name="Major fouls"/>
    <tableColumn id="32" xr3:uid="{A3425F11-D755-400E-A8B3-02D09CFF6E75}" name="Card"/>
    <tableColumn id="33" xr3:uid="{D0643373-ED2A-4A16-9DB5-B4EF866DB248}" name="Pick?"/>
    <tableColumn id="34" xr3:uid="{E0CB741D-2B61-4487-A882-AB7B6FAEB8CB}" name="Observations"/>
    <tableColumn id="35" xr3:uid="{9775960A-2F1A-4A44-B568-34629D34970A}" name="Auto pts" dataDxfId="3"/>
    <tableColumn id="36" xr3:uid="{F7A0FA6F-0FBF-4D97-8848-FAF52CA97FD0}" name="Teleop fuel pts" dataDxfId="2"/>
    <tableColumn id="37" xr3:uid="{A514E2E6-FCBD-4518-905F-6B34BC86043E}" name="Climb pts" dataDxfId="1"/>
    <tableColumn id="38" xr3:uid="{36B3D2B0-A685-44CD-81D8-80D3DE2430C2}" name="Total pts" dataDxfId="0"/>
    <tableColumn id="39" xr3:uid="{09994039-F07C-460F-AA59-4EB8F521EC82}" name="Submit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F1927-1439-4FD9-B08B-4053E97C7086}">
  <dimension ref="A1:J71"/>
  <sheetViews>
    <sheetView workbookViewId="0"/>
  </sheetViews>
  <sheetFormatPr defaultRowHeight="12.5" x14ac:dyDescent="0.25"/>
  <cols>
    <col min="1" max="1" width="4.6328125" customWidth="1"/>
    <col min="2" max="2" width="110.6328125" customWidth="1"/>
  </cols>
  <sheetData>
    <row r="1" spans="1:10" ht="28" customHeight="1" x14ac:dyDescent="0.4">
      <c r="A1" s="6" t="s">
        <v>62</v>
      </c>
      <c r="B1" s="5"/>
      <c r="C1" s="5"/>
      <c r="D1" s="5"/>
      <c r="E1" s="5"/>
      <c r="F1" s="5"/>
      <c r="G1" s="5"/>
      <c r="H1" s="5"/>
      <c r="I1" s="5"/>
      <c r="J1" s="5"/>
    </row>
    <row r="2" spans="1:10" ht="13" x14ac:dyDescent="0.3">
      <c r="A2" s="2" t="s">
        <v>63</v>
      </c>
      <c r="B2" s="1"/>
      <c r="C2" s="1"/>
      <c r="D2" s="1"/>
      <c r="E2" s="1"/>
      <c r="F2" s="1"/>
      <c r="G2" s="1"/>
      <c r="H2" s="1"/>
      <c r="I2" s="1"/>
      <c r="J2" s="1"/>
    </row>
    <row r="5" spans="1:10" ht="15.5" x14ac:dyDescent="0.35">
      <c r="A5" s="18" t="s">
        <v>64</v>
      </c>
    </row>
    <row r="6" spans="1:10" x14ac:dyDescent="0.25">
      <c r="A6" s="13">
        <v>1</v>
      </c>
      <c r="B6" t="s">
        <v>65</v>
      </c>
    </row>
    <row r="7" spans="1:10" x14ac:dyDescent="0.25">
      <c r="A7" s="13"/>
      <c r="B7" t="s">
        <v>66</v>
      </c>
    </row>
    <row r="8" spans="1:10" x14ac:dyDescent="0.25">
      <c r="A8" s="13">
        <v>2</v>
      </c>
      <c r="B8" t="s">
        <v>67</v>
      </c>
    </row>
    <row r="9" spans="1:10" x14ac:dyDescent="0.25">
      <c r="A9" s="13">
        <v>3</v>
      </c>
      <c r="B9" t="s">
        <v>68</v>
      </c>
    </row>
    <row r="11" spans="1:10" ht="15.5" x14ac:dyDescent="0.35">
      <c r="A11" s="18" t="s">
        <v>69</v>
      </c>
    </row>
    <row r="12" spans="1:10" x14ac:dyDescent="0.25">
      <c r="A12" s="13">
        <v>1</v>
      </c>
      <c r="B12" t="s">
        <v>70</v>
      </c>
    </row>
    <row r="13" spans="1:10" x14ac:dyDescent="0.25">
      <c r="A13" s="13">
        <v>2</v>
      </c>
      <c r="B13" t="s">
        <v>71</v>
      </c>
    </row>
    <row r="14" spans="1:10" x14ac:dyDescent="0.25">
      <c r="A14" s="13">
        <v>3</v>
      </c>
      <c r="B14" t="s">
        <v>72</v>
      </c>
    </row>
    <row r="15" spans="1:10" x14ac:dyDescent="0.25">
      <c r="A15" s="13">
        <v>4</v>
      </c>
      <c r="B15" t="s">
        <v>73</v>
      </c>
    </row>
    <row r="17" spans="1:2" ht="15.5" x14ac:dyDescent="0.35">
      <c r="A17" s="18" t="s">
        <v>74</v>
      </c>
    </row>
    <row r="18" spans="1:2" x14ac:dyDescent="0.25">
      <c r="A18" s="13" t="s">
        <v>75</v>
      </c>
      <c r="B18" t="s">
        <v>76</v>
      </c>
    </row>
    <row r="19" spans="1:2" x14ac:dyDescent="0.25">
      <c r="A19" s="13" t="s">
        <v>75</v>
      </c>
      <c r="B19" t="s">
        <v>77</v>
      </c>
    </row>
    <row r="20" spans="1:2" x14ac:dyDescent="0.25">
      <c r="A20" s="13" t="s">
        <v>75</v>
      </c>
      <c r="B20" t="s">
        <v>78</v>
      </c>
    </row>
    <row r="22" spans="1:2" ht="15.5" x14ac:dyDescent="0.35">
      <c r="A22" s="18" t="s">
        <v>79</v>
      </c>
    </row>
    <row r="23" spans="1:2" x14ac:dyDescent="0.25">
      <c r="A23" s="13" t="s">
        <v>75</v>
      </c>
      <c r="B23" t="s">
        <v>80</v>
      </c>
    </row>
    <row r="24" spans="1:2" x14ac:dyDescent="0.25">
      <c r="A24" s="13" t="s">
        <v>75</v>
      </c>
      <c r="B24" t="s">
        <v>81</v>
      </c>
    </row>
    <row r="25" spans="1:2" x14ac:dyDescent="0.25">
      <c r="A25" s="13" t="s">
        <v>75</v>
      </c>
      <c r="B25" t="s">
        <v>82</v>
      </c>
    </row>
    <row r="26" spans="1:2" x14ac:dyDescent="0.25">
      <c r="A26" s="13" t="s">
        <v>75</v>
      </c>
      <c r="B26" t="s">
        <v>83</v>
      </c>
    </row>
    <row r="28" spans="1:2" ht="15.5" x14ac:dyDescent="0.35">
      <c r="A28" s="18" t="s">
        <v>84</v>
      </c>
    </row>
    <row r="29" spans="1:2" x14ac:dyDescent="0.25">
      <c r="A29" s="13" t="s">
        <v>75</v>
      </c>
      <c r="B29" t="s">
        <v>85</v>
      </c>
    </row>
    <row r="30" spans="1:2" x14ac:dyDescent="0.25">
      <c r="A30" s="13"/>
      <c r="B30" t="s">
        <v>86</v>
      </c>
    </row>
    <row r="32" spans="1:2" ht="15.5" x14ac:dyDescent="0.35">
      <c r="A32" s="18" t="s">
        <v>87</v>
      </c>
    </row>
    <row r="33" spans="2:2" x14ac:dyDescent="0.25">
      <c r="B33" s="19" t="s">
        <v>88</v>
      </c>
    </row>
    <row r="34" spans="2:2" x14ac:dyDescent="0.25">
      <c r="B34" s="19" t="s">
        <v>89</v>
      </c>
    </row>
    <row r="35" spans="2:2" x14ac:dyDescent="0.25">
      <c r="B35" s="19" t="s">
        <v>90</v>
      </c>
    </row>
    <row r="36" spans="2:2" x14ac:dyDescent="0.25">
      <c r="B36" s="19" t="s">
        <v>91</v>
      </c>
    </row>
    <row r="37" spans="2:2" x14ac:dyDescent="0.25">
      <c r="B37" s="19" t="s">
        <v>92</v>
      </c>
    </row>
    <row r="38" spans="2:2" x14ac:dyDescent="0.25">
      <c r="B38" s="19" t="s">
        <v>93</v>
      </c>
    </row>
    <row r="39" spans="2:2" x14ac:dyDescent="0.25">
      <c r="B39" s="19" t="s">
        <v>94</v>
      </c>
    </row>
    <row r="40" spans="2:2" x14ac:dyDescent="0.25">
      <c r="B40" s="19" t="s">
        <v>95</v>
      </c>
    </row>
    <row r="41" spans="2:2" x14ac:dyDescent="0.25">
      <c r="B41" s="19" t="s">
        <v>96</v>
      </c>
    </row>
    <row r="42" spans="2:2" x14ac:dyDescent="0.25">
      <c r="B42" s="19" t="s">
        <v>97</v>
      </c>
    </row>
    <row r="43" spans="2:2" x14ac:dyDescent="0.25">
      <c r="B43" s="19" t="s">
        <v>98</v>
      </c>
    </row>
    <row r="44" spans="2:2" x14ac:dyDescent="0.25">
      <c r="B44" s="19" t="s">
        <v>99</v>
      </c>
    </row>
    <row r="45" spans="2:2" x14ac:dyDescent="0.25">
      <c r="B45" s="19" t="s">
        <v>100</v>
      </c>
    </row>
    <row r="46" spans="2:2" x14ac:dyDescent="0.25">
      <c r="B46" s="19" t="s">
        <v>101</v>
      </c>
    </row>
    <row r="47" spans="2:2" x14ac:dyDescent="0.25">
      <c r="B47" s="19" t="s">
        <v>102</v>
      </c>
    </row>
    <row r="48" spans="2:2" x14ac:dyDescent="0.25">
      <c r="B48" s="19" t="s">
        <v>103</v>
      </c>
    </row>
    <row r="49" spans="2:2" x14ac:dyDescent="0.25">
      <c r="B49" s="19" t="s">
        <v>104</v>
      </c>
    </row>
    <row r="50" spans="2:2" x14ac:dyDescent="0.25">
      <c r="B50" s="19" t="s">
        <v>105</v>
      </c>
    </row>
    <row r="51" spans="2:2" x14ac:dyDescent="0.25">
      <c r="B51" s="19" t="s">
        <v>106</v>
      </c>
    </row>
    <row r="52" spans="2:2" x14ac:dyDescent="0.25">
      <c r="B52" s="19" t="s">
        <v>107</v>
      </c>
    </row>
    <row r="53" spans="2:2" x14ac:dyDescent="0.25">
      <c r="B53" s="19" t="s">
        <v>108</v>
      </c>
    </row>
    <row r="54" spans="2:2" x14ac:dyDescent="0.25">
      <c r="B54" s="19" t="s">
        <v>109</v>
      </c>
    </row>
    <row r="55" spans="2:2" x14ac:dyDescent="0.25">
      <c r="B55" s="19" t="s">
        <v>110</v>
      </c>
    </row>
    <row r="56" spans="2:2" x14ac:dyDescent="0.25">
      <c r="B56" s="19" t="s">
        <v>111</v>
      </c>
    </row>
    <row r="57" spans="2:2" x14ac:dyDescent="0.25">
      <c r="B57" s="19" t="s">
        <v>112</v>
      </c>
    </row>
    <row r="58" spans="2:2" x14ac:dyDescent="0.25">
      <c r="B58" s="19" t="s">
        <v>113</v>
      </c>
    </row>
    <row r="59" spans="2:2" x14ac:dyDescent="0.25">
      <c r="B59" s="19" t="s">
        <v>114</v>
      </c>
    </row>
    <row r="60" spans="2:2" x14ac:dyDescent="0.25">
      <c r="B60" s="19" t="s">
        <v>115</v>
      </c>
    </row>
    <row r="61" spans="2:2" x14ac:dyDescent="0.25">
      <c r="B61" s="19" t="s">
        <v>116</v>
      </c>
    </row>
    <row r="62" spans="2:2" x14ac:dyDescent="0.25">
      <c r="B62" s="19" t="s">
        <v>117</v>
      </c>
    </row>
    <row r="63" spans="2:2" x14ac:dyDescent="0.25">
      <c r="B63" s="19" t="s">
        <v>118</v>
      </c>
    </row>
    <row r="64" spans="2:2" x14ac:dyDescent="0.25">
      <c r="B64" s="19" t="s">
        <v>119</v>
      </c>
    </row>
    <row r="65" spans="2:2" x14ac:dyDescent="0.25">
      <c r="B65" s="19" t="s">
        <v>120</v>
      </c>
    </row>
    <row r="66" spans="2:2" x14ac:dyDescent="0.25">
      <c r="B66" s="19" t="s">
        <v>121</v>
      </c>
    </row>
    <row r="67" spans="2:2" x14ac:dyDescent="0.25">
      <c r="B67" s="19" t="s">
        <v>122</v>
      </c>
    </row>
    <row r="68" spans="2:2" x14ac:dyDescent="0.25">
      <c r="B68" s="19" t="s">
        <v>123</v>
      </c>
    </row>
    <row r="69" spans="2:2" x14ac:dyDescent="0.25">
      <c r="B69" s="19" t="s">
        <v>124</v>
      </c>
    </row>
    <row r="70" spans="2:2" x14ac:dyDescent="0.25">
      <c r="B70" s="19" t="s">
        <v>125</v>
      </c>
    </row>
    <row r="71" spans="2:2" x14ac:dyDescent="0.25">
      <c r="B71" s="19" t="s">
        <v>126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43D0D-A533-4842-9301-948849D0A4B4}">
  <dimension ref="A1:AM373"/>
  <sheetViews>
    <sheetView workbookViewId="0">
      <pane xSplit="3" ySplit="1" topLeftCell="D2" activePane="bottomRight" state="frozenSplit"/>
      <selection pane="topRight" activeCell="D1" sqref="D1"/>
      <selection pane="bottomLeft" activeCell="A2" sqref="A2"/>
      <selection pane="bottomRight" activeCell="A2" sqref="A2"/>
    </sheetView>
  </sheetViews>
  <sheetFormatPr defaultRowHeight="13" x14ac:dyDescent="0.3"/>
  <cols>
    <col min="1" max="5" width="10.6328125" customWidth="1"/>
    <col min="6" max="6" width="14.6328125" customWidth="1"/>
    <col min="7" max="7" width="10.6328125" customWidth="1"/>
    <col min="8" max="8" width="11.6328125" customWidth="1"/>
    <col min="9" max="11" width="10.6328125" customWidth="1"/>
    <col min="12" max="12" width="30.6328125" customWidth="1"/>
    <col min="13" max="13" width="22.6328125" customWidth="1"/>
    <col min="14" max="16" width="10.6328125" customWidth="1"/>
    <col min="17" max="17" width="30.6328125" customWidth="1"/>
    <col min="18" max="18" width="26.6328125" customWidth="1"/>
    <col min="19" max="19" width="14.6328125" customWidth="1"/>
    <col min="20" max="20" width="30.6328125" customWidth="1"/>
    <col min="21" max="28" width="10.6328125" customWidth="1"/>
    <col min="29" max="29" width="24.6328125" customWidth="1"/>
    <col min="30" max="33" width="10.6328125" customWidth="1"/>
    <col min="34" max="34" width="50.6328125" customWidth="1"/>
    <col min="35" max="38" width="10.6328125" style="4" customWidth="1"/>
    <col min="39" max="39" width="20.6328125" customWidth="1"/>
  </cols>
  <sheetData>
    <row r="1" spans="1:39" ht="42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</row>
    <row r="2" spans="1:39" x14ac:dyDescent="0.3">
      <c r="A2" t="s">
        <v>127</v>
      </c>
      <c r="B2">
        <v>1</v>
      </c>
      <c r="C2">
        <v>2039</v>
      </c>
      <c r="D2" t="s">
        <v>128</v>
      </c>
      <c r="E2">
        <v>1</v>
      </c>
      <c r="F2" t="s">
        <v>129</v>
      </c>
      <c r="G2" t="s">
        <v>130</v>
      </c>
      <c r="H2" t="s">
        <v>131</v>
      </c>
      <c r="I2">
        <v>8</v>
      </c>
      <c r="J2">
        <v>1</v>
      </c>
      <c r="K2">
        <v>1</v>
      </c>
      <c r="L2" t="s">
        <v>132</v>
      </c>
      <c r="N2" t="s">
        <v>133</v>
      </c>
      <c r="O2">
        <v>1</v>
      </c>
      <c r="P2">
        <v>1</v>
      </c>
      <c r="Q2" t="s">
        <v>134</v>
      </c>
      <c r="R2" t="s">
        <v>135</v>
      </c>
      <c r="T2" t="s">
        <v>136</v>
      </c>
      <c r="U2" t="s">
        <v>137</v>
      </c>
      <c r="V2" t="s">
        <v>138</v>
      </c>
      <c r="W2" t="s">
        <v>139</v>
      </c>
      <c r="X2" t="s">
        <v>133</v>
      </c>
      <c r="Z2">
        <v>2</v>
      </c>
      <c r="AA2">
        <v>1</v>
      </c>
      <c r="AB2">
        <v>1</v>
      </c>
      <c r="AD2">
        <v>1</v>
      </c>
      <c r="AE2">
        <v>0</v>
      </c>
      <c r="AF2" t="s">
        <v>133</v>
      </c>
      <c r="AG2" t="s">
        <v>140</v>
      </c>
      <c r="AH2" t="s">
        <v>141</v>
      </c>
      <c r="AI2" s="4">
        <v>1</v>
      </c>
      <c r="AJ2" s="4">
        <v>1</v>
      </c>
      <c r="AK2" s="4">
        <v>0</v>
      </c>
      <c r="AL2" s="4">
        <v>2</v>
      </c>
      <c r="AM2" t="s">
        <v>142</v>
      </c>
    </row>
    <row r="3" spans="1:39" x14ac:dyDescent="0.3">
      <c r="A3" t="s">
        <v>127</v>
      </c>
      <c r="B3">
        <v>1</v>
      </c>
      <c r="C3">
        <v>6237</v>
      </c>
      <c r="D3" t="s">
        <v>128</v>
      </c>
      <c r="E3">
        <v>2</v>
      </c>
      <c r="F3" t="s">
        <v>143</v>
      </c>
      <c r="G3" t="s">
        <v>130</v>
      </c>
      <c r="H3" t="s">
        <v>144</v>
      </c>
      <c r="I3">
        <v>8</v>
      </c>
      <c r="J3">
        <v>2</v>
      </c>
      <c r="K3">
        <v>1</v>
      </c>
      <c r="L3" t="s">
        <v>132</v>
      </c>
      <c r="N3" t="s">
        <v>133</v>
      </c>
      <c r="O3">
        <v>47</v>
      </c>
      <c r="P3">
        <v>22</v>
      </c>
      <c r="Q3" t="s">
        <v>145</v>
      </c>
      <c r="R3" t="s">
        <v>146</v>
      </c>
      <c r="S3" t="s">
        <v>147</v>
      </c>
      <c r="T3" t="s">
        <v>148</v>
      </c>
      <c r="U3" t="s">
        <v>149</v>
      </c>
      <c r="V3" t="s">
        <v>133</v>
      </c>
      <c r="W3" t="s">
        <v>139</v>
      </c>
      <c r="X3" t="s">
        <v>133</v>
      </c>
      <c r="Z3">
        <v>5</v>
      </c>
      <c r="AA3">
        <v>4</v>
      </c>
      <c r="AB3">
        <v>2</v>
      </c>
      <c r="AD3">
        <v>0</v>
      </c>
      <c r="AE3">
        <v>0</v>
      </c>
      <c r="AF3" t="s">
        <v>133</v>
      </c>
      <c r="AG3" t="s">
        <v>130</v>
      </c>
      <c r="AH3" t="s">
        <v>150</v>
      </c>
      <c r="AI3" s="4">
        <v>2</v>
      </c>
      <c r="AJ3" s="4">
        <v>47</v>
      </c>
      <c r="AK3" s="4">
        <v>0</v>
      </c>
      <c r="AL3" s="4">
        <v>49</v>
      </c>
      <c r="AM3" t="s">
        <v>151</v>
      </c>
    </row>
    <row r="4" spans="1:39" x14ac:dyDescent="0.3">
      <c r="A4" t="s">
        <v>127</v>
      </c>
      <c r="B4">
        <v>1</v>
      </c>
      <c r="C4">
        <v>4645</v>
      </c>
      <c r="D4" t="s">
        <v>128</v>
      </c>
      <c r="E4">
        <v>3</v>
      </c>
      <c r="F4" t="s">
        <v>152</v>
      </c>
      <c r="G4" t="s">
        <v>130</v>
      </c>
      <c r="H4" t="s">
        <v>153</v>
      </c>
      <c r="I4">
        <v>8</v>
      </c>
      <c r="J4">
        <v>4</v>
      </c>
      <c r="K4">
        <v>1</v>
      </c>
      <c r="L4" t="s">
        <v>132</v>
      </c>
      <c r="N4" t="s">
        <v>133</v>
      </c>
      <c r="O4">
        <v>11</v>
      </c>
      <c r="P4">
        <v>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133</v>
      </c>
      <c r="W4" t="s">
        <v>139</v>
      </c>
      <c r="X4" t="s">
        <v>133</v>
      </c>
      <c r="Z4">
        <v>3</v>
      </c>
      <c r="AA4">
        <v>3</v>
      </c>
      <c r="AB4">
        <v>5</v>
      </c>
      <c r="AC4" t="s">
        <v>159</v>
      </c>
      <c r="AD4">
        <v>0</v>
      </c>
      <c r="AE4">
        <v>0</v>
      </c>
      <c r="AF4" t="s">
        <v>133</v>
      </c>
      <c r="AG4" t="s">
        <v>139</v>
      </c>
      <c r="AI4" s="4">
        <v>4</v>
      </c>
      <c r="AJ4" s="4">
        <v>11</v>
      </c>
      <c r="AK4" s="4">
        <v>0</v>
      </c>
      <c r="AL4" s="4">
        <v>15</v>
      </c>
      <c r="AM4" t="s">
        <v>160</v>
      </c>
    </row>
    <row r="5" spans="1:39" x14ac:dyDescent="0.3">
      <c r="A5" t="s">
        <v>127</v>
      </c>
      <c r="B5">
        <v>1</v>
      </c>
      <c r="C5">
        <v>2022</v>
      </c>
      <c r="D5" t="s">
        <v>161</v>
      </c>
      <c r="E5">
        <v>1</v>
      </c>
      <c r="F5" t="s">
        <v>162</v>
      </c>
      <c r="G5" t="s">
        <v>130</v>
      </c>
      <c r="H5" t="s">
        <v>131</v>
      </c>
      <c r="I5">
        <v>8</v>
      </c>
      <c r="J5">
        <v>4</v>
      </c>
      <c r="K5">
        <v>1</v>
      </c>
      <c r="L5" t="s">
        <v>132</v>
      </c>
      <c r="N5" t="s">
        <v>133</v>
      </c>
      <c r="O5">
        <v>16</v>
      </c>
      <c r="P5">
        <v>4</v>
      </c>
      <c r="Q5" t="s">
        <v>154</v>
      </c>
      <c r="R5" t="s">
        <v>155</v>
      </c>
      <c r="S5" t="s">
        <v>156</v>
      </c>
      <c r="T5" t="s">
        <v>157</v>
      </c>
      <c r="U5" t="s">
        <v>158</v>
      </c>
      <c r="V5" t="s">
        <v>133</v>
      </c>
      <c r="W5" t="s">
        <v>139</v>
      </c>
      <c r="X5" t="s">
        <v>133</v>
      </c>
      <c r="Z5">
        <v>4</v>
      </c>
      <c r="AA5">
        <v>3</v>
      </c>
      <c r="AB5">
        <v>4</v>
      </c>
      <c r="AC5" t="s">
        <v>159</v>
      </c>
      <c r="AD5">
        <v>0</v>
      </c>
      <c r="AE5">
        <v>0</v>
      </c>
      <c r="AF5" t="s">
        <v>133</v>
      </c>
      <c r="AG5" t="s">
        <v>140</v>
      </c>
      <c r="AI5" s="4">
        <v>4</v>
      </c>
      <c r="AJ5" s="4">
        <v>16</v>
      </c>
      <c r="AK5" s="4">
        <v>0</v>
      </c>
      <c r="AL5" s="4">
        <v>20</v>
      </c>
      <c r="AM5" t="s">
        <v>163</v>
      </c>
    </row>
    <row r="6" spans="1:39" x14ac:dyDescent="0.3">
      <c r="A6" t="s">
        <v>127</v>
      </c>
      <c r="B6">
        <v>1</v>
      </c>
      <c r="C6">
        <v>2040</v>
      </c>
      <c r="D6" t="s">
        <v>161</v>
      </c>
      <c r="E6">
        <v>2</v>
      </c>
      <c r="F6" t="s">
        <v>164</v>
      </c>
      <c r="G6" t="s">
        <v>130</v>
      </c>
      <c r="H6" t="s">
        <v>144</v>
      </c>
      <c r="I6">
        <v>5</v>
      </c>
      <c r="J6">
        <v>26</v>
      </c>
      <c r="K6">
        <v>8</v>
      </c>
      <c r="L6" t="s">
        <v>165</v>
      </c>
      <c r="M6" t="s">
        <v>166</v>
      </c>
      <c r="N6" t="s">
        <v>133</v>
      </c>
      <c r="O6">
        <v>61</v>
      </c>
      <c r="P6">
        <v>18</v>
      </c>
      <c r="Q6" t="s">
        <v>145</v>
      </c>
      <c r="R6" t="s">
        <v>146</v>
      </c>
      <c r="S6" t="s">
        <v>147</v>
      </c>
      <c r="T6" t="s">
        <v>148</v>
      </c>
      <c r="U6" t="s">
        <v>149</v>
      </c>
      <c r="V6" t="s">
        <v>133</v>
      </c>
      <c r="W6" t="s">
        <v>139</v>
      </c>
      <c r="X6" t="s">
        <v>133</v>
      </c>
      <c r="Z6">
        <v>5</v>
      </c>
      <c r="AA6">
        <v>5</v>
      </c>
      <c r="AB6">
        <v>3</v>
      </c>
      <c r="AD6">
        <v>0</v>
      </c>
      <c r="AE6">
        <v>0</v>
      </c>
      <c r="AF6" t="s">
        <v>133</v>
      </c>
      <c r="AG6" t="s">
        <v>130</v>
      </c>
      <c r="AH6" t="s">
        <v>167</v>
      </c>
      <c r="AI6" s="4">
        <v>26</v>
      </c>
      <c r="AJ6" s="4">
        <v>61</v>
      </c>
      <c r="AK6" s="4">
        <v>0</v>
      </c>
      <c r="AL6" s="4">
        <v>87</v>
      </c>
      <c r="AM6" t="s">
        <v>168</v>
      </c>
    </row>
    <row r="7" spans="1:39" x14ac:dyDescent="0.3">
      <c r="A7" t="s">
        <v>127</v>
      </c>
      <c r="B7">
        <v>1</v>
      </c>
      <c r="C7">
        <v>9082</v>
      </c>
      <c r="D7" t="s">
        <v>161</v>
      </c>
      <c r="E7">
        <v>3</v>
      </c>
      <c r="F7" t="s">
        <v>169</v>
      </c>
      <c r="G7" t="s">
        <v>130</v>
      </c>
      <c r="H7" t="s">
        <v>131</v>
      </c>
      <c r="I7">
        <v>8</v>
      </c>
      <c r="J7">
        <v>11</v>
      </c>
      <c r="K7">
        <v>0</v>
      </c>
      <c r="L7" t="s">
        <v>165</v>
      </c>
      <c r="M7" t="s">
        <v>166</v>
      </c>
      <c r="N7" t="s">
        <v>133</v>
      </c>
      <c r="O7">
        <v>60</v>
      </c>
      <c r="P7">
        <v>2</v>
      </c>
      <c r="Q7" t="s">
        <v>145</v>
      </c>
      <c r="R7" t="s">
        <v>146</v>
      </c>
      <c r="S7" t="s">
        <v>147</v>
      </c>
      <c r="T7" t="s">
        <v>148</v>
      </c>
      <c r="U7" t="s">
        <v>158</v>
      </c>
      <c r="V7" t="s">
        <v>133</v>
      </c>
      <c r="W7" t="s">
        <v>170</v>
      </c>
      <c r="X7" t="s">
        <v>133</v>
      </c>
      <c r="Z7">
        <v>5</v>
      </c>
      <c r="AA7">
        <v>4</v>
      </c>
      <c r="AB7">
        <v>5</v>
      </c>
      <c r="AD7">
        <v>0</v>
      </c>
      <c r="AE7">
        <v>0</v>
      </c>
      <c r="AF7" t="s">
        <v>133</v>
      </c>
      <c r="AG7" t="s">
        <v>130</v>
      </c>
      <c r="AH7" t="s">
        <v>171</v>
      </c>
      <c r="AI7" s="4">
        <v>11</v>
      </c>
      <c r="AJ7" s="4">
        <v>60</v>
      </c>
      <c r="AK7" s="4">
        <v>0</v>
      </c>
      <c r="AL7" s="4">
        <v>71</v>
      </c>
      <c r="AM7" t="s">
        <v>172</v>
      </c>
    </row>
    <row r="8" spans="1:39" x14ac:dyDescent="0.3">
      <c r="A8" t="s">
        <v>127</v>
      </c>
      <c r="B8">
        <v>2</v>
      </c>
      <c r="C8">
        <v>3284</v>
      </c>
      <c r="D8" t="s">
        <v>128</v>
      </c>
      <c r="E8">
        <v>1</v>
      </c>
      <c r="F8" t="s">
        <v>129</v>
      </c>
      <c r="G8" t="s">
        <v>130</v>
      </c>
      <c r="H8" t="s">
        <v>144</v>
      </c>
      <c r="I8">
        <v>8</v>
      </c>
      <c r="J8">
        <v>3</v>
      </c>
      <c r="K8">
        <v>1</v>
      </c>
      <c r="L8" t="s">
        <v>132</v>
      </c>
      <c r="N8" t="s">
        <v>133</v>
      </c>
      <c r="O8">
        <v>7</v>
      </c>
      <c r="P8">
        <v>3</v>
      </c>
      <c r="Q8" t="s">
        <v>134</v>
      </c>
      <c r="R8" t="s">
        <v>135</v>
      </c>
      <c r="T8" t="s">
        <v>136</v>
      </c>
      <c r="U8" t="s">
        <v>137</v>
      </c>
      <c r="V8" t="s">
        <v>138</v>
      </c>
      <c r="W8" t="s">
        <v>139</v>
      </c>
      <c r="X8" t="s">
        <v>133</v>
      </c>
      <c r="Z8">
        <v>1</v>
      </c>
      <c r="AA8">
        <v>3</v>
      </c>
      <c r="AB8">
        <v>2</v>
      </c>
      <c r="AD8">
        <v>0</v>
      </c>
      <c r="AE8">
        <v>0</v>
      </c>
      <c r="AF8" t="s">
        <v>133</v>
      </c>
      <c r="AG8" t="s">
        <v>140</v>
      </c>
      <c r="AH8" t="s">
        <v>141</v>
      </c>
      <c r="AI8" s="4">
        <v>3</v>
      </c>
      <c r="AJ8" s="4">
        <v>7</v>
      </c>
      <c r="AK8" s="4">
        <v>0</v>
      </c>
      <c r="AL8" s="4">
        <v>10</v>
      </c>
      <c r="AM8" t="s">
        <v>173</v>
      </c>
    </row>
    <row r="9" spans="1:39" x14ac:dyDescent="0.3">
      <c r="A9" t="s">
        <v>127</v>
      </c>
      <c r="B9">
        <v>2</v>
      </c>
      <c r="C9">
        <v>1756</v>
      </c>
      <c r="D9" t="s">
        <v>128</v>
      </c>
      <c r="E9">
        <v>2</v>
      </c>
      <c r="F9" t="s">
        <v>143</v>
      </c>
      <c r="G9" t="s">
        <v>130</v>
      </c>
      <c r="H9" t="s">
        <v>131</v>
      </c>
      <c r="I9">
        <v>8</v>
      </c>
      <c r="J9">
        <v>5</v>
      </c>
      <c r="K9">
        <v>1</v>
      </c>
      <c r="L9" t="s">
        <v>174</v>
      </c>
      <c r="N9" t="s">
        <v>133</v>
      </c>
      <c r="O9">
        <v>66</v>
      </c>
      <c r="P9">
        <v>15</v>
      </c>
      <c r="Q9" t="s">
        <v>145</v>
      </c>
      <c r="R9" t="s">
        <v>146</v>
      </c>
      <c r="S9" t="s">
        <v>147</v>
      </c>
      <c r="T9" t="s">
        <v>148</v>
      </c>
      <c r="U9" t="s">
        <v>149</v>
      </c>
      <c r="V9" t="s">
        <v>133</v>
      </c>
      <c r="W9" t="s">
        <v>139</v>
      </c>
      <c r="X9" t="s">
        <v>133</v>
      </c>
      <c r="Z9">
        <v>5</v>
      </c>
      <c r="AA9">
        <v>5</v>
      </c>
      <c r="AB9">
        <v>3</v>
      </c>
      <c r="AD9">
        <v>0</v>
      </c>
      <c r="AE9">
        <v>1</v>
      </c>
      <c r="AF9" t="s">
        <v>133</v>
      </c>
      <c r="AG9" t="s">
        <v>130</v>
      </c>
      <c r="AH9" t="s">
        <v>175</v>
      </c>
      <c r="AI9" s="4">
        <v>5</v>
      </c>
      <c r="AJ9" s="4">
        <v>66</v>
      </c>
      <c r="AK9" s="4">
        <v>0</v>
      </c>
      <c r="AL9" s="4">
        <v>71</v>
      </c>
      <c r="AM9" t="s">
        <v>176</v>
      </c>
    </row>
    <row r="10" spans="1:39" x14ac:dyDescent="0.3">
      <c r="A10" t="s">
        <v>127</v>
      </c>
      <c r="B10">
        <v>2</v>
      </c>
      <c r="C10">
        <v>4655</v>
      </c>
      <c r="D10" t="s">
        <v>128</v>
      </c>
      <c r="E10">
        <v>3</v>
      </c>
      <c r="F10" t="s">
        <v>152</v>
      </c>
      <c r="G10" t="s">
        <v>130</v>
      </c>
      <c r="H10" t="s">
        <v>131</v>
      </c>
      <c r="I10">
        <v>8</v>
      </c>
      <c r="J10">
        <v>3</v>
      </c>
      <c r="K10">
        <v>1</v>
      </c>
      <c r="L10" t="s">
        <v>132</v>
      </c>
      <c r="N10" t="s">
        <v>133</v>
      </c>
      <c r="O10">
        <v>19</v>
      </c>
      <c r="P10">
        <v>7</v>
      </c>
      <c r="Q10" t="s">
        <v>145</v>
      </c>
      <c r="R10" t="s">
        <v>155</v>
      </c>
      <c r="S10" t="s">
        <v>147</v>
      </c>
      <c r="T10" t="s">
        <v>148</v>
      </c>
      <c r="U10" t="s">
        <v>158</v>
      </c>
      <c r="V10" t="s">
        <v>133</v>
      </c>
      <c r="W10" t="s">
        <v>170</v>
      </c>
      <c r="X10" t="s">
        <v>133</v>
      </c>
      <c r="Z10">
        <v>3</v>
      </c>
      <c r="AA10">
        <v>4</v>
      </c>
      <c r="AB10">
        <v>3</v>
      </c>
      <c r="AD10">
        <v>0</v>
      </c>
      <c r="AE10">
        <v>1</v>
      </c>
      <c r="AF10" t="s">
        <v>133</v>
      </c>
      <c r="AG10" t="s">
        <v>140</v>
      </c>
      <c r="AI10" s="4">
        <v>3</v>
      </c>
      <c r="AJ10" s="4">
        <v>19</v>
      </c>
      <c r="AK10" s="4">
        <v>0</v>
      </c>
      <c r="AL10" s="4">
        <v>22</v>
      </c>
      <c r="AM10" t="s">
        <v>177</v>
      </c>
    </row>
    <row r="11" spans="1:39" x14ac:dyDescent="0.3">
      <c r="A11" t="s">
        <v>127</v>
      </c>
      <c r="B11">
        <v>2</v>
      </c>
      <c r="C11">
        <v>3067</v>
      </c>
      <c r="D11" t="s">
        <v>161</v>
      </c>
      <c r="E11">
        <v>1</v>
      </c>
      <c r="F11" t="s">
        <v>162</v>
      </c>
      <c r="G11" t="s">
        <v>130</v>
      </c>
      <c r="H11" t="s">
        <v>153</v>
      </c>
      <c r="I11">
        <v>8</v>
      </c>
      <c r="J11">
        <v>2</v>
      </c>
      <c r="K11">
        <v>0</v>
      </c>
      <c r="L11" t="s">
        <v>132</v>
      </c>
      <c r="N11" t="s">
        <v>133</v>
      </c>
      <c r="O11">
        <v>83</v>
      </c>
      <c r="P11">
        <v>15</v>
      </c>
      <c r="Q11" t="s">
        <v>145</v>
      </c>
      <c r="R11" t="s">
        <v>155</v>
      </c>
      <c r="S11" t="s">
        <v>178</v>
      </c>
      <c r="T11" t="s">
        <v>157</v>
      </c>
      <c r="U11" t="s">
        <v>158</v>
      </c>
      <c r="V11" t="s">
        <v>133</v>
      </c>
      <c r="W11" t="s">
        <v>139</v>
      </c>
      <c r="X11" t="s">
        <v>133</v>
      </c>
      <c r="Z11">
        <v>4</v>
      </c>
      <c r="AA11">
        <v>3</v>
      </c>
      <c r="AB11">
        <v>5</v>
      </c>
      <c r="AD11">
        <v>0</v>
      </c>
      <c r="AE11">
        <v>0</v>
      </c>
      <c r="AF11" t="s">
        <v>133</v>
      </c>
      <c r="AG11" t="s">
        <v>140</v>
      </c>
      <c r="AH11" t="s">
        <v>175</v>
      </c>
      <c r="AI11" s="4">
        <v>2</v>
      </c>
      <c r="AJ11" s="4">
        <v>83</v>
      </c>
      <c r="AK11" s="4">
        <v>0</v>
      </c>
      <c r="AL11" s="4">
        <v>85</v>
      </c>
      <c r="AM11" t="s">
        <v>179</v>
      </c>
    </row>
    <row r="12" spans="1:39" x14ac:dyDescent="0.3">
      <c r="A12" t="s">
        <v>127</v>
      </c>
      <c r="B12">
        <v>2</v>
      </c>
      <c r="C12">
        <v>4143</v>
      </c>
      <c r="D12" t="s">
        <v>161</v>
      </c>
      <c r="E12">
        <v>2</v>
      </c>
      <c r="F12" t="s">
        <v>164</v>
      </c>
      <c r="G12" t="s">
        <v>130</v>
      </c>
      <c r="H12" t="s">
        <v>153</v>
      </c>
      <c r="I12">
        <v>7</v>
      </c>
      <c r="J12">
        <v>32</v>
      </c>
      <c r="K12">
        <v>3</v>
      </c>
      <c r="L12" t="s">
        <v>165</v>
      </c>
      <c r="M12" t="s">
        <v>180</v>
      </c>
      <c r="N12" t="s">
        <v>133</v>
      </c>
      <c r="O12">
        <v>38</v>
      </c>
      <c r="P12">
        <v>3</v>
      </c>
      <c r="Q12" t="s">
        <v>145</v>
      </c>
      <c r="R12" t="s">
        <v>146</v>
      </c>
      <c r="S12" t="s">
        <v>147</v>
      </c>
      <c r="T12" t="s">
        <v>148</v>
      </c>
      <c r="U12" t="s">
        <v>149</v>
      </c>
      <c r="V12" t="s">
        <v>133</v>
      </c>
      <c r="W12" t="s">
        <v>181</v>
      </c>
      <c r="X12" t="s">
        <v>133</v>
      </c>
      <c r="Z12">
        <v>5</v>
      </c>
      <c r="AA12">
        <v>3</v>
      </c>
      <c r="AB12">
        <v>5</v>
      </c>
      <c r="AC12" t="s">
        <v>182</v>
      </c>
      <c r="AD12">
        <v>0</v>
      </c>
      <c r="AE12">
        <v>0</v>
      </c>
      <c r="AF12" t="s">
        <v>133</v>
      </c>
      <c r="AG12" t="s">
        <v>130</v>
      </c>
      <c r="AH12" t="s">
        <v>183</v>
      </c>
      <c r="AI12" s="4">
        <v>32</v>
      </c>
      <c r="AJ12" s="4">
        <v>38</v>
      </c>
      <c r="AK12" s="4">
        <v>0</v>
      </c>
      <c r="AL12" s="4">
        <v>70</v>
      </c>
      <c r="AM12" t="s">
        <v>176</v>
      </c>
    </row>
    <row r="13" spans="1:39" x14ac:dyDescent="0.3">
      <c r="A13" t="s">
        <v>127</v>
      </c>
      <c r="B13">
        <v>2</v>
      </c>
      <c r="C13">
        <v>7848</v>
      </c>
      <c r="D13" t="s">
        <v>161</v>
      </c>
      <c r="E13">
        <v>3</v>
      </c>
      <c r="F13" t="s">
        <v>169</v>
      </c>
      <c r="G13" t="s">
        <v>130</v>
      </c>
      <c r="H13" t="s">
        <v>144</v>
      </c>
      <c r="I13">
        <v>8</v>
      </c>
      <c r="J13">
        <v>2</v>
      </c>
      <c r="K13">
        <v>1</v>
      </c>
      <c r="L13" t="s">
        <v>132</v>
      </c>
      <c r="N13" t="s">
        <v>133</v>
      </c>
      <c r="O13">
        <v>71</v>
      </c>
      <c r="P13">
        <v>21</v>
      </c>
      <c r="Q13" t="s">
        <v>145</v>
      </c>
      <c r="R13" t="s">
        <v>155</v>
      </c>
      <c r="S13" t="s">
        <v>156</v>
      </c>
      <c r="T13" t="s">
        <v>157</v>
      </c>
      <c r="U13" t="s">
        <v>158</v>
      </c>
      <c r="V13" t="s">
        <v>133</v>
      </c>
      <c r="W13" t="s">
        <v>139</v>
      </c>
      <c r="X13" t="s">
        <v>133</v>
      </c>
      <c r="Z13">
        <v>3</v>
      </c>
      <c r="AA13">
        <v>2</v>
      </c>
      <c r="AB13">
        <v>4</v>
      </c>
      <c r="AD13">
        <v>0</v>
      </c>
      <c r="AE13">
        <v>0</v>
      </c>
      <c r="AF13" t="s">
        <v>133</v>
      </c>
      <c r="AG13" t="s">
        <v>139</v>
      </c>
      <c r="AH13" t="s">
        <v>175</v>
      </c>
      <c r="AI13" s="4">
        <v>2</v>
      </c>
      <c r="AJ13" s="4">
        <v>71</v>
      </c>
      <c r="AK13" s="4">
        <v>0</v>
      </c>
      <c r="AL13" s="4">
        <v>73</v>
      </c>
      <c r="AM13" t="s">
        <v>184</v>
      </c>
    </row>
    <row r="14" spans="1:39" x14ac:dyDescent="0.3">
      <c r="A14" t="s">
        <v>127</v>
      </c>
      <c r="B14">
        <v>3</v>
      </c>
      <c r="C14">
        <v>7417</v>
      </c>
      <c r="D14" t="s">
        <v>128</v>
      </c>
      <c r="E14">
        <v>1</v>
      </c>
      <c r="F14" t="s">
        <v>129</v>
      </c>
      <c r="G14" t="s">
        <v>130</v>
      </c>
      <c r="H14" t="s">
        <v>144</v>
      </c>
      <c r="I14">
        <v>8</v>
      </c>
      <c r="J14">
        <v>4</v>
      </c>
      <c r="K14">
        <v>3</v>
      </c>
      <c r="L14" t="s">
        <v>132</v>
      </c>
      <c r="N14" t="s">
        <v>133</v>
      </c>
      <c r="O14">
        <v>3</v>
      </c>
      <c r="P14">
        <v>2</v>
      </c>
      <c r="Q14" t="s">
        <v>134</v>
      </c>
      <c r="R14" t="s">
        <v>135</v>
      </c>
      <c r="T14" t="s">
        <v>136</v>
      </c>
      <c r="U14" t="s">
        <v>137</v>
      </c>
      <c r="V14" t="s">
        <v>133</v>
      </c>
      <c r="W14" t="s">
        <v>139</v>
      </c>
      <c r="X14" t="s">
        <v>133</v>
      </c>
      <c r="Z14">
        <v>1</v>
      </c>
      <c r="AA14">
        <v>1</v>
      </c>
      <c r="AB14">
        <v>1</v>
      </c>
      <c r="AD14">
        <v>0</v>
      </c>
      <c r="AE14">
        <v>1</v>
      </c>
      <c r="AF14" t="s">
        <v>133</v>
      </c>
      <c r="AG14" t="s">
        <v>139</v>
      </c>
      <c r="AH14" t="s">
        <v>185</v>
      </c>
      <c r="AI14" s="4">
        <v>4</v>
      </c>
      <c r="AJ14" s="4">
        <v>3</v>
      </c>
      <c r="AK14" s="4">
        <v>0</v>
      </c>
      <c r="AL14" s="4">
        <v>7</v>
      </c>
      <c r="AM14" t="s">
        <v>186</v>
      </c>
    </row>
    <row r="15" spans="1:39" x14ac:dyDescent="0.3">
      <c r="A15" t="s">
        <v>127</v>
      </c>
      <c r="B15">
        <v>3</v>
      </c>
      <c r="C15">
        <v>4787</v>
      </c>
      <c r="D15" t="s">
        <v>128</v>
      </c>
      <c r="E15">
        <v>2</v>
      </c>
      <c r="F15" t="s">
        <v>143</v>
      </c>
      <c r="G15" t="s">
        <v>130</v>
      </c>
      <c r="H15" t="s">
        <v>153</v>
      </c>
      <c r="I15">
        <v>7</v>
      </c>
      <c r="J15">
        <v>1</v>
      </c>
      <c r="K15">
        <v>1</v>
      </c>
      <c r="L15" t="s">
        <v>132</v>
      </c>
      <c r="N15" t="s">
        <v>133</v>
      </c>
      <c r="O15">
        <v>10</v>
      </c>
      <c r="P15">
        <v>6</v>
      </c>
      <c r="Q15" t="s">
        <v>154</v>
      </c>
      <c r="R15" t="s">
        <v>155</v>
      </c>
      <c r="S15" t="s">
        <v>156</v>
      </c>
      <c r="T15" t="s">
        <v>157</v>
      </c>
      <c r="U15" t="s">
        <v>187</v>
      </c>
      <c r="V15" t="s">
        <v>133</v>
      </c>
      <c r="W15" t="s">
        <v>139</v>
      </c>
      <c r="X15" t="s">
        <v>133</v>
      </c>
      <c r="Z15">
        <v>3</v>
      </c>
      <c r="AA15">
        <v>3</v>
      </c>
      <c r="AB15">
        <v>2</v>
      </c>
      <c r="AD15">
        <v>0</v>
      </c>
      <c r="AE15">
        <v>1</v>
      </c>
      <c r="AF15" t="s">
        <v>133</v>
      </c>
      <c r="AG15" t="s">
        <v>140</v>
      </c>
      <c r="AI15" s="4">
        <v>1</v>
      </c>
      <c r="AJ15" s="4">
        <v>10</v>
      </c>
      <c r="AK15" s="4">
        <v>0</v>
      </c>
      <c r="AL15" s="4">
        <v>11</v>
      </c>
      <c r="AM15" t="s">
        <v>188</v>
      </c>
    </row>
    <row r="16" spans="1:39" x14ac:dyDescent="0.3">
      <c r="A16" t="s">
        <v>127</v>
      </c>
      <c r="B16">
        <v>3</v>
      </c>
      <c r="C16">
        <v>4213</v>
      </c>
      <c r="D16" t="s">
        <v>128</v>
      </c>
      <c r="E16">
        <v>3</v>
      </c>
      <c r="F16" t="s">
        <v>152</v>
      </c>
      <c r="G16" t="s">
        <v>130</v>
      </c>
      <c r="H16" t="s">
        <v>153</v>
      </c>
      <c r="I16">
        <v>8</v>
      </c>
      <c r="J16">
        <v>6</v>
      </c>
      <c r="K16">
        <v>2</v>
      </c>
      <c r="L16" t="s">
        <v>132</v>
      </c>
      <c r="N16" t="s">
        <v>133</v>
      </c>
      <c r="O16">
        <v>27</v>
      </c>
      <c r="P16">
        <v>9</v>
      </c>
      <c r="Q16" t="s">
        <v>145</v>
      </c>
      <c r="R16" t="s">
        <v>155</v>
      </c>
      <c r="S16" t="s">
        <v>178</v>
      </c>
      <c r="T16" t="s">
        <v>157</v>
      </c>
      <c r="U16" t="s">
        <v>158</v>
      </c>
      <c r="V16" t="s">
        <v>133</v>
      </c>
      <c r="W16" t="s">
        <v>139</v>
      </c>
      <c r="X16" t="s">
        <v>133</v>
      </c>
      <c r="Z16">
        <v>3</v>
      </c>
      <c r="AA16">
        <v>4</v>
      </c>
      <c r="AB16">
        <v>3</v>
      </c>
      <c r="AD16">
        <v>0</v>
      </c>
      <c r="AE16">
        <v>0</v>
      </c>
      <c r="AF16" t="s">
        <v>133</v>
      </c>
      <c r="AG16" t="s">
        <v>140</v>
      </c>
      <c r="AI16" s="4">
        <v>6</v>
      </c>
      <c r="AJ16" s="4">
        <v>27</v>
      </c>
      <c r="AK16" s="4">
        <v>0</v>
      </c>
      <c r="AL16" s="4">
        <v>33</v>
      </c>
      <c r="AM16" t="s">
        <v>189</v>
      </c>
    </row>
    <row r="17" spans="1:39" x14ac:dyDescent="0.3">
      <c r="A17" t="s">
        <v>127</v>
      </c>
      <c r="B17">
        <v>3</v>
      </c>
      <c r="C17">
        <v>1736</v>
      </c>
      <c r="D17" t="s">
        <v>161</v>
      </c>
      <c r="E17">
        <v>1</v>
      </c>
      <c r="F17" t="s">
        <v>162</v>
      </c>
      <c r="G17" t="s">
        <v>130</v>
      </c>
      <c r="H17" t="s">
        <v>144</v>
      </c>
      <c r="I17">
        <v>5</v>
      </c>
      <c r="J17">
        <v>3</v>
      </c>
      <c r="K17">
        <v>2</v>
      </c>
      <c r="L17" t="s">
        <v>132</v>
      </c>
      <c r="N17" t="s">
        <v>133</v>
      </c>
      <c r="O17">
        <v>24</v>
      </c>
      <c r="P17">
        <v>16</v>
      </c>
      <c r="Q17" t="s">
        <v>154</v>
      </c>
      <c r="R17" t="s">
        <v>135</v>
      </c>
      <c r="S17" t="s">
        <v>156</v>
      </c>
      <c r="T17" t="s">
        <v>157</v>
      </c>
      <c r="U17" t="s">
        <v>187</v>
      </c>
      <c r="V17" t="s">
        <v>133</v>
      </c>
      <c r="W17" t="s">
        <v>139</v>
      </c>
      <c r="X17" t="s">
        <v>133</v>
      </c>
      <c r="Z17">
        <v>3</v>
      </c>
      <c r="AA17">
        <v>1</v>
      </c>
      <c r="AB17">
        <v>4</v>
      </c>
      <c r="AD17">
        <v>2</v>
      </c>
      <c r="AE17">
        <v>0</v>
      </c>
      <c r="AF17" t="s">
        <v>133</v>
      </c>
      <c r="AG17" t="s">
        <v>140</v>
      </c>
      <c r="AI17" s="4">
        <v>3</v>
      </c>
      <c r="AJ17" s="4">
        <v>24</v>
      </c>
      <c r="AK17" s="4">
        <v>0</v>
      </c>
      <c r="AL17" s="4">
        <v>27</v>
      </c>
      <c r="AM17" t="s">
        <v>190</v>
      </c>
    </row>
    <row r="18" spans="1:39" x14ac:dyDescent="0.3">
      <c r="A18" t="s">
        <v>127</v>
      </c>
      <c r="B18">
        <v>3</v>
      </c>
      <c r="C18">
        <v>5442</v>
      </c>
      <c r="D18" t="s">
        <v>161</v>
      </c>
      <c r="E18">
        <v>2</v>
      </c>
      <c r="F18" t="s">
        <v>164</v>
      </c>
      <c r="G18" t="s">
        <v>130</v>
      </c>
      <c r="H18" t="s">
        <v>153</v>
      </c>
      <c r="I18">
        <v>8</v>
      </c>
      <c r="J18">
        <v>0</v>
      </c>
      <c r="K18">
        <v>0</v>
      </c>
      <c r="N18" t="s">
        <v>133</v>
      </c>
      <c r="O18">
        <v>20</v>
      </c>
      <c r="P18">
        <v>10</v>
      </c>
      <c r="Q18" t="s">
        <v>154</v>
      </c>
      <c r="R18" t="s">
        <v>155</v>
      </c>
      <c r="S18" t="s">
        <v>156</v>
      </c>
      <c r="T18" t="s">
        <v>157</v>
      </c>
      <c r="U18" t="s">
        <v>187</v>
      </c>
      <c r="V18" t="s">
        <v>133</v>
      </c>
      <c r="W18" t="s">
        <v>139</v>
      </c>
      <c r="X18" t="s">
        <v>133</v>
      </c>
      <c r="Z18">
        <v>3</v>
      </c>
      <c r="AA18">
        <v>3</v>
      </c>
      <c r="AB18">
        <v>3</v>
      </c>
      <c r="AD18">
        <v>2</v>
      </c>
      <c r="AE18">
        <v>0</v>
      </c>
      <c r="AF18" t="s">
        <v>133</v>
      </c>
      <c r="AG18" t="s">
        <v>140</v>
      </c>
      <c r="AI18" s="4">
        <v>0</v>
      </c>
      <c r="AJ18" s="4">
        <v>20</v>
      </c>
      <c r="AK18" s="4">
        <v>0</v>
      </c>
      <c r="AL18" s="4">
        <v>20</v>
      </c>
      <c r="AM18" t="s">
        <v>188</v>
      </c>
    </row>
    <row r="19" spans="1:39" x14ac:dyDescent="0.3">
      <c r="A19" t="s">
        <v>127</v>
      </c>
      <c r="B19">
        <v>3</v>
      </c>
      <c r="C19">
        <v>8719</v>
      </c>
      <c r="D19" t="s">
        <v>161</v>
      </c>
      <c r="E19">
        <v>3</v>
      </c>
      <c r="F19" t="s">
        <v>169</v>
      </c>
      <c r="G19" t="s">
        <v>130</v>
      </c>
      <c r="H19" t="s">
        <v>131</v>
      </c>
      <c r="I19">
        <v>5</v>
      </c>
      <c r="J19">
        <v>5</v>
      </c>
      <c r="K19">
        <v>3</v>
      </c>
      <c r="L19" t="s">
        <v>132</v>
      </c>
      <c r="N19" t="s">
        <v>133</v>
      </c>
      <c r="O19">
        <v>2</v>
      </c>
      <c r="P19">
        <v>1</v>
      </c>
      <c r="Q19" t="s">
        <v>134</v>
      </c>
      <c r="R19" t="s">
        <v>135</v>
      </c>
      <c r="T19" t="s">
        <v>191</v>
      </c>
      <c r="U19" t="s">
        <v>137</v>
      </c>
      <c r="V19" t="s">
        <v>170</v>
      </c>
      <c r="W19" t="s">
        <v>139</v>
      </c>
      <c r="X19" t="s">
        <v>133</v>
      </c>
      <c r="Z19">
        <v>2</v>
      </c>
      <c r="AA19">
        <v>3</v>
      </c>
      <c r="AB19">
        <v>1</v>
      </c>
      <c r="AD19">
        <v>0</v>
      </c>
      <c r="AE19">
        <v>0</v>
      </c>
      <c r="AF19" t="s">
        <v>133</v>
      </c>
      <c r="AG19" t="s">
        <v>139</v>
      </c>
      <c r="AH19" t="s">
        <v>185</v>
      </c>
      <c r="AI19" s="4">
        <v>5</v>
      </c>
      <c r="AJ19" s="4">
        <v>2</v>
      </c>
      <c r="AK19" s="4">
        <v>0</v>
      </c>
      <c r="AL19" s="4">
        <v>7</v>
      </c>
      <c r="AM19" t="s">
        <v>192</v>
      </c>
    </row>
    <row r="20" spans="1:39" x14ac:dyDescent="0.3">
      <c r="A20" t="s">
        <v>127</v>
      </c>
      <c r="B20">
        <v>4</v>
      </c>
      <c r="C20">
        <v>1625</v>
      </c>
      <c r="D20" t="s">
        <v>128</v>
      </c>
      <c r="E20">
        <v>1</v>
      </c>
      <c r="F20" t="s">
        <v>129</v>
      </c>
      <c r="G20" t="s">
        <v>130</v>
      </c>
      <c r="H20" t="s">
        <v>153</v>
      </c>
      <c r="I20">
        <v>8</v>
      </c>
      <c r="J20">
        <v>28</v>
      </c>
      <c r="K20">
        <v>7</v>
      </c>
      <c r="L20" t="s">
        <v>174</v>
      </c>
      <c r="M20" t="s">
        <v>180</v>
      </c>
      <c r="N20" t="s">
        <v>133</v>
      </c>
      <c r="O20">
        <v>74</v>
      </c>
      <c r="P20">
        <v>18</v>
      </c>
      <c r="Q20" t="s">
        <v>145</v>
      </c>
      <c r="R20" t="s">
        <v>146</v>
      </c>
      <c r="S20" t="s">
        <v>147</v>
      </c>
      <c r="T20" t="s">
        <v>148</v>
      </c>
      <c r="U20" t="s">
        <v>149</v>
      </c>
      <c r="V20" t="s">
        <v>133</v>
      </c>
      <c r="W20" t="s">
        <v>139</v>
      </c>
      <c r="X20" t="s">
        <v>133</v>
      </c>
      <c r="Z20">
        <v>5</v>
      </c>
      <c r="AA20">
        <v>5</v>
      </c>
      <c r="AB20">
        <v>3</v>
      </c>
      <c r="AD20">
        <v>0</v>
      </c>
      <c r="AE20">
        <v>0</v>
      </c>
      <c r="AF20" t="s">
        <v>133</v>
      </c>
      <c r="AG20" t="s">
        <v>130</v>
      </c>
      <c r="AH20" t="s">
        <v>171</v>
      </c>
      <c r="AI20" s="4">
        <v>28</v>
      </c>
      <c r="AJ20" s="4">
        <v>74</v>
      </c>
      <c r="AK20" s="4">
        <v>0</v>
      </c>
      <c r="AL20" s="4">
        <v>102</v>
      </c>
      <c r="AM20" t="s">
        <v>193</v>
      </c>
    </row>
    <row r="21" spans="1:39" x14ac:dyDescent="0.3">
      <c r="A21" t="s">
        <v>127</v>
      </c>
      <c r="B21">
        <v>4</v>
      </c>
      <c r="C21">
        <v>3488</v>
      </c>
      <c r="D21" t="s">
        <v>128</v>
      </c>
      <c r="E21">
        <v>2</v>
      </c>
      <c r="F21" t="s">
        <v>143</v>
      </c>
      <c r="G21" t="s">
        <v>130</v>
      </c>
      <c r="H21" t="s">
        <v>144</v>
      </c>
      <c r="I21">
        <v>8</v>
      </c>
      <c r="J21">
        <v>1</v>
      </c>
      <c r="K21">
        <v>1</v>
      </c>
      <c r="L21" t="s">
        <v>132</v>
      </c>
      <c r="N21" t="s">
        <v>133</v>
      </c>
      <c r="O21">
        <v>25</v>
      </c>
      <c r="P21">
        <v>16</v>
      </c>
      <c r="Q21" t="s">
        <v>154</v>
      </c>
      <c r="R21" t="s">
        <v>135</v>
      </c>
      <c r="S21" t="s">
        <v>178</v>
      </c>
      <c r="T21" t="s">
        <v>157</v>
      </c>
      <c r="U21" t="s">
        <v>187</v>
      </c>
      <c r="V21" t="s">
        <v>133</v>
      </c>
      <c r="W21" t="s">
        <v>139</v>
      </c>
      <c r="X21" t="s">
        <v>133</v>
      </c>
      <c r="Z21">
        <v>2</v>
      </c>
      <c r="AA21">
        <v>3</v>
      </c>
      <c r="AB21">
        <v>3</v>
      </c>
      <c r="AD21">
        <v>0</v>
      </c>
      <c r="AE21">
        <v>0</v>
      </c>
      <c r="AF21" t="s">
        <v>133</v>
      </c>
      <c r="AG21" t="s">
        <v>139</v>
      </c>
      <c r="AI21" s="4">
        <v>1</v>
      </c>
      <c r="AJ21" s="4">
        <v>25</v>
      </c>
      <c r="AK21" s="4">
        <v>0</v>
      </c>
      <c r="AL21" s="4">
        <v>26</v>
      </c>
      <c r="AM21" t="s">
        <v>194</v>
      </c>
    </row>
    <row r="22" spans="1:39" x14ac:dyDescent="0.3">
      <c r="A22" t="s">
        <v>127</v>
      </c>
      <c r="B22">
        <v>4</v>
      </c>
      <c r="C22">
        <v>4423</v>
      </c>
      <c r="D22" t="s">
        <v>128</v>
      </c>
      <c r="E22">
        <v>3</v>
      </c>
      <c r="F22" t="s">
        <v>152</v>
      </c>
      <c r="G22" t="s">
        <v>130</v>
      </c>
      <c r="H22" t="s">
        <v>144</v>
      </c>
      <c r="I22">
        <v>8</v>
      </c>
      <c r="J22">
        <v>1</v>
      </c>
      <c r="K22">
        <v>0</v>
      </c>
      <c r="L22" t="s">
        <v>132</v>
      </c>
      <c r="N22" t="s">
        <v>133</v>
      </c>
      <c r="O22">
        <v>40</v>
      </c>
      <c r="P22">
        <v>10</v>
      </c>
      <c r="Q22" t="s">
        <v>145</v>
      </c>
      <c r="R22" t="s">
        <v>155</v>
      </c>
      <c r="S22" t="s">
        <v>147</v>
      </c>
      <c r="T22" t="s">
        <v>148</v>
      </c>
      <c r="U22" t="s">
        <v>158</v>
      </c>
      <c r="V22" t="s">
        <v>133</v>
      </c>
      <c r="W22" t="s">
        <v>181</v>
      </c>
      <c r="X22" t="s">
        <v>195</v>
      </c>
      <c r="Y22" t="s">
        <v>196</v>
      </c>
      <c r="Z22">
        <v>4</v>
      </c>
      <c r="AA22">
        <v>3</v>
      </c>
      <c r="AB22">
        <v>4</v>
      </c>
      <c r="AD22">
        <v>0</v>
      </c>
      <c r="AE22">
        <v>0</v>
      </c>
      <c r="AF22" t="s">
        <v>133</v>
      </c>
      <c r="AG22" t="s">
        <v>130</v>
      </c>
      <c r="AH22" t="s">
        <v>197</v>
      </c>
      <c r="AI22" s="4">
        <v>1</v>
      </c>
      <c r="AJ22" s="4">
        <v>40</v>
      </c>
      <c r="AK22" s="4">
        <v>10</v>
      </c>
      <c r="AL22" s="4">
        <v>51</v>
      </c>
      <c r="AM22" t="s">
        <v>198</v>
      </c>
    </row>
    <row r="23" spans="1:39" x14ac:dyDescent="0.3">
      <c r="A23" t="s">
        <v>127</v>
      </c>
      <c r="B23">
        <v>4</v>
      </c>
      <c r="C23">
        <v>8020</v>
      </c>
      <c r="D23" t="s">
        <v>161</v>
      </c>
      <c r="E23">
        <v>1</v>
      </c>
      <c r="F23" t="s">
        <v>162</v>
      </c>
      <c r="G23" t="s">
        <v>130</v>
      </c>
      <c r="H23" t="s">
        <v>131</v>
      </c>
      <c r="I23">
        <v>8</v>
      </c>
      <c r="J23">
        <v>14</v>
      </c>
      <c r="K23">
        <v>2</v>
      </c>
      <c r="L23" t="s">
        <v>165</v>
      </c>
      <c r="M23" t="s">
        <v>180</v>
      </c>
      <c r="N23" t="s">
        <v>133</v>
      </c>
      <c r="O23">
        <v>65</v>
      </c>
      <c r="P23">
        <v>10</v>
      </c>
      <c r="Q23" t="s">
        <v>145</v>
      </c>
      <c r="R23" t="s">
        <v>146</v>
      </c>
      <c r="S23" t="s">
        <v>147</v>
      </c>
      <c r="T23" t="s">
        <v>148</v>
      </c>
      <c r="U23" t="s">
        <v>149</v>
      </c>
      <c r="V23" t="s">
        <v>133</v>
      </c>
      <c r="W23" t="s">
        <v>139</v>
      </c>
      <c r="X23" t="s">
        <v>133</v>
      </c>
      <c r="Z23">
        <v>4</v>
      </c>
      <c r="AA23">
        <v>5</v>
      </c>
      <c r="AB23">
        <v>4</v>
      </c>
      <c r="AD23">
        <v>0</v>
      </c>
      <c r="AE23">
        <v>0</v>
      </c>
      <c r="AF23" t="s">
        <v>133</v>
      </c>
      <c r="AG23" t="s">
        <v>130</v>
      </c>
      <c r="AH23" t="s">
        <v>175</v>
      </c>
      <c r="AI23" s="4">
        <v>14</v>
      </c>
      <c r="AJ23" s="4">
        <v>65</v>
      </c>
      <c r="AK23" s="4">
        <v>0</v>
      </c>
      <c r="AL23" s="4">
        <v>79</v>
      </c>
      <c r="AM23" t="s">
        <v>199</v>
      </c>
    </row>
    <row r="24" spans="1:39" x14ac:dyDescent="0.3">
      <c r="A24" t="s">
        <v>127</v>
      </c>
      <c r="B24">
        <v>4</v>
      </c>
      <c r="C24">
        <v>2861</v>
      </c>
      <c r="D24" t="s">
        <v>161</v>
      </c>
      <c r="E24">
        <v>2</v>
      </c>
      <c r="F24" t="s">
        <v>164</v>
      </c>
      <c r="G24" t="s">
        <v>130</v>
      </c>
      <c r="H24" t="s">
        <v>144</v>
      </c>
      <c r="I24">
        <v>8</v>
      </c>
      <c r="J24">
        <v>6</v>
      </c>
      <c r="K24">
        <v>0</v>
      </c>
      <c r="L24" t="s">
        <v>132</v>
      </c>
      <c r="N24" t="s">
        <v>133</v>
      </c>
      <c r="O24">
        <v>67</v>
      </c>
      <c r="P24">
        <v>2</v>
      </c>
      <c r="Q24" t="s">
        <v>145</v>
      </c>
      <c r="R24" t="s">
        <v>146</v>
      </c>
      <c r="S24" t="s">
        <v>147</v>
      </c>
      <c r="T24" t="s">
        <v>148</v>
      </c>
      <c r="U24" t="s">
        <v>149</v>
      </c>
      <c r="V24" t="s">
        <v>133</v>
      </c>
      <c r="W24" t="s">
        <v>181</v>
      </c>
      <c r="X24" t="s">
        <v>133</v>
      </c>
      <c r="Z24">
        <v>5</v>
      </c>
      <c r="AA24">
        <v>4</v>
      </c>
      <c r="AB24">
        <v>5</v>
      </c>
      <c r="AD24">
        <v>0</v>
      </c>
      <c r="AE24">
        <v>0</v>
      </c>
      <c r="AF24" t="s">
        <v>133</v>
      </c>
      <c r="AG24" t="s">
        <v>130</v>
      </c>
      <c r="AH24" t="s">
        <v>175</v>
      </c>
      <c r="AI24" s="4">
        <v>6</v>
      </c>
      <c r="AJ24" s="4">
        <v>67</v>
      </c>
      <c r="AK24" s="4">
        <v>0</v>
      </c>
      <c r="AL24" s="4">
        <v>73</v>
      </c>
      <c r="AM24" t="s">
        <v>200</v>
      </c>
    </row>
    <row r="25" spans="1:39" x14ac:dyDescent="0.3">
      <c r="A25" t="s">
        <v>127</v>
      </c>
      <c r="B25">
        <v>4</v>
      </c>
      <c r="C25">
        <v>648</v>
      </c>
      <c r="D25" t="s">
        <v>161</v>
      </c>
      <c r="E25">
        <v>3</v>
      </c>
      <c r="F25" t="s">
        <v>169</v>
      </c>
      <c r="G25" t="s">
        <v>130</v>
      </c>
      <c r="H25" t="s">
        <v>131</v>
      </c>
      <c r="I25">
        <v>8</v>
      </c>
      <c r="J25">
        <v>4</v>
      </c>
      <c r="K25">
        <v>2</v>
      </c>
      <c r="L25" t="s">
        <v>132</v>
      </c>
      <c r="N25" t="s">
        <v>133</v>
      </c>
      <c r="O25">
        <v>14</v>
      </c>
      <c r="P25">
        <v>7</v>
      </c>
      <c r="Q25" t="s">
        <v>154</v>
      </c>
      <c r="R25" t="s">
        <v>135</v>
      </c>
      <c r="T25" t="s">
        <v>191</v>
      </c>
      <c r="U25" t="s">
        <v>187</v>
      </c>
      <c r="V25" t="s">
        <v>138</v>
      </c>
      <c r="W25" t="s">
        <v>139</v>
      </c>
      <c r="X25" t="s">
        <v>133</v>
      </c>
      <c r="Z25">
        <v>1</v>
      </c>
      <c r="AA25">
        <v>2</v>
      </c>
      <c r="AB25">
        <v>3</v>
      </c>
      <c r="AD25">
        <v>0</v>
      </c>
      <c r="AE25">
        <v>0</v>
      </c>
      <c r="AF25" t="s">
        <v>133</v>
      </c>
      <c r="AG25" t="s">
        <v>139</v>
      </c>
      <c r="AH25" t="s">
        <v>201</v>
      </c>
      <c r="AI25" s="4">
        <v>4</v>
      </c>
      <c r="AJ25" s="4">
        <v>14</v>
      </c>
      <c r="AK25" s="4">
        <v>0</v>
      </c>
      <c r="AL25" s="4">
        <v>18</v>
      </c>
      <c r="AM25" t="s">
        <v>202</v>
      </c>
    </row>
    <row r="26" spans="1:39" x14ac:dyDescent="0.3">
      <c r="A26" t="s">
        <v>127</v>
      </c>
      <c r="B26">
        <v>5</v>
      </c>
      <c r="C26">
        <v>8029</v>
      </c>
      <c r="D26" t="s">
        <v>128</v>
      </c>
      <c r="E26">
        <v>1</v>
      </c>
      <c r="F26" t="s">
        <v>129</v>
      </c>
      <c r="G26" t="s">
        <v>130</v>
      </c>
      <c r="H26" t="s">
        <v>131</v>
      </c>
      <c r="I26">
        <v>5</v>
      </c>
      <c r="J26">
        <v>6</v>
      </c>
      <c r="K26">
        <v>4</v>
      </c>
      <c r="L26" t="s">
        <v>174</v>
      </c>
      <c r="M26" t="s">
        <v>166</v>
      </c>
      <c r="N26" t="s">
        <v>133</v>
      </c>
      <c r="O26">
        <v>3</v>
      </c>
      <c r="P26">
        <v>2</v>
      </c>
      <c r="Q26" t="s">
        <v>134</v>
      </c>
      <c r="R26" t="s">
        <v>135</v>
      </c>
      <c r="T26" t="s">
        <v>203</v>
      </c>
      <c r="U26" t="s">
        <v>137</v>
      </c>
      <c r="V26" t="s">
        <v>170</v>
      </c>
      <c r="W26" t="s">
        <v>139</v>
      </c>
      <c r="X26" t="s">
        <v>133</v>
      </c>
      <c r="Z26">
        <v>1</v>
      </c>
      <c r="AA26">
        <v>3</v>
      </c>
      <c r="AB26">
        <v>3</v>
      </c>
      <c r="AD26">
        <v>0</v>
      </c>
      <c r="AE26">
        <v>0</v>
      </c>
      <c r="AF26" t="s">
        <v>133</v>
      </c>
      <c r="AG26" t="s">
        <v>140</v>
      </c>
      <c r="AH26" t="s">
        <v>185</v>
      </c>
      <c r="AI26" s="4">
        <v>6</v>
      </c>
      <c r="AJ26" s="4">
        <v>3</v>
      </c>
      <c r="AK26" s="4">
        <v>0</v>
      </c>
      <c r="AL26" s="4">
        <v>9</v>
      </c>
      <c r="AM26" t="s">
        <v>204</v>
      </c>
    </row>
    <row r="27" spans="1:39" x14ac:dyDescent="0.3">
      <c r="A27" t="s">
        <v>127</v>
      </c>
      <c r="B27">
        <v>5</v>
      </c>
      <c r="C27">
        <v>4096</v>
      </c>
      <c r="D27" t="s">
        <v>128</v>
      </c>
      <c r="E27">
        <v>2</v>
      </c>
      <c r="F27" t="s">
        <v>143</v>
      </c>
      <c r="G27" t="s">
        <v>130</v>
      </c>
      <c r="H27" t="s">
        <v>131</v>
      </c>
      <c r="I27">
        <v>8</v>
      </c>
      <c r="J27">
        <v>7</v>
      </c>
      <c r="K27">
        <v>1</v>
      </c>
      <c r="L27" t="s">
        <v>132</v>
      </c>
      <c r="N27" t="s">
        <v>133</v>
      </c>
      <c r="O27">
        <v>86</v>
      </c>
      <c r="P27">
        <v>11</v>
      </c>
      <c r="Q27" t="s">
        <v>145</v>
      </c>
      <c r="R27" t="s">
        <v>155</v>
      </c>
      <c r="S27" t="s">
        <v>147</v>
      </c>
      <c r="T27" t="s">
        <v>148</v>
      </c>
      <c r="U27" t="s">
        <v>158</v>
      </c>
      <c r="V27" t="s">
        <v>133</v>
      </c>
      <c r="W27" t="s">
        <v>139</v>
      </c>
      <c r="X27" t="s">
        <v>133</v>
      </c>
      <c r="Z27">
        <v>5</v>
      </c>
      <c r="AA27">
        <v>4</v>
      </c>
      <c r="AB27">
        <v>4</v>
      </c>
      <c r="AD27">
        <v>0</v>
      </c>
      <c r="AE27">
        <v>0</v>
      </c>
      <c r="AF27" t="s">
        <v>133</v>
      </c>
      <c r="AG27" t="s">
        <v>140</v>
      </c>
      <c r="AH27" t="s">
        <v>175</v>
      </c>
      <c r="AI27" s="4">
        <v>7</v>
      </c>
      <c r="AJ27" s="4">
        <v>86</v>
      </c>
      <c r="AK27" s="4">
        <v>0</v>
      </c>
      <c r="AL27" s="4">
        <v>93</v>
      </c>
      <c r="AM27" t="s">
        <v>205</v>
      </c>
    </row>
    <row r="28" spans="1:39" x14ac:dyDescent="0.3">
      <c r="A28" t="s">
        <v>127</v>
      </c>
      <c r="B28">
        <v>5</v>
      </c>
      <c r="C28">
        <v>4156</v>
      </c>
      <c r="D28" t="s">
        <v>128</v>
      </c>
      <c r="E28">
        <v>3</v>
      </c>
      <c r="F28" t="s">
        <v>152</v>
      </c>
      <c r="G28" t="s">
        <v>130</v>
      </c>
      <c r="H28" t="s">
        <v>131</v>
      </c>
      <c r="I28">
        <v>8</v>
      </c>
      <c r="J28">
        <v>1</v>
      </c>
      <c r="K28">
        <v>0</v>
      </c>
      <c r="L28" t="s">
        <v>132</v>
      </c>
      <c r="N28" t="s">
        <v>133</v>
      </c>
      <c r="O28">
        <v>2</v>
      </c>
      <c r="P28">
        <v>1</v>
      </c>
      <c r="Q28" t="s">
        <v>134</v>
      </c>
      <c r="R28" t="s">
        <v>135</v>
      </c>
      <c r="T28" t="s">
        <v>136</v>
      </c>
      <c r="U28" t="s">
        <v>137</v>
      </c>
      <c r="V28" t="s">
        <v>133</v>
      </c>
      <c r="W28" t="s">
        <v>139</v>
      </c>
      <c r="X28" t="s">
        <v>133</v>
      </c>
      <c r="Z28">
        <v>1</v>
      </c>
      <c r="AA28">
        <v>2</v>
      </c>
      <c r="AB28">
        <v>4</v>
      </c>
      <c r="AD28">
        <v>0</v>
      </c>
      <c r="AE28">
        <v>0</v>
      </c>
      <c r="AF28" t="s">
        <v>133</v>
      </c>
      <c r="AG28" t="s">
        <v>139</v>
      </c>
      <c r="AH28" t="s">
        <v>185</v>
      </c>
      <c r="AI28" s="4">
        <v>1</v>
      </c>
      <c r="AJ28" s="4">
        <v>2</v>
      </c>
      <c r="AK28" s="4">
        <v>0</v>
      </c>
      <c r="AL28" s="4">
        <v>3</v>
      </c>
      <c r="AM28" t="s">
        <v>206</v>
      </c>
    </row>
    <row r="29" spans="1:39" x14ac:dyDescent="0.3">
      <c r="A29" t="s">
        <v>127</v>
      </c>
      <c r="B29">
        <v>5</v>
      </c>
      <c r="C29">
        <v>8096</v>
      </c>
      <c r="D29" t="s">
        <v>161</v>
      </c>
      <c r="E29">
        <v>1</v>
      </c>
      <c r="F29" t="s">
        <v>162</v>
      </c>
      <c r="G29" t="s">
        <v>130</v>
      </c>
      <c r="H29" t="s">
        <v>144</v>
      </c>
      <c r="I29">
        <v>8</v>
      </c>
      <c r="J29">
        <v>17</v>
      </c>
      <c r="K29">
        <v>6</v>
      </c>
      <c r="L29" t="s">
        <v>165</v>
      </c>
      <c r="M29" t="s">
        <v>166</v>
      </c>
      <c r="N29" t="s">
        <v>133</v>
      </c>
      <c r="O29">
        <v>7</v>
      </c>
      <c r="P29">
        <v>3</v>
      </c>
      <c r="Q29" t="s">
        <v>154</v>
      </c>
      <c r="R29" t="s">
        <v>155</v>
      </c>
      <c r="S29" t="s">
        <v>156</v>
      </c>
      <c r="T29" t="s">
        <v>157</v>
      </c>
      <c r="U29" t="s">
        <v>187</v>
      </c>
      <c r="V29" t="s">
        <v>133</v>
      </c>
      <c r="W29" t="s">
        <v>139</v>
      </c>
      <c r="X29" t="s">
        <v>133</v>
      </c>
      <c r="Z29">
        <v>2</v>
      </c>
      <c r="AA29">
        <v>4</v>
      </c>
      <c r="AB29">
        <v>3</v>
      </c>
      <c r="AD29">
        <v>0</v>
      </c>
      <c r="AE29">
        <v>1</v>
      </c>
      <c r="AF29" t="s">
        <v>133</v>
      </c>
      <c r="AG29" t="s">
        <v>140</v>
      </c>
      <c r="AH29" t="s">
        <v>185</v>
      </c>
      <c r="AI29" s="4">
        <v>17</v>
      </c>
      <c r="AJ29" s="4">
        <v>7</v>
      </c>
      <c r="AK29" s="4">
        <v>0</v>
      </c>
      <c r="AL29" s="4">
        <v>24</v>
      </c>
      <c r="AM29" t="s">
        <v>207</v>
      </c>
    </row>
    <row r="30" spans="1:39" x14ac:dyDescent="0.3">
      <c r="A30" t="s">
        <v>127</v>
      </c>
      <c r="B30">
        <v>5</v>
      </c>
      <c r="C30">
        <v>7472</v>
      </c>
      <c r="D30" t="s">
        <v>161</v>
      </c>
      <c r="E30">
        <v>2</v>
      </c>
      <c r="F30" t="s">
        <v>164</v>
      </c>
      <c r="G30" t="s">
        <v>130</v>
      </c>
      <c r="H30" t="s">
        <v>131</v>
      </c>
      <c r="I30">
        <v>8</v>
      </c>
      <c r="J30">
        <v>8</v>
      </c>
      <c r="K30">
        <v>7</v>
      </c>
      <c r="L30" t="s">
        <v>132</v>
      </c>
      <c r="N30" t="s">
        <v>133</v>
      </c>
      <c r="O30">
        <v>0</v>
      </c>
      <c r="P30">
        <v>0</v>
      </c>
      <c r="Q30" t="s">
        <v>134</v>
      </c>
      <c r="R30" t="s">
        <v>135</v>
      </c>
      <c r="T30" t="s">
        <v>203</v>
      </c>
      <c r="U30" t="s">
        <v>137</v>
      </c>
      <c r="V30" t="s">
        <v>133</v>
      </c>
      <c r="W30" t="s">
        <v>139</v>
      </c>
      <c r="X30" t="s">
        <v>133</v>
      </c>
      <c r="Z30">
        <v>2</v>
      </c>
      <c r="AA30">
        <v>1</v>
      </c>
      <c r="AB30">
        <v>3</v>
      </c>
      <c r="AD30">
        <v>0</v>
      </c>
      <c r="AE30">
        <v>0</v>
      </c>
      <c r="AF30" t="s">
        <v>133</v>
      </c>
      <c r="AG30" t="s">
        <v>139</v>
      </c>
      <c r="AH30" t="s">
        <v>185</v>
      </c>
      <c r="AI30" s="4">
        <v>8</v>
      </c>
      <c r="AJ30" s="4">
        <v>0</v>
      </c>
      <c r="AK30" s="4">
        <v>0</v>
      </c>
      <c r="AL30" s="4">
        <v>8</v>
      </c>
      <c r="AM30" t="s">
        <v>208</v>
      </c>
    </row>
    <row r="31" spans="1:39" x14ac:dyDescent="0.3">
      <c r="A31" t="s">
        <v>127</v>
      </c>
      <c r="B31">
        <v>5</v>
      </c>
      <c r="C31">
        <v>2481</v>
      </c>
      <c r="D31" t="s">
        <v>161</v>
      </c>
      <c r="E31">
        <v>3</v>
      </c>
      <c r="F31" t="s">
        <v>169</v>
      </c>
      <c r="G31" t="s">
        <v>130</v>
      </c>
      <c r="H31" t="s">
        <v>131</v>
      </c>
      <c r="I31">
        <v>8</v>
      </c>
      <c r="J31">
        <v>80</v>
      </c>
      <c r="K31">
        <v>22</v>
      </c>
      <c r="L31" t="s">
        <v>174</v>
      </c>
      <c r="M31" t="s">
        <v>180</v>
      </c>
      <c r="N31" t="s">
        <v>133</v>
      </c>
      <c r="O31">
        <v>38</v>
      </c>
      <c r="P31">
        <v>10</v>
      </c>
      <c r="Q31" t="s">
        <v>145</v>
      </c>
      <c r="R31" t="s">
        <v>146</v>
      </c>
      <c r="S31" t="s">
        <v>147</v>
      </c>
      <c r="T31" t="s">
        <v>148</v>
      </c>
      <c r="U31" t="s">
        <v>149</v>
      </c>
      <c r="V31" t="s">
        <v>133</v>
      </c>
      <c r="W31" t="s">
        <v>170</v>
      </c>
      <c r="X31" t="s">
        <v>133</v>
      </c>
      <c r="Z31">
        <v>4</v>
      </c>
      <c r="AA31">
        <v>5</v>
      </c>
      <c r="AB31">
        <v>2</v>
      </c>
      <c r="AD31">
        <v>1</v>
      </c>
      <c r="AE31">
        <v>0</v>
      </c>
      <c r="AF31" t="s">
        <v>133</v>
      </c>
      <c r="AG31" t="s">
        <v>130</v>
      </c>
      <c r="AH31" t="s">
        <v>150</v>
      </c>
      <c r="AI31" s="4">
        <v>80</v>
      </c>
      <c r="AJ31" s="4">
        <v>38</v>
      </c>
      <c r="AK31" s="4">
        <v>0</v>
      </c>
      <c r="AL31" s="4">
        <v>118</v>
      </c>
      <c r="AM31" t="s">
        <v>209</v>
      </c>
    </row>
    <row r="32" spans="1:39" x14ac:dyDescent="0.3">
      <c r="A32" t="s">
        <v>127</v>
      </c>
      <c r="B32">
        <v>6</v>
      </c>
      <c r="C32">
        <v>3284</v>
      </c>
      <c r="D32" t="s">
        <v>128</v>
      </c>
      <c r="E32">
        <v>1</v>
      </c>
      <c r="F32" t="s">
        <v>129</v>
      </c>
      <c r="G32" t="s">
        <v>130</v>
      </c>
      <c r="H32" t="s">
        <v>144</v>
      </c>
      <c r="I32">
        <v>8</v>
      </c>
      <c r="J32">
        <v>10</v>
      </c>
      <c r="K32">
        <v>4</v>
      </c>
      <c r="L32" t="s">
        <v>165</v>
      </c>
      <c r="M32" t="s">
        <v>180</v>
      </c>
      <c r="N32" t="s">
        <v>133</v>
      </c>
      <c r="O32">
        <v>11</v>
      </c>
      <c r="P32">
        <v>5</v>
      </c>
      <c r="Q32" t="s">
        <v>134</v>
      </c>
      <c r="R32" t="s">
        <v>135</v>
      </c>
      <c r="T32" t="s">
        <v>136</v>
      </c>
      <c r="U32" t="s">
        <v>137</v>
      </c>
      <c r="V32" t="s">
        <v>138</v>
      </c>
      <c r="W32" t="s">
        <v>139</v>
      </c>
      <c r="X32" t="s">
        <v>133</v>
      </c>
      <c r="Z32">
        <v>2</v>
      </c>
      <c r="AA32">
        <v>1</v>
      </c>
      <c r="AB32">
        <v>3</v>
      </c>
      <c r="AD32">
        <v>2</v>
      </c>
      <c r="AE32">
        <v>0</v>
      </c>
      <c r="AF32" t="s">
        <v>133</v>
      </c>
      <c r="AG32" t="s">
        <v>139</v>
      </c>
      <c r="AH32" t="s">
        <v>201</v>
      </c>
      <c r="AI32" s="4">
        <v>10</v>
      </c>
      <c r="AJ32" s="4">
        <v>11</v>
      </c>
      <c r="AK32" s="4">
        <v>0</v>
      </c>
      <c r="AL32" s="4">
        <v>21</v>
      </c>
      <c r="AM32" t="s">
        <v>210</v>
      </c>
    </row>
    <row r="33" spans="1:39" x14ac:dyDescent="0.3">
      <c r="A33" t="s">
        <v>127</v>
      </c>
      <c r="B33">
        <v>6</v>
      </c>
      <c r="C33">
        <v>5442</v>
      </c>
      <c r="D33" t="s">
        <v>128</v>
      </c>
      <c r="E33">
        <v>2</v>
      </c>
      <c r="F33" t="s">
        <v>143</v>
      </c>
      <c r="G33" t="s">
        <v>130</v>
      </c>
      <c r="H33" t="s">
        <v>153</v>
      </c>
      <c r="I33">
        <v>8</v>
      </c>
      <c r="J33">
        <v>1</v>
      </c>
      <c r="K33">
        <v>0</v>
      </c>
      <c r="L33" t="s">
        <v>132</v>
      </c>
      <c r="N33" t="s">
        <v>133</v>
      </c>
      <c r="O33">
        <v>17</v>
      </c>
      <c r="P33">
        <v>7</v>
      </c>
      <c r="Q33" t="s">
        <v>154</v>
      </c>
      <c r="R33" t="s">
        <v>155</v>
      </c>
      <c r="S33" t="s">
        <v>156</v>
      </c>
      <c r="T33" t="s">
        <v>157</v>
      </c>
      <c r="U33" t="s">
        <v>187</v>
      </c>
      <c r="V33" t="s">
        <v>133</v>
      </c>
      <c r="W33" t="s">
        <v>139</v>
      </c>
      <c r="X33" t="s">
        <v>133</v>
      </c>
      <c r="Z33">
        <v>2</v>
      </c>
      <c r="AA33">
        <v>3</v>
      </c>
      <c r="AB33">
        <v>4</v>
      </c>
      <c r="AD33">
        <v>1</v>
      </c>
      <c r="AE33">
        <v>0</v>
      </c>
      <c r="AF33" t="s">
        <v>133</v>
      </c>
      <c r="AG33" t="s">
        <v>130</v>
      </c>
      <c r="AI33" s="4">
        <v>1</v>
      </c>
      <c r="AJ33" s="4">
        <v>17</v>
      </c>
      <c r="AK33" s="4">
        <v>0</v>
      </c>
      <c r="AL33" s="4">
        <v>18</v>
      </c>
      <c r="AM33" t="s">
        <v>211</v>
      </c>
    </row>
    <row r="34" spans="1:39" x14ac:dyDescent="0.3">
      <c r="A34" t="s">
        <v>127</v>
      </c>
      <c r="B34">
        <v>6</v>
      </c>
      <c r="C34">
        <v>6651</v>
      </c>
      <c r="D34" t="s">
        <v>128</v>
      </c>
      <c r="E34">
        <v>3</v>
      </c>
      <c r="F34" t="s">
        <v>152</v>
      </c>
      <c r="G34" t="s">
        <v>130</v>
      </c>
      <c r="H34" t="s">
        <v>144</v>
      </c>
      <c r="I34">
        <v>8</v>
      </c>
      <c r="J34">
        <v>9</v>
      </c>
      <c r="K34">
        <v>3</v>
      </c>
      <c r="L34" t="s">
        <v>174</v>
      </c>
      <c r="M34" t="s">
        <v>166</v>
      </c>
      <c r="N34" t="s">
        <v>133</v>
      </c>
      <c r="O34">
        <v>14</v>
      </c>
      <c r="P34">
        <v>5</v>
      </c>
      <c r="Q34" t="s">
        <v>154</v>
      </c>
      <c r="R34" t="s">
        <v>135</v>
      </c>
      <c r="T34" t="s">
        <v>157</v>
      </c>
      <c r="U34" t="s">
        <v>187</v>
      </c>
      <c r="V34" t="s">
        <v>133</v>
      </c>
      <c r="W34" t="s">
        <v>139</v>
      </c>
      <c r="X34" t="s">
        <v>133</v>
      </c>
      <c r="Z34">
        <v>2</v>
      </c>
      <c r="AA34">
        <v>1</v>
      </c>
      <c r="AB34">
        <v>5</v>
      </c>
      <c r="AD34">
        <v>0</v>
      </c>
      <c r="AE34">
        <v>0</v>
      </c>
      <c r="AF34" t="s">
        <v>133</v>
      </c>
      <c r="AG34" t="s">
        <v>139</v>
      </c>
      <c r="AI34" s="4">
        <v>9</v>
      </c>
      <c r="AJ34" s="4">
        <v>14</v>
      </c>
      <c r="AK34" s="4">
        <v>0</v>
      </c>
      <c r="AL34" s="4">
        <v>23</v>
      </c>
      <c r="AM34" t="s">
        <v>212</v>
      </c>
    </row>
    <row r="35" spans="1:39" x14ac:dyDescent="0.3">
      <c r="A35" t="s">
        <v>127</v>
      </c>
      <c r="B35">
        <v>6</v>
      </c>
      <c r="C35">
        <v>2039</v>
      </c>
      <c r="D35" t="s">
        <v>161</v>
      </c>
      <c r="E35">
        <v>1</v>
      </c>
      <c r="F35" t="s">
        <v>162</v>
      </c>
      <c r="G35" t="s">
        <v>130</v>
      </c>
      <c r="H35" t="s">
        <v>131</v>
      </c>
      <c r="I35">
        <v>8</v>
      </c>
      <c r="J35">
        <v>2</v>
      </c>
      <c r="K35">
        <v>2</v>
      </c>
      <c r="L35" t="s">
        <v>132</v>
      </c>
      <c r="N35" t="s">
        <v>133</v>
      </c>
      <c r="O35">
        <v>3</v>
      </c>
      <c r="P35">
        <v>3</v>
      </c>
      <c r="Q35" t="s">
        <v>134</v>
      </c>
      <c r="R35" t="s">
        <v>135</v>
      </c>
      <c r="T35" t="s">
        <v>136</v>
      </c>
      <c r="U35" t="s">
        <v>137</v>
      </c>
      <c r="V35" t="s">
        <v>138</v>
      </c>
      <c r="W35" t="s">
        <v>139</v>
      </c>
      <c r="X35" t="s">
        <v>195</v>
      </c>
      <c r="Y35" t="s">
        <v>196</v>
      </c>
      <c r="Z35">
        <v>1</v>
      </c>
      <c r="AA35">
        <v>1</v>
      </c>
      <c r="AB35">
        <v>2</v>
      </c>
      <c r="AD35">
        <v>0</v>
      </c>
      <c r="AE35">
        <v>0</v>
      </c>
      <c r="AF35" t="s">
        <v>133</v>
      </c>
      <c r="AG35" t="s">
        <v>139</v>
      </c>
      <c r="AH35" t="s">
        <v>213</v>
      </c>
      <c r="AI35" s="4">
        <v>2</v>
      </c>
      <c r="AJ35" s="4">
        <v>3</v>
      </c>
      <c r="AK35" s="4">
        <v>10</v>
      </c>
      <c r="AL35" s="4">
        <v>15</v>
      </c>
      <c r="AM35" t="s">
        <v>214</v>
      </c>
    </row>
    <row r="36" spans="1:39" x14ac:dyDescent="0.3">
      <c r="A36" t="s">
        <v>127</v>
      </c>
      <c r="B36">
        <v>6</v>
      </c>
      <c r="C36">
        <v>4655</v>
      </c>
      <c r="D36" t="s">
        <v>161</v>
      </c>
      <c r="E36">
        <v>2</v>
      </c>
      <c r="F36" t="s">
        <v>164</v>
      </c>
      <c r="G36" t="s">
        <v>130</v>
      </c>
      <c r="H36" t="s">
        <v>131</v>
      </c>
      <c r="I36">
        <v>8</v>
      </c>
      <c r="J36">
        <v>9</v>
      </c>
      <c r="K36">
        <v>3</v>
      </c>
      <c r="L36" t="s">
        <v>174</v>
      </c>
      <c r="M36" t="s">
        <v>180</v>
      </c>
      <c r="N36" t="s">
        <v>133</v>
      </c>
      <c r="O36">
        <v>32</v>
      </c>
      <c r="P36">
        <v>12</v>
      </c>
      <c r="Q36" t="s">
        <v>145</v>
      </c>
      <c r="R36" t="s">
        <v>155</v>
      </c>
      <c r="S36" t="s">
        <v>147</v>
      </c>
      <c r="T36" t="s">
        <v>148</v>
      </c>
      <c r="U36" t="s">
        <v>158</v>
      </c>
      <c r="V36" t="s">
        <v>170</v>
      </c>
      <c r="W36" t="s">
        <v>139</v>
      </c>
      <c r="X36" t="s">
        <v>133</v>
      </c>
      <c r="Z36">
        <v>4</v>
      </c>
      <c r="AA36">
        <v>3</v>
      </c>
      <c r="AB36">
        <v>5</v>
      </c>
      <c r="AD36">
        <v>0</v>
      </c>
      <c r="AE36">
        <v>0</v>
      </c>
      <c r="AF36" t="s">
        <v>133</v>
      </c>
      <c r="AG36" t="s">
        <v>139</v>
      </c>
      <c r="AH36" t="s">
        <v>215</v>
      </c>
      <c r="AI36" s="4">
        <v>9</v>
      </c>
      <c r="AJ36" s="4">
        <v>32</v>
      </c>
      <c r="AK36" s="4">
        <v>0</v>
      </c>
      <c r="AL36" s="4">
        <v>41</v>
      </c>
      <c r="AM36" t="s">
        <v>216</v>
      </c>
    </row>
    <row r="37" spans="1:39" x14ac:dyDescent="0.3">
      <c r="A37" t="s">
        <v>127</v>
      </c>
      <c r="B37">
        <v>6</v>
      </c>
      <c r="C37">
        <v>4213</v>
      </c>
      <c r="D37" t="s">
        <v>161</v>
      </c>
      <c r="E37">
        <v>3</v>
      </c>
      <c r="F37" t="s">
        <v>169</v>
      </c>
      <c r="G37" t="s">
        <v>130</v>
      </c>
      <c r="H37" t="s">
        <v>153</v>
      </c>
      <c r="I37">
        <v>8</v>
      </c>
      <c r="J37">
        <v>7</v>
      </c>
      <c r="K37">
        <v>3</v>
      </c>
      <c r="L37" t="s">
        <v>132</v>
      </c>
      <c r="N37" t="s">
        <v>133</v>
      </c>
      <c r="O37">
        <v>24</v>
      </c>
      <c r="P37">
        <v>10</v>
      </c>
      <c r="Q37" t="s">
        <v>145</v>
      </c>
      <c r="R37" t="s">
        <v>155</v>
      </c>
      <c r="S37" t="s">
        <v>178</v>
      </c>
      <c r="T37" t="s">
        <v>157</v>
      </c>
      <c r="U37" t="s">
        <v>158</v>
      </c>
      <c r="V37" t="s">
        <v>133</v>
      </c>
      <c r="W37" t="s">
        <v>139</v>
      </c>
      <c r="X37" t="s">
        <v>133</v>
      </c>
      <c r="Z37">
        <v>3</v>
      </c>
      <c r="AA37">
        <v>4</v>
      </c>
      <c r="AB37">
        <v>3</v>
      </c>
      <c r="AD37">
        <v>0</v>
      </c>
      <c r="AE37">
        <v>0</v>
      </c>
      <c r="AF37" t="s">
        <v>133</v>
      </c>
      <c r="AG37" t="s">
        <v>130</v>
      </c>
      <c r="AI37" s="4">
        <v>7</v>
      </c>
      <c r="AJ37" s="4">
        <v>24</v>
      </c>
      <c r="AK37" s="4">
        <v>0</v>
      </c>
      <c r="AL37" s="4">
        <v>31</v>
      </c>
      <c r="AM37" t="s">
        <v>217</v>
      </c>
    </row>
    <row r="38" spans="1:39" x14ac:dyDescent="0.3">
      <c r="A38" t="s">
        <v>127</v>
      </c>
      <c r="B38">
        <v>7</v>
      </c>
      <c r="C38">
        <v>2040</v>
      </c>
      <c r="D38" t="s">
        <v>128</v>
      </c>
      <c r="E38">
        <v>1</v>
      </c>
      <c r="F38" t="s">
        <v>129</v>
      </c>
      <c r="G38" t="s">
        <v>130</v>
      </c>
      <c r="H38" t="s">
        <v>144</v>
      </c>
      <c r="I38">
        <v>5</v>
      </c>
      <c r="J38">
        <v>18</v>
      </c>
      <c r="K38">
        <v>4</v>
      </c>
      <c r="L38" t="s">
        <v>165</v>
      </c>
      <c r="M38" t="s">
        <v>166</v>
      </c>
      <c r="N38" t="s">
        <v>133</v>
      </c>
      <c r="O38">
        <v>127</v>
      </c>
      <c r="P38">
        <v>25</v>
      </c>
      <c r="Q38" t="s">
        <v>145</v>
      </c>
      <c r="R38" t="s">
        <v>146</v>
      </c>
      <c r="S38" t="s">
        <v>147</v>
      </c>
      <c r="T38" t="s">
        <v>148</v>
      </c>
      <c r="U38" t="s">
        <v>149</v>
      </c>
      <c r="V38" t="s">
        <v>133</v>
      </c>
      <c r="W38" t="s">
        <v>139</v>
      </c>
      <c r="X38" t="s">
        <v>133</v>
      </c>
      <c r="Z38">
        <v>4</v>
      </c>
      <c r="AA38">
        <v>5</v>
      </c>
      <c r="AB38">
        <v>5</v>
      </c>
      <c r="AD38">
        <v>0</v>
      </c>
      <c r="AE38">
        <v>0</v>
      </c>
      <c r="AF38" t="s">
        <v>133</v>
      </c>
      <c r="AG38" t="s">
        <v>130</v>
      </c>
      <c r="AH38" t="s">
        <v>218</v>
      </c>
      <c r="AI38" s="4">
        <v>18</v>
      </c>
      <c r="AJ38" s="4">
        <v>127</v>
      </c>
      <c r="AK38" s="4">
        <v>0</v>
      </c>
      <c r="AL38" s="4">
        <v>145</v>
      </c>
      <c r="AM38" t="s">
        <v>219</v>
      </c>
    </row>
    <row r="39" spans="1:39" x14ac:dyDescent="0.3">
      <c r="A39" t="s">
        <v>127</v>
      </c>
      <c r="B39">
        <v>7</v>
      </c>
      <c r="C39">
        <v>4143</v>
      </c>
      <c r="D39" t="s">
        <v>128</v>
      </c>
      <c r="E39">
        <v>2</v>
      </c>
      <c r="F39" t="s">
        <v>143</v>
      </c>
      <c r="G39" t="s">
        <v>130</v>
      </c>
      <c r="H39" t="s">
        <v>153</v>
      </c>
      <c r="I39">
        <v>7</v>
      </c>
      <c r="J39">
        <v>55</v>
      </c>
      <c r="K39">
        <v>8</v>
      </c>
      <c r="L39" t="s">
        <v>174</v>
      </c>
      <c r="M39" t="s">
        <v>166</v>
      </c>
      <c r="N39" t="s">
        <v>133</v>
      </c>
      <c r="O39">
        <v>102</v>
      </c>
      <c r="P39">
        <v>15</v>
      </c>
      <c r="Q39" t="s">
        <v>145</v>
      </c>
      <c r="R39" t="s">
        <v>146</v>
      </c>
      <c r="S39" t="s">
        <v>147</v>
      </c>
      <c r="T39" t="s">
        <v>148</v>
      </c>
      <c r="U39" t="s">
        <v>149</v>
      </c>
      <c r="V39" t="s">
        <v>133</v>
      </c>
      <c r="W39" t="s">
        <v>181</v>
      </c>
      <c r="X39" t="s">
        <v>133</v>
      </c>
      <c r="Z39">
        <v>5</v>
      </c>
      <c r="AA39">
        <v>5</v>
      </c>
      <c r="AB39">
        <v>5</v>
      </c>
      <c r="AD39">
        <v>0</v>
      </c>
      <c r="AE39">
        <v>0</v>
      </c>
      <c r="AF39" t="s">
        <v>133</v>
      </c>
      <c r="AG39" t="s">
        <v>130</v>
      </c>
      <c r="AH39" t="s">
        <v>220</v>
      </c>
      <c r="AI39" s="4">
        <v>55</v>
      </c>
      <c r="AJ39" s="4">
        <v>102</v>
      </c>
      <c r="AK39" s="4">
        <v>0</v>
      </c>
      <c r="AL39" s="4">
        <v>157</v>
      </c>
      <c r="AM39" t="s">
        <v>221</v>
      </c>
    </row>
    <row r="40" spans="1:39" x14ac:dyDescent="0.3">
      <c r="A40" t="s">
        <v>127</v>
      </c>
      <c r="B40">
        <v>7</v>
      </c>
      <c r="C40">
        <v>4645</v>
      </c>
      <c r="D40" t="s">
        <v>128</v>
      </c>
      <c r="E40">
        <v>3</v>
      </c>
      <c r="F40" t="s">
        <v>152</v>
      </c>
      <c r="G40" t="s">
        <v>130</v>
      </c>
      <c r="H40" t="s">
        <v>153</v>
      </c>
      <c r="I40">
        <v>8</v>
      </c>
      <c r="J40">
        <v>3</v>
      </c>
      <c r="K40">
        <v>1</v>
      </c>
      <c r="L40" t="s">
        <v>132</v>
      </c>
      <c r="N40" t="s">
        <v>133</v>
      </c>
      <c r="O40">
        <v>50</v>
      </c>
      <c r="P40">
        <v>12</v>
      </c>
      <c r="Q40" t="s">
        <v>154</v>
      </c>
      <c r="R40" t="s">
        <v>155</v>
      </c>
      <c r="S40" t="s">
        <v>156</v>
      </c>
      <c r="T40" t="s">
        <v>157</v>
      </c>
      <c r="U40" t="s">
        <v>158</v>
      </c>
      <c r="V40" t="s">
        <v>133</v>
      </c>
      <c r="W40" t="s">
        <v>139</v>
      </c>
      <c r="X40" t="s">
        <v>133</v>
      </c>
      <c r="Z40">
        <v>2</v>
      </c>
      <c r="AA40">
        <v>3</v>
      </c>
      <c r="AB40">
        <v>4</v>
      </c>
      <c r="AD40">
        <v>0</v>
      </c>
      <c r="AE40">
        <v>0</v>
      </c>
      <c r="AF40" t="s">
        <v>133</v>
      </c>
      <c r="AG40" t="s">
        <v>140</v>
      </c>
      <c r="AH40" t="s">
        <v>175</v>
      </c>
      <c r="AI40" s="4">
        <v>3</v>
      </c>
      <c r="AJ40" s="4">
        <v>50</v>
      </c>
      <c r="AK40" s="4">
        <v>0</v>
      </c>
      <c r="AL40" s="4">
        <v>53</v>
      </c>
      <c r="AM40" t="s">
        <v>222</v>
      </c>
    </row>
    <row r="41" spans="1:39" x14ac:dyDescent="0.3">
      <c r="A41" t="s">
        <v>127</v>
      </c>
      <c r="B41">
        <v>7</v>
      </c>
      <c r="C41">
        <v>2861</v>
      </c>
      <c r="D41" t="s">
        <v>161</v>
      </c>
      <c r="E41">
        <v>1</v>
      </c>
      <c r="F41" t="s">
        <v>162</v>
      </c>
      <c r="G41" t="s">
        <v>130</v>
      </c>
      <c r="H41" t="s">
        <v>144</v>
      </c>
      <c r="I41">
        <v>8</v>
      </c>
      <c r="J41">
        <v>16</v>
      </c>
      <c r="K41">
        <v>1</v>
      </c>
      <c r="L41" t="s">
        <v>174</v>
      </c>
      <c r="M41" t="s">
        <v>166</v>
      </c>
      <c r="N41" t="s">
        <v>133</v>
      </c>
      <c r="O41">
        <v>52</v>
      </c>
      <c r="P41">
        <v>4</v>
      </c>
      <c r="Q41" t="s">
        <v>145</v>
      </c>
      <c r="R41" t="s">
        <v>146</v>
      </c>
      <c r="S41" t="s">
        <v>147</v>
      </c>
      <c r="T41" t="s">
        <v>148</v>
      </c>
      <c r="U41" t="s">
        <v>149</v>
      </c>
      <c r="V41" t="s">
        <v>170</v>
      </c>
      <c r="W41" t="s">
        <v>139</v>
      </c>
      <c r="X41" t="s">
        <v>133</v>
      </c>
      <c r="Z41">
        <v>5</v>
      </c>
      <c r="AA41">
        <v>5</v>
      </c>
      <c r="AB41">
        <v>5</v>
      </c>
      <c r="AD41">
        <v>0</v>
      </c>
      <c r="AE41">
        <v>0</v>
      </c>
      <c r="AF41" t="s">
        <v>133</v>
      </c>
      <c r="AG41" t="s">
        <v>130</v>
      </c>
      <c r="AH41" t="s">
        <v>171</v>
      </c>
      <c r="AI41" s="4">
        <v>16</v>
      </c>
      <c r="AJ41" s="4">
        <v>52</v>
      </c>
      <c r="AK41" s="4">
        <v>0</v>
      </c>
      <c r="AL41" s="4">
        <v>68</v>
      </c>
      <c r="AM41" t="s">
        <v>223</v>
      </c>
    </row>
    <row r="42" spans="1:39" x14ac:dyDescent="0.3">
      <c r="A42" t="s">
        <v>127</v>
      </c>
      <c r="B42">
        <v>7</v>
      </c>
      <c r="C42">
        <v>3488</v>
      </c>
      <c r="D42" t="s">
        <v>161</v>
      </c>
      <c r="E42">
        <v>2</v>
      </c>
      <c r="F42" t="s">
        <v>164</v>
      </c>
      <c r="G42" t="s">
        <v>130</v>
      </c>
      <c r="H42" t="s">
        <v>144</v>
      </c>
      <c r="I42">
        <v>8</v>
      </c>
      <c r="J42">
        <v>1</v>
      </c>
      <c r="K42">
        <v>1</v>
      </c>
      <c r="L42" t="s">
        <v>132</v>
      </c>
      <c r="N42" t="s">
        <v>133</v>
      </c>
      <c r="O42">
        <v>29</v>
      </c>
      <c r="P42">
        <v>19</v>
      </c>
      <c r="Q42" t="s">
        <v>154</v>
      </c>
      <c r="R42" t="s">
        <v>135</v>
      </c>
      <c r="S42" t="s">
        <v>178</v>
      </c>
      <c r="T42" t="s">
        <v>157</v>
      </c>
      <c r="U42" t="s">
        <v>187</v>
      </c>
      <c r="V42" t="s">
        <v>133</v>
      </c>
      <c r="W42" t="s">
        <v>139</v>
      </c>
      <c r="X42" t="s">
        <v>133</v>
      </c>
      <c r="Z42">
        <v>3</v>
      </c>
      <c r="AA42">
        <v>1</v>
      </c>
      <c r="AB42">
        <v>2</v>
      </c>
      <c r="AD42">
        <v>0</v>
      </c>
      <c r="AE42">
        <v>0</v>
      </c>
      <c r="AF42" t="s">
        <v>133</v>
      </c>
      <c r="AG42" t="s">
        <v>139</v>
      </c>
      <c r="AI42" s="4">
        <v>1</v>
      </c>
      <c r="AJ42" s="4">
        <v>29</v>
      </c>
      <c r="AK42" s="4">
        <v>0</v>
      </c>
      <c r="AL42" s="4">
        <v>30</v>
      </c>
      <c r="AM42" t="s">
        <v>224</v>
      </c>
    </row>
    <row r="43" spans="1:39" x14ac:dyDescent="0.3">
      <c r="A43" t="s">
        <v>127</v>
      </c>
      <c r="B43">
        <v>7</v>
      </c>
      <c r="C43">
        <v>1736</v>
      </c>
      <c r="D43" t="s">
        <v>161</v>
      </c>
      <c r="E43">
        <v>3</v>
      </c>
      <c r="F43" t="s">
        <v>169</v>
      </c>
      <c r="G43" t="s">
        <v>130</v>
      </c>
      <c r="H43" t="s">
        <v>144</v>
      </c>
      <c r="I43">
        <v>5</v>
      </c>
      <c r="J43">
        <v>3</v>
      </c>
      <c r="K43">
        <v>1</v>
      </c>
      <c r="L43" t="s">
        <v>132</v>
      </c>
      <c r="N43" t="s">
        <v>133</v>
      </c>
      <c r="O43">
        <v>34</v>
      </c>
      <c r="P43">
        <v>14</v>
      </c>
      <c r="Q43" t="s">
        <v>154</v>
      </c>
      <c r="R43" t="s">
        <v>135</v>
      </c>
      <c r="S43" t="s">
        <v>156</v>
      </c>
      <c r="T43" t="s">
        <v>157</v>
      </c>
      <c r="U43" t="s">
        <v>187</v>
      </c>
      <c r="V43" t="s">
        <v>133</v>
      </c>
      <c r="W43" t="s">
        <v>139</v>
      </c>
      <c r="X43" t="s">
        <v>133</v>
      </c>
      <c r="Z43">
        <v>2</v>
      </c>
      <c r="AA43">
        <v>2</v>
      </c>
      <c r="AB43">
        <v>3</v>
      </c>
      <c r="AD43">
        <v>0</v>
      </c>
      <c r="AE43">
        <v>0</v>
      </c>
      <c r="AF43" t="s">
        <v>133</v>
      </c>
      <c r="AG43" t="s">
        <v>140</v>
      </c>
      <c r="AI43" s="4">
        <v>3</v>
      </c>
      <c r="AJ43" s="4">
        <v>34</v>
      </c>
      <c r="AK43" s="4">
        <v>0</v>
      </c>
      <c r="AL43" s="4">
        <v>37</v>
      </c>
      <c r="AM43" t="s">
        <v>225</v>
      </c>
    </row>
    <row r="44" spans="1:39" x14ac:dyDescent="0.3">
      <c r="A44" t="s">
        <v>127</v>
      </c>
      <c r="B44">
        <v>8</v>
      </c>
      <c r="C44">
        <v>8719</v>
      </c>
      <c r="D44" t="s">
        <v>128</v>
      </c>
      <c r="E44">
        <v>1</v>
      </c>
      <c r="F44" t="s">
        <v>129</v>
      </c>
      <c r="G44" t="s">
        <v>130</v>
      </c>
      <c r="H44" t="s">
        <v>131</v>
      </c>
      <c r="I44">
        <v>5</v>
      </c>
      <c r="J44">
        <v>8</v>
      </c>
      <c r="K44">
        <v>8</v>
      </c>
      <c r="L44" t="s">
        <v>174</v>
      </c>
      <c r="M44" t="s">
        <v>180</v>
      </c>
      <c r="N44" t="s">
        <v>133</v>
      </c>
      <c r="O44">
        <v>3</v>
      </c>
      <c r="P44">
        <v>3</v>
      </c>
      <c r="Q44" t="s">
        <v>134</v>
      </c>
      <c r="R44" t="s">
        <v>135</v>
      </c>
      <c r="T44" t="s">
        <v>191</v>
      </c>
      <c r="U44" t="s">
        <v>137</v>
      </c>
      <c r="V44" t="s">
        <v>170</v>
      </c>
      <c r="W44" t="s">
        <v>139</v>
      </c>
      <c r="X44" t="s">
        <v>133</v>
      </c>
      <c r="Z44">
        <v>1</v>
      </c>
      <c r="AA44">
        <v>2</v>
      </c>
      <c r="AB44">
        <v>2</v>
      </c>
      <c r="AD44">
        <v>1</v>
      </c>
      <c r="AE44">
        <v>0</v>
      </c>
      <c r="AF44" t="s">
        <v>133</v>
      </c>
      <c r="AG44" t="s">
        <v>139</v>
      </c>
      <c r="AH44" t="s">
        <v>185</v>
      </c>
      <c r="AI44" s="4">
        <v>8</v>
      </c>
      <c r="AJ44" s="4">
        <v>3</v>
      </c>
      <c r="AK44" s="4">
        <v>0</v>
      </c>
      <c r="AL44" s="4">
        <v>11</v>
      </c>
      <c r="AM44" t="s">
        <v>226</v>
      </c>
    </row>
    <row r="45" spans="1:39" x14ac:dyDescent="0.3">
      <c r="A45" t="s">
        <v>127</v>
      </c>
      <c r="B45">
        <v>8</v>
      </c>
      <c r="C45">
        <v>1756</v>
      </c>
      <c r="D45" t="s">
        <v>128</v>
      </c>
      <c r="E45">
        <v>2</v>
      </c>
      <c r="F45" t="s">
        <v>143</v>
      </c>
      <c r="G45" t="s">
        <v>130</v>
      </c>
      <c r="H45" t="s">
        <v>131</v>
      </c>
      <c r="I45">
        <v>8</v>
      </c>
      <c r="J45">
        <v>27</v>
      </c>
      <c r="K45">
        <v>5</v>
      </c>
      <c r="L45" t="s">
        <v>174</v>
      </c>
      <c r="M45" t="s">
        <v>166</v>
      </c>
      <c r="N45" t="s">
        <v>133</v>
      </c>
      <c r="O45">
        <v>125</v>
      </c>
      <c r="P45">
        <v>23</v>
      </c>
      <c r="Q45" t="s">
        <v>145</v>
      </c>
      <c r="R45" t="s">
        <v>146</v>
      </c>
      <c r="S45" t="s">
        <v>147</v>
      </c>
      <c r="T45" t="s">
        <v>148</v>
      </c>
      <c r="U45" t="s">
        <v>149</v>
      </c>
      <c r="V45" t="s">
        <v>133</v>
      </c>
      <c r="W45" t="s">
        <v>139</v>
      </c>
      <c r="X45" t="s">
        <v>133</v>
      </c>
      <c r="Z45">
        <v>4</v>
      </c>
      <c r="AA45">
        <v>5</v>
      </c>
      <c r="AB45">
        <v>4</v>
      </c>
      <c r="AD45">
        <v>0</v>
      </c>
      <c r="AE45">
        <v>0</v>
      </c>
      <c r="AF45" t="s">
        <v>133</v>
      </c>
      <c r="AG45" t="s">
        <v>130</v>
      </c>
      <c r="AH45" t="s">
        <v>227</v>
      </c>
      <c r="AI45" s="4">
        <v>27</v>
      </c>
      <c r="AJ45" s="4">
        <v>125</v>
      </c>
      <c r="AK45" s="4">
        <v>0</v>
      </c>
      <c r="AL45" s="4">
        <v>152</v>
      </c>
      <c r="AM45" t="s">
        <v>228</v>
      </c>
    </row>
    <row r="46" spans="1:39" x14ac:dyDescent="0.3">
      <c r="A46" t="s">
        <v>127</v>
      </c>
      <c r="B46">
        <v>8</v>
      </c>
      <c r="C46">
        <v>648</v>
      </c>
      <c r="D46" t="s">
        <v>128</v>
      </c>
      <c r="E46">
        <v>3</v>
      </c>
      <c r="F46" t="s">
        <v>152</v>
      </c>
      <c r="G46" t="s">
        <v>130</v>
      </c>
      <c r="H46" t="s">
        <v>131</v>
      </c>
      <c r="I46">
        <v>8</v>
      </c>
      <c r="J46">
        <v>15</v>
      </c>
      <c r="K46">
        <v>9</v>
      </c>
      <c r="L46" t="s">
        <v>174</v>
      </c>
      <c r="M46" t="s">
        <v>180</v>
      </c>
      <c r="N46" t="s">
        <v>133</v>
      </c>
      <c r="O46">
        <v>4</v>
      </c>
      <c r="P46">
        <v>2</v>
      </c>
      <c r="Q46" t="s">
        <v>154</v>
      </c>
      <c r="R46" t="s">
        <v>135</v>
      </c>
      <c r="T46" t="s">
        <v>191</v>
      </c>
      <c r="U46" t="s">
        <v>187</v>
      </c>
      <c r="V46" t="s">
        <v>138</v>
      </c>
      <c r="W46" t="s">
        <v>139</v>
      </c>
      <c r="X46" t="s">
        <v>133</v>
      </c>
      <c r="Z46">
        <v>1</v>
      </c>
      <c r="AA46">
        <v>3</v>
      </c>
      <c r="AB46">
        <v>3</v>
      </c>
      <c r="AD46">
        <v>0</v>
      </c>
      <c r="AE46">
        <v>0</v>
      </c>
      <c r="AF46" t="s">
        <v>133</v>
      </c>
      <c r="AG46" t="s">
        <v>140</v>
      </c>
      <c r="AH46" t="s">
        <v>141</v>
      </c>
      <c r="AI46" s="4">
        <v>15</v>
      </c>
      <c r="AJ46" s="4">
        <v>4</v>
      </c>
      <c r="AK46" s="4">
        <v>0</v>
      </c>
      <c r="AL46" s="4">
        <v>19</v>
      </c>
      <c r="AM46" t="s">
        <v>229</v>
      </c>
    </row>
    <row r="47" spans="1:39" x14ac:dyDescent="0.3">
      <c r="A47" t="s">
        <v>127</v>
      </c>
      <c r="B47">
        <v>8</v>
      </c>
      <c r="C47">
        <v>8029</v>
      </c>
      <c r="D47" t="s">
        <v>161</v>
      </c>
      <c r="E47">
        <v>1</v>
      </c>
      <c r="F47" t="s">
        <v>162</v>
      </c>
      <c r="G47" t="s">
        <v>130</v>
      </c>
      <c r="H47" t="s">
        <v>131</v>
      </c>
      <c r="I47">
        <v>5</v>
      </c>
      <c r="J47">
        <v>11</v>
      </c>
      <c r="K47">
        <v>12</v>
      </c>
      <c r="L47" t="s">
        <v>174</v>
      </c>
      <c r="M47" t="s">
        <v>166</v>
      </c>
      <c r="N47" t="s">
        <v>133</v>
      </c>
      <c r="O47">
        <v>3</v>
      </c>
      <c r="P47">
        <v>3</v>
      </c>
      <c r="Q47" t="s">
        <v>134</v>
      </c>
      <c r="R47" t="s">
        <v>135</v>
      </c>
      <c r="T47" t="s">
        <v>203</v>
      </c>
      <c r="U47" t="s">
        <v>137</v>
      </c>
      <c r="V47" t="s">
        <v>170</v>
      </c>
      <c r="W47" t="s">
        <v>139</v>
      </c>
      <c r="X47" t="s">
        <v>133</v>
      </c>
      <c r="Z47">
        <v>2</v>
      </c>
      <c r="AA47">
        <v>2</v>
      </c>
      <c r="AB47">
        <v>2</v>
      </c>
      <c r="AC47" t="s">
        <v>182</v>
      </c>
      <c r="AD47">
        <v>0</v>
      </c>
      <c r="AE47">
        <v>0</v>
      </c>
      <c r="AF47" t="s">
        <v>133</v>
      </c>
      <c r="AG47" t="s">
        <v>140</v>
      </c>
      <c r="AH47" t="s">
        <v>183</v>
      </c>
      <c r="AI47" s="4">
        <v>11</v>
      </c>
      <c r="AJ47" s="4">
        <v>3</v>
      </c>
      <c r="AK47" s="4">
        <v>0</v>
      </c>
      <c r="AL47" s="4">
        <v>14</v>
      </c>
      <c r="AM47" t="s">
        <v>230</v>
      </c>
    </row>
    <row r="48" spans="1:39" x14ac:dyDescent="0.3">
      <c r="A48" t="s">
        <v>127</v>
      </c>
      <c r="B48">
        <v>8</v>
      </c>
      <c r="C48">
        <v>9082</v>
      </c>
      <c r="D48" t="s">
        <v>161</v>
      </c>
      <c r="E48">
        <v>2</v>
      </c>
      <c r="F48" t="s">
        <v>164</v>
      </c>
      <c r="G48" t="s">
        <v>130</v>
      </c>
      <c r="H48" t="s">
        <v>131</v>
      </c>
      <c r="I48">
        <v>8</v>
      </c>
      <c r="J48">
        <v>9</v>
      </c>
      <c r="K48">
        <v>1</v>
      </c>
      <c r="L48" t="s">
        <v>174</v>
      </c>
      <c r="M48" t="s">
        <v>180</v>
      </c>
      <c r="N48" t="s">
        <v>133</v>
      </c>
      <c r="O48">
        <v>55</v>
      </c>
      <c r="P48">
        <v>6</v>
      </c>
      <c r="Q48" t="s">
        <v>145</v>
      </c>
      <c r="R48" t="s">
        <v>146</v>
      </c>
      <c r="S48" t="s">
        <v>147</v>
      </c>
      <c r="T48" t="s">
        <v>148</v>
      </c>
      <c r="U48" t="s">
        <v>158</v>
      </c>
      <c r="V48" t="s">
        <v>133</v>
      </c>
      <c r="W48" t="s">
        <v>139</v>
      </c>
      <c r="X48" t="s">
        <v>133</v>
      </c>
      <c r="Z48">
        <v>5</v>
      </c>
      <c r="AA48">
        <v>5</v>
      </c>
      <c r="AB48">
        <v>5</v>
      </c>
      <c r="AD48">
        <v>0</v>
      </c>
      <c r="AE48">
        <v>0</v>
      </c>
      <c r="AF48" t="s">
        <v>133</v>
      </c>
      <c r="AG48" t="s">
        <v>130</v>
      </c>
      <c r="AH48" t="s">
        <v>167</v>
      </c>
      <c r="AI48" s="4">
        <v>9</v>
      </c>
      <c r="AJ48" s="4">
        <v>55</v>
      </c>
      <c r="AK48" s="4">
        <v>0</v>
      </c>
      <c r="AL48" s="4">
        <v>64</v>
      </c>
      <c r="AM48" t="s">
        <v>231</v>
      </c>
    </row>
    <row r="49" spans="1:39" x14ac:dyDescent="0.3">
      <c r="A49" t="s">
        <v>127</v>
      </c>
      <c r="B49">
        <v>8</v>
      </c>
      <c r="C49">
        <v>2481</v>
      </c>
      <c r="D49" t="s">
        <v>161</v>
      </c>
      <c r="E49">
        <v>3</v>
      </c>
      <c r="F49" t="s">
        <v>169</v>
      </c>
      <c r="G49" t="s">
        <v>130</v>
      </c>
      <c r="H49" t="s">
        <v>131</v>
      </c>
      <c r="I49">
        <v>8</v>
      </c>
      <c r="J49">
        <v>74</v>
      </c>
      <c r="K49">
        <v>22</v>
      </c>
      <c r="L49" t="s">
        <v>174</v>
      </c>
      <c r="M49" t="s">
        <v>180</v>
      </c>
      <c r="N49" t="s">
        <v>133</v>
      </c>
      <c r="O49">
        <v>156</v>
      </c>
      <c r="P49">
        <v>47</v>
      </c>
      <c r="Q49" t="s">
        <v>145</v>
      </c>
      <c r="R49" t="s">
        <v>146</v>
      </c>
      <c r="S49" t="s">
        <v>147</v>
      </c>
      <c r="T49" t="s">
        <v>148</v>
      </c>
      <c r="U49" t="s">
        <v>149</v>
      </c>
      <c r="V49" t="s">
        <v>133</v>
      </c>
      <c r="W49" t="s">
        <v>170</v>
      </c>
      <c r="X49" t="s">
        <v>133</v>
      </c>
      <c r="Z49">
        <v>5</v>
      </c>
      <c r="AA49">
        <v>3</v>
      </c>
      <c r="AB49">
        <v>4</v>
      </c>
      <c r="AD49">
        <v>0</v>
      </c>
      <c r="AE49">
        <v>0</v>
      </c>
      <c r="AF49" t="s">
        <v>133</v>
      </c>
      <c r="AG49" t="s">
        <v>130</v>
      </c>
      <c r="AH49" t="s">
        <v>227</v>
      </c>
      <c r="AI49" s="4">
        <v>74</v>
      </c>
      <c r="AJ49" s="4">
        <v>156</v>
      </c>
      <c r="AK49" s="4">
        <v>0</v>
      </c>
      <c r="AL49" s="4">
        <v>230</v>
      </c>
      <c r="AM49" t="s">
        <v>232</v>
      </c>
    </row>
    <row r="50" spans="1:39" x14ac:dyDescent="0.3">
      <c r="A50" t="s">
        <v>127</v>
      </c>
      <c r="B50">
        <v>9</v>
      </c>
      <c r="C50">
        <v>6651</v>
      </c>
      <c r="D50" t="s">
        <v>128</v>
      </c>
      <c r="E50">
        <v>1</v>
      </c>
      <c r="F50" t="s">
        <v>129</v>
      </c>
      <c r="G50" t="s">
        <v>130</v>
      </c>
      <c r="H50" t="s">
        <v>144</v>
      </c>
      <c r="I50">
        <v>8</v>
      </c>
      <c r="J50">
        <v>10</v>
      </c>
      <c r="K50">
        <v>5</v>
      </c>
      <c r="L50" t="s">
        <v>174</v>
      </c>
      <c r="M50" t="s">
        <v>166</v>
      </c>
      <c r="N50" t="s">
        <v>133</v>
      </c>
      <c r="O50">
        <v>24</v>
      </c>
      <c r="P50">
        <v>11</v>
      </c>
      <c r="Q50" t="s">
        <v>154</v>
      </c>
      <c r="R50" t="s">
        <v>135</v>
      </c>
      <c r="T50" t="s">
        <v>157</v>
      </c>
      <c r="U50" t="s">
        <v>187</v>
      </c>
      <c r="V50" t="s">
        <v>133</v>
      </c>
      <c r="W50" t="s">
        <v>139</v>
      </c>
      <c r="X50" t="s">
        <v>133</v>
      </c>
      <c r="Z50">
        <v>2</v>
      </c>
      <c r="AA50">
        <v>2</v>
      </c>
      <c r="AB50">
        <v>3</v>
      </c>
      <c r="AC50" t="s">
        <v>233</v>
      </c>
      <c r="AD50">
        <v>0</v>
      </c>
      <c r="AE50">
        <v>0</v>
      </c>
      <c r="AF50" t="s">
        <v>133</v>
      </c>
      <c r="AG50" t="s">
        <v>139</v>
      </c>
      <c r="AI50" s="4">
        <v>10</v>
      </c>
      <c r="AJ50" s="4">
        <v>24</v>
      </c>
      <c r="AK50" s="4">
        <v>0</v>
      </c>
      <c r="AL50" s="4">
        <v>34</v>
      </c>
      <c r="AM50" t="s">
        <v>234</v>
      </c>
    </row>
    <row r="51" spans="1:39" x14ac:dyDescent="0.3">
      <c r="A51" t="s">
        <v>127</v>
      </c>
      <c r="B51">
        <v>9</v>
      </c>
      <c r="C51">
        <v>8096</v>
      </c>
      <c r="D51" t="s">
        <v>128</v>
      </c>
      <c r="E51">
        <v>2</v>
      </c>
      <c r="F51" t="s">
        <v>143</v>
      </c>
      <c r="G51" t="s">
        <v>130</v>
      </c>
      <c r="H51" t="s">
        <v>144</v>
      </c>
      <c r="I51">
        <v>8</v>
      </c>
      <c r="J51">
        <v>12</v>
      </c>
      <c r="K51">
        <v>4</v>
      </c>
      <c r="L51" t="s">
        <v>165</v>
      </c>
      <c r="M51" t="s">
        <v>166</v>
      </c>
      <c r="N51" t="s">
        <v>133</v>
      </c>
      <c r="O51">
        <v>30</v>
      </c>
      <c r="P51">
        <v>9</v>
      </c>
      <c r="Q51" t="s">
        <v>154</v>
      </c>
      <c r="R51" t="s">
        <v>155</v>
      </c>
      <c r="S51" t="s">
        <v>156</v>
      </c>
      <c r="T51" t="s">
        <v>157</v>
      </c>
      <c r="U51" t="s">
        <v>187</v>
      </c>
      <c r="V51" t="s">
        <v>133</v>
      </c>
      <c r="W51" t="s">
        <v>139</v>
      </c>
      <c r="X51" t="s">
        <v>133</v>
      </c>
      <c r="Z51">
        <v>3</v>
      </c>
      <c r="AA51">
        <v>3</v>
      </c>
      <c r="AB51">
        <v>4</v>
      </c>
      <c r="AD51">
        <v>0</v>
      </c>
      <c r="AE51">
        <v>0</v>
      </c>
      <c r="AF51" t="s">
        <v>133</v>
      </c>
      <c r="AG51" t="s">
        <v>139</v>
      </c>
      <c r="AI51" s="4">
        <v>12</v>
      </c>
      <c r="AJ51" s="4">
        <v>30</v>
      </c>
      <c r="AK51" s="4">
        <v>0</v>
      </c>
      <c r="AL51" s="4">
        <v>42</v>
      </c>
      <c r="AM51" t="s">
        <v>235</v>
      </c>
    </row>
    <row r="52" spans="1:39" x14ac:dyDescent="0.3">
      <c r="A52" t="s">
        <v>127</v>
      </c>
      <c r="B52">
        <v>9</v>
      </c>
      <c r="C52">
        <v>8020</v>
      </c>
      <c r="D52" t="s">
        <v>128</v>
      </c>
      <c r="E52">
        <v>3</v>
      </c>
      <c r="F52" t="s">
        <v>152</v>
      </c>
      <c r="G52" t="s">
        <v>130</v>
      </c>
      <c r="H52" t="s">
        <v>131</v>
      </c>
      <c r="I52">
        <v>8</v>
      </c>
      <c r="J52">
        <v>26</v>
      </c>
      <c r="K52">
        <v>9</v>
      </c>
      <c r="L52" t="s">
        <v>174</v>
      </c>
      <c r="M52" t="s">
        <v>166</v>
      </c>
      <c r="N52" t="s">
        <v>133</v>
      </c>
      <c r="O52">
        <v>82</v>
      </c>
      <c r="P52">
        <v>27</v>
      </c>
      <c r="Q52" t="s">
        <v>145</v>
      </c>
      <c r="R52" t="s">
        <v>146</v>
      </c>
      <c r="S52" t="s">
        <v>147</v>
      </c>
      <c r="T52" t="s">
        <v>148</v>
      </c>
      <c r="U52" t="s">
        <v>149</v>
      </c>
      <c r="V52" t="s">
        <v>133</v>
      </c>
      <c r="W52" t="s">
        <v>139</v>
      </c>
      <c r="X52" t="s">
        <v>133</v>
      </c>
      <c r="Z52">
        <v>4</v>
      </c>
      <c r="AA52">
        <v>4</v>
      </c>
      <c r="AB52">
        <v>4</v>
      </c>
      <c r="AD52">
        <v>0</v>
      </c>
      <c r="AE52">
        <v>0</v>
      </c>
      <c r="AF52" t="s">
        <v>133</v>
      </c>
      <c r="AG52" t="s">
        <v>130</v>
      </c>
      <c r="AH52" t="s">
        <v>175</v>
      </c>
      <c r="AI52" s="4">
        <v>26</v>
      </c>
      <c r="AJ52" s="4">
        <v>82</v>
      </c>
      <c r="AK52" s="4">
        <v>0</v>
      </c>
      <c r="AL52" s="4">
        <v>108</v>
      </c>
      <c r="AM52" t="s">
        <v>236</v>
      </c>
    </row>
    <row r="53" spans="1:39" x14ac:dyDescent="0.3">
      <c r="A53" t="s">
        <v>127</v>
      </c>
      <c r="B53">
        <v>9</v>
      </c>
      <c r="C53">
        <v>7848</v>
      </c>
      <c r="D53" t="s">
        <v>161</v>
      </c>
      <c r="E53">
        <v>1</v>
      </c>
      <c r="F53" t="s">
        <v>162</v>
      </c>
      <c r="G53" t="s">
        <v>130</v>
      </c>
      <c r="H53" t="s">
        <v>144</v>
      </c>
      <c r="I53">
        <v>8</v>
      </c>
      <c r="J53">
        <v>2</v>
      </c>
      <c r="K53">
        <v>1</v>
      </c>
      <c r="L53" t="s">
        <v>132</v>
      </c>
      <c r="N53" t="s">
        <v>133</v>
      </c>
      <c r="O53">
        <v>38</v>
      </c>
      <c r="P53">
        <v>10</v>
      </c>
      <c r="Q53" t="s">
        <v>145</v>
      </c>
      <c r="R53" t="s">
        <v>155</v>
      </c>
      <c r="S53" t="s">
        <v>156</v>
      </c>
      <c r="T53" t="s">
        <v>157</v>
      </c>
      <c r="U53" t="s">
        <v>158</v>
      </c>
      <c r="V53" t="s">
        <v>133</v>
      </c>
      <c r="W53" t="s">
        <v>139</v>
      </c>
      <c r="X53" t="s">
        <v>133</v>
      </c>
      <c r="Z53">
        <v>4</v>
      </c>
      <c r="AA53">
        <v>3</v>
      </c>
      <c r="AB53">
        <v>4</v>
      </c>
      <c r="AD53">
        <v>0</v>
      </c>
      <c r="AE53">
        <v>0</v>
      </c>
      <c r="AF53" t="s">
        <v>133</v>
      </c>
      <c r="AG53" t="s">
        <v>140</v>
      </c>
      <c r="AI53" s="4">
        <v>2</v>
      </c>
      <c r="AJ53" s="4">
        <v>38</v>
      </c>
      <c r="AK53" s="4">
        <v>0</v>
      </c>
      <c r="AL53" s="4">
        <v>40</v>
      </c>
      <c r="AM53" t="s">
        <v>237</v>
      </c>
    </row>
    <row r="54" spans="1:39" x14ac:dyDescent="0.3">
      <c r="A54" t="s">
        <v>127</v>
      </c>
      <c r="B54">
        <v>9</v>
      </c>
      <c r="C54">
        <v>6237</v>
      </c>
      <c r="D54" t="s">
        <v>161</v>
      </c>
      <c r="E54">
        <v>2</v>
      </c>
      <c r="F54" t="s">
        <v>164</v>
      </c>
      <c r="G54" t="s">
        <v>130</v>
      </c>
      <c r="H54" t="s">
        <v>144</v>
      </c>
      <c r="I54">
        <v>8</v>
      </c>
      <c r="J54">
        <v>3</v>
      </c>
      <c r="K54">
        <v>1</v>
      </c>
      <c r="L54" t="s">
        <v>132</v>
      </c>
      <c r="N54" t="s">
        <v>133</v>
      </c>
      <c r="O54">
        <v>51</v>
      </c>
      <c r="P54">
        <v>20</v>
      </c>
      <c r="Q54" t="s">
        <v>145</v>
      </c>
      <c r="R54" t="s">
        <v>146</v>
      </c>
      <c r="S54" t="s">
        <v>147</v>
      </c>
      <c r="T54" t="s">
        <v>148</v>
      </c>
      <c r="U54" t="s">
        <v>149</v>
      </c>
      <c r="V54" t="s">
        <v>133</v>
      </c>
      <c r="W54" t="s">
        <v>170</v>
      </c>
      <c r="X54" t="s">
        <v>133</v>
      </c>
      <c r="Z54">
        <v>3</v>
      </c>
      <c r="AA54">
        <v>5</v>
      </c>
      <c r="AB54">
        <v>4</v>
      </c>
      <c r="AD54">
        <v>1</v>
      </c>
      <c r="AE54">
        <v>0</v>
      </c>
      <c r="AF54" t="s">
        <v>133</v>
      </c>
      <c r="AG54" t="s">
        <v>130</v>
      </c>
      <c r="AH54" t="s">
        <v>175</v>
      </c>
      <c r="AI54" s="4">
        <v>3</v>
      </c>
      <c r="AJ54" s="4">
        <v>51</v>
      </c>
      <c r="AK54" s="4">
        <v>0</v>
      </c>
      <c r="AL54" s="4">
        <v>54</v>
      </c>
      <c r="AM54" t="s">
        <v>238</v>
      </c>
    </row>
    <row r="55" spans="1:39" x14ac:dyDescent="0.3">
      <c r="A55" t="s">
        <v>127</v>
      </c>
      <c r="B55">
        <v>9</v>
      </c>
      <c r="C55">
        <v>4787</v>
      </c>
      <c r="D55" t="s">
        <v>161</v>
      </c>
      <c r="E55">
        <v>3</v>
      </c>
      <c r="F55" t="s">
        <v>169</v>
      </c>
      <c r="G55" t="s">
        <v>130</v>
      </c>
      <c r="H55" t="s">
        <v>153</v>
      </c>
      <c r="I55">
        <v>7</v>
      </c>
      <c r="J55">
        <v>0</v>
      </c>
      <c r="K55">
        <v>0</v>
      </c>
      <c r="N55" t="s">
        <v>133</v>
      </c>
      <c r="O55">
        <v>22</v>
      </c>
      <c r="P55">
        <v>12</v>
      </c>
      <c r="Q55" t="s">
        <v>154</v>
      </c>
      <c r="R55" t="s">
        <v>155</v>
      </c>
      <c r="S55" t="s">
        <v>156</v>
      </c>
      <c r="T55" t="s">
        <v>157</v>
      </c>
      <c r="U55" t="s">
        <v>187</v>
      </c>
      <c r="V55" t="s">
        <v>133</v>
      </c>
      <c r="W55" t="s">
        <v>139</v>
      </c>
      <c r="X55" t="s">
        <v>133</v>
      </c>
      <c r="Z55">
        <v>3</v>
      </c>
      <c r="AA55">
        <v>3</v>
      </c>
      <c r="AB55">
        <v>3</v>
      </c>
      <c r="AD55">
        <v>1</v>
      </c>
      <c r="AE55">
        <v>0</v>
      </c>
      <c r="AF55" t="s">
        <v>133</v>
      </c>
      <c r="AG55" t="s">
        <v>139</v>
      </c>
      <c r="AI55" s="4">
        <v>0</v>
      </c>
      <c r="AJ55" s="4">
        <v>22</v>
      </c>
      <c r="AK55" s="4">
        <v>0</v>
      </c>
      <c r="AL55" s="4">
        <v>22</v>
      </c>
      <c r="AM55" t="s">
        <v>239</v>
      </c>
    </row>
    <row r="56" spans="1:39" x14ac:dyDescent="0.3">
      <c r="A56" t="s">
        <v>127</v>
      </c>
      <c r="B56">
        <v>10</v>
      </c>
      <c r="C56">
        <v>1625</v>
      </c>
      <c r="D56" t="s">
        <v>128</v>
      </c>
      <c r="E56">
        <v>1</v>
      </c>
      <c r="F56" t="s">
        <v>129</v>
      </c>
      <c r="G56" t="s">
        <v>130</v>
      </c>
      <c r="H56" t="s">
        <v>153</v>
      </c>
      <c r="I56">
        <v>8</v>
      </c>
      <c r="J56">
        <v>15</v>
      </c>
      <c r="K56">
        <v>6</v>
      </c>
      <c r="L56" t="s">
        <v>174</v>
      </c>
      <c r="M56" t="s">
        <v>166</v>
      </c>
      <c r="N56" t="s">
        <v>133</v>
      </c>
      <c r="O56">
        <v>71</v>
      </c>
      <c r="P56">
        <v>27</v>
      </c>
      <c r="Q56" t="s">
        <v>145</v>
      </c>
      <c r="R56" t="s">
        <v>146</v>
      </c>
      <c r="S56" t="s">
        <v>147</v>
      </c>
      <c r="T56" t="s">
        <v>148</v>
      </c>
      <c r="U56" t="s">
        <v>149</v>
      </c>
      <c r="V56" t="s">
        <v>133</v>
      </c>
      <c r="W56" t="s">
        <v>139</v>
      </c>
      <c r="X56" t="s">
        <v>133</v>
      </c>
      <c r="Z56">
        <v>3</v>
      </c>
      <c r="AA56">
        <v>5</v>
      </c>
      <c r="AB56">
        <v>4</v>
      </c>
      <c r="AD56">
        <v>0</v>
      </c>
      <c r="AE56">
        <v>0</v>
      </c>
      <c r="AF56" t="s">
        <v>133</v>
      </c>
      <c r="AG56" t="s">
        <v>130</v>
      </c>
      <c r="AH56" t="s">
        <v>167</v>
      </c>
      <c r="AI56" s="4">
        <v>15</v>
      </c>
      <c r="AJ56" s="4">
        <v>71</v>
      </c>
      <c r="AK56" s="4">
        <v>0</v>
      </c>
      <c r="AL56" s="4">
        <v>86</v>
      </c>
      <c r="AM56" t="s">
        <v>240</v>
      </c>
    </row>
    <row r="57" spans="1:39" x14ac:dyDescent="0.3">
      <c r="A57" t="s">
        <v>127</v>
      </c>
      <c r="B57">
        <v>10</v>
      </c>
      <c r="C57">
        <v>3067</v>
      </c>
      <c r="D57" t="s">
        <v>128</v>
      </c>
      <c r="E57">
        <v>2</v>
      </c>
      <c r="F57" t="s">
        <v>143</v>
      </c>
      <c r="G57" t="s">
        <v>130</v>
      </c>
      <c r="H57" t="s">
        <v>153</v>
      </c>
      <c r="I57">
        <v>8</v>
      </c>
      <c r="J57">
        <v>2</v>
      </c>
      <c r="K57">
        <v>0</v>
      </c>
      <c r="L57" t="s">
        <v>132</v>
      </c>
      <c r="N57" t="s">
        <v>133</v>
      </c>
      <c r="O57">
        <v>46</v>
      </c>
      <c r="P57">
        <v>9</v>
      </c>
      <c r="Q57" t="s">
        <v>145</v>
      </c>
      <c r="R57" t="s">
        <v>155</v>
      </c>
      <c r="S57" t="s">
        <v>178</v>
      </c>
      <c r="T57" t="s">
        <v>157</v>
      </c>
      <c r="U57" t="s">
        <v>158</v>
      </c>
      <c r="V57" t="s">
        <v>133</v>
      </c>
      <c r="W57" t="s">
        <v>139</v>
      </c>
      <c r="X57" t="s">
        <v>133</v>
      </c>
      <c r="Z57">
        <v>3</v>
      </c>
      <c r="AA57">
        <v>4</v>
      </c>
      <c r="AB57">
        <v>5</v>
      </c>
      <c r="AD57">
        <v>0</v>
      </c>
      <c r="AE57">
        <v>0</v>
      </c>
      <c r="AF57" t="s">
        <v>133</v>
      </c>
      <c r="AG57" t="s">
        <v>139</v>
      </c>
      <c r="AI57" s="4">
        <v>2</v>
      </c>
      <c r="AJ57" s="4">
        <v>46</v>
      </c>
      <c r="AK57" s="4">
        <v>0</v>
      </c>
      <c r="AL57" s="4">
        <v>48</v>
      </c>
      <c r="AM57" t="s">
        <v>241</v>
      </c>
    </row>
    <row r="58" spans="1:39" x14ac:dyDescent="0.3">
      <c r="A58" t="s">
        <v>127</v>
      </c>
      <c r="B58">
        <v>10</v>
      </c>
      <c r="C58">
        <v>7472</v>
      </c>
      <c r="D58" t="s">
        <v>128</v>
      </c>
      <c r="E58">
        <v>3</v>
      </c>
      <c r="F58" t="s">
        <v>152</v>
      </c>
      <c r="G58" t="s">
        <v>130</v>
      </c>
      <c r="H58" t="s">
        <v>131</v>
      </c>
      <c r="I58">
        <v>8</v>
      </c>
      <c r="J58">
        <v>2</v>
      </c>
      <c r="K58">
        <v>2</v>
      </c>
      <c r="L58" t="s">
        <v>132</v>
      </c>
      <c r="N58" t="s">
        <v>133</v>
      </c>
      <c r="O58">
        <v>3</v>
      </c>
      <c r="P58">
        <v>3</v>
      </c>
      <c r="Q58" t="s">
        <v>134</v>
      </c>
      <c r="R58" t="s">
        <v>135</v>
      </c>
      <c r="T58" t="s">
        <v>203</v>
      </c>
      <c r="U58" t="s">
        <v>137</v>
      </c>
      <c r="V58" t="s">
        <v>133</v>
      </c>
      <c r="W58" t="s">
        <v>139</v>
      </c>
      <c r="X58" t="s">
        <v>133</v>
      </c>
      <c r="Z58">
        <v>2</v>
      </c>
      <c r="AA58">
        <v>2</v>
      </c>
      <c r="AB58">
        <v>1</v>
      </c>
      <c r="AD58">
        <v>0</v>
      </c>
      <c r="AE58">
        <v>0</v>
      </c>
      <c r="AF58" t="s">
        <v>133</v>
      </c>
      <c r="AG58" t="s">
        <v>139</v>
      </c>
      <c r="AH58" t="s">
        <v>185</v>
      </c>
      <c r="AI58" s="4">
        <v>2</v>
      </c>
      <c r="AJ58" s="4">
        <v>3</v>
      </c>
      <c r="AK58" s="4">
        <v>0</v>
      </c>
      <c r="AL58" s="4">
        <v>5</v>
      </c>
      <c r="AM58" t="s">
        <v>242</v>
      </c>
    </row>
    <row r="59" spans="1:39" x14ac:dyDescent="0.3">
      <c r="A59" t="s">
        <v>127</v>
      </c>
      <c r="B59">
        <v>10</v>
      </c>
      <c r="C59">
        <v>2022</v>
      </c>
      <c r="D59" t="s">
        <v>161</v>
      </c>
      <c r="E59">
        <v>1</v>
      </c>
      <c r="F59" t="s">
        <v>162</v>
      </c>
      <c r="G59" t="s">
        <v>130</v>
      </c>
      <c r="H59" t="s">
        <v>131</v>
      </c>
      <c r="I59">
        <v>8</v>
      </c>
      <c r="J59">
        <v>6</v>
      </c>
      <c r="K59">
        <v>1</v>
      </c>
      <c r="L59" t="s">
        <v>132</v>
      </c>
      <c r="N59" t="s">
        <v>133</v>
      </c>
      <c r="O59">
        <v>26</v>
      </c>
      <c r="P59">
        <v>3</v>
      </c>
      <c r="Q59" t="s">
        <v>154</v>
      </c>
      <c r="R59" t="s">
        <v>155</v>
      </c>
      <c r="S59" t="s">
        <v>156</v>
      </c>
      <c r="T59" t="s">
        <v>157</v>
      </c>
      <c r="U59" t="s">
        <v>158</v>
      </c>
      <c r="V59" t="s">
        <v>133</v>
      </c>
      <c r="W59" t="s">
        <v>139</v>
      </c>
      <c r="X59" t="s">
        <v>133</v>
      </c>
      <c r="Z59">
        <v>3</v>
      </c>
      <c r="AA59">
        <v>4</v>
      </c>
      <c r="AB59">
        <v>4</v>
      </c>
      <c r="AD59">
        <v>0</v>
      </c>
      <c r="AE59">
        <v>0</v>
      </c>
      <c r="AF59" t="s">
        <v>133</v>
      </c>
      <c r="AG59" t="s">
        <v>140</v>
      </c>
      <c r="AI59" s="4">
        <v>6</v>
      </c>
      <c r="AJ59" s="4">
        <v>26</v>
      </c>
      <c r="AK59" s="4">
        <v>0</v>
      </c>
      <c r="AL59" s="4">
        <v>32</v>
      </c>
      <c r="AM59" t="s">
        <v>243</v>
      </c>
    </row>
    <row r="60" spans="1:39" x14ac:dyDescent="0.3">
      <c r="A60" t="s">
        <v>127</v>
      </c>
      <c r="B60">
        <v>10</v>
      </c>
      <c r="C60">
        <v>4423</v>
      </c>
      <c r="D60" t="s">
        <v>161</v>
      </c>
      <c r="E60">
        <v>2</v>
      </c>
      <c r="F60" t="s">
        <v>164</v>
      </c>
      <c r="G60" t="s">
        <v>130</v>
      </c>
      <c r="H60" t="s">
        <v>144</v>
      </c>
      <c r="I60">
        <v>8</v>
      </c>
      <c r="J60">
        <v>1</v>
      </c>
      <c r="K60">
        <v>0</v>
      </c>
      <c r="L60" t="s">
        <v>132</v>
      </c>
      <c r="N60" t="s">
        <v>133</v>
      </c>
      <c r="O60">
        <v>46</v>
      </c>
      <c r="P60">
        <v>16</v>
      </c>
      <c r="Q60" t="s">
        <v>145</v>
      </c>
      <c r="R60" t="s">
        <v>155</v>
      </c>
      <c r="S60" t="s">
        <v>147</v>
      </c>
      <c r="T60" t="s">
        <v>148</v>
      </c>
      <c r="U60" t="s">
        <v>158</v>
      </c>
      <c r="V60" t="s">
        <v>133</v>
      </c>
      <c r="W60" t="s">
        <v>139</v>
      </c>
      <c r="X60" t="s">
        <v>195</v>
      </c>
      <c r="Y60" t="s">
        <v>196</v>
      </c>
      <c r="Z60">
        <v>3</v>
      </c>
      <c r="AA60">
        <v>4</v>
      </c>
      <c r="AB60">
        <v>4</v>
      </c>
      <c r="AD60">
        <v>0</v>
      </c>
      <c r="AE60">
        <v>0</v>
      </c>
      <c r="AF60" t="s">
        <v>133</v>
      </c>
      <c r="AG60" t="s">
        <v>140</v>
      </c>
      <c r="AH60" t="s">
        <v>244</v>
      </c>
      <c r="AI60" s="4">
        <v>1</v>
      </c>
      <c r="AJ60" s="4">
        <v>46</v>
      </c>
      <c r="AK60" s="4">
        <v>10</v>
      </c>
      <c r="AL60" s="4">
        <v>57</v>
      </c>
      <c r="AM60" t="s">
        <v>245</v>
      </c>
    </row>
    <row r="61" spans="1:39" x14ac:dyDescent="0.3">
      <c r="A61" t="s">
        <v>127</v>
      </c>
      <c r="B61">
        <v>10</v>
      </c>
      <c r="C61">
        <v>7417</v>
      </c>
      <c r="D61" t="s">
        <v>161</v>
      </c>
      <c r="E61">
        <v>3</v>
      </c>
      <c r="F61" t="s">
        <v>169</v>
      </c>
      <c r="G61" t="s">
        <v>130</v>
      </c>
      <c r="H61" t="s">
        <v>144</v>
      </c>
      <c r="I61">
        <v>8</v>
      </c>
      <c r="J61">
        <v>14</v>
      </c>
      <c r="K61">
        <v>9</v>
      </c>
      <c r="L61" t="s">
        <v>165</v>
      </c>
      <c r="M61" t="s">
        <v>166</v>
      </c>
      <c r="N61" t="s">
        <v>133</v>
      </c>
      <c r="O61">
        <v>2</v>
      </c>
      <c r="P61">
        <v>1</v>
      </c>
      <c r="Q61" t="s">
        <v>134</v>
      </c>
      <c r="R61" t="s">
        <v>135</v>
      </c>
      <c r="T61" t="s">
        <v>136</v>
      </c>
      <c r="U61" t="s">
        <v>137</v>
      </c>
      <c r="V61" t="s">
        <v>133</v>
      </c>
      <c r="W61" t="s">
        <v>139</v>
      </c>
      <c r="X61" t="s">
        <v>133</v>
      </c>
      <c r="Z61">
        <v>2</v>
      </c>
      <c r="AA61">
        <v>2</v>
      </c>
      <c r="AB61">
        <v>4</v>
      </c>
      <c r="AD61">
        <v>0</v>
      </c>
      <c r="AE61">
        <v>0</v>
      </c>
      <c r="AF61" t="s">
        <v>133</v>
      </c>
      <c r="AG61" t="s">
        <v>139</v>
      </c>
      <c r="AH61" t="s">
        <v>185</v>
      </c>
      <c r="AI61" s="4">
        <v>14</v>
      </c>
      <c r="AJ61" s="4">
        <v>2</v>
      </c>
      <c r="AK61" s="4">
        <v>0</v>
      </c>
      <c r="AL61" s="4">
        <v>16</v>
      </c>
      <c r="AM61" t="s">
        <v>246</v>
      </c>
    </row>
    <row r="62" spans="1:39" x14ac:dyDescent="0.3">
      <c r="A62" t="s">
        <v>127</v>
      </c>
      <c r="B62">
        <v>11</v>
      </c>
      <c r="C62">
        <v>4156</v>
      </c>
      <c r="D62" t="s">
        <v>128</v>
      </c>
      <c r="E62">
        <v>1</v>
      </c>
      <c r="F62" t="s">
        <v>129</v>
      </c>
      <c r="G62" t="s">
        <v>130</v>
      </c>
      <c r="H62" t="s">
        <v>131</v>
      </c>
      <c r="I62">
        <v>8</v>
      </c>
      <c r="J62">
        <v>0</v>
      </c>
      <c r="K62">
        <v>0</v>
      </c>
      <c r="N62" t="s">
        <v>133</v>
      </c>
      <c r="O62">
        <v>4</v>
      </c>
      <c r="P62">
        <v>2</v>
      </c>
      <c r="Q62" t="s">
        <v>134</v>
      </c>
      <c r="R62" t="s">
        <v>135</v>
      </c>
      <c r="T62" t="s">
        <v>136</v>
      </c>
      <c r="U62" t="s">
        <v>137</v>
      </c>
      <c r="V62" t="s">
        <v>133</v>
      </c>
      <c r="W62" t="s">
        <v>139</v>
      </c>
      <c r="X62" t="s">
        <v>133</v>
      </c>
      <c r="Z62">
        <v>1</v>
      </c>
      <c r="AA62">
        <v>1</v>
      </c>
      <c r="AB62">
        <v>3</v>
      </c>
      <c r="AD62">
        <v>0</v>
      </c>
      <c r="AE62">
        <v>0</v>
      </c>
      <c r="AF62" t="s">
        <v>133</v>
      </c>
      <c r="AG62" t="s">
        <v>139</v>
      </c>
      <c r="AH62" t="s">
        <v>185</v>
      </c>
      <c r="AI62" s="4">
        <v>0</v>
      </c>
      <c r="AJ62" s="4">
        <v>4</v>
      </c>
      <c r="AK62" s="4">
        <v>0</v>
      </c>
      <c r="AL62" s="4">
        <v>4</v>
      </c>
      <c r="AM62" t="s">
        <v>247</v>
      </c>
    </row>
    <row r="63" spans="1:39" x14ac:dyDescent="0.3">
      <c r="A63" t="s">
        <v>127</v>
      </c>
      <c r="B63">
        <v>11</v>
      </c>
      <c r="C63">
        <v>4655</v>
      </c>
      <c r="D63" t="s">
        <v>128</v>
      </c>
      <c r="E63">
        <v>2</v>
      </c>
      <c r="F63" t="s">
        <v>143</v>
      </c>
      <c r="G63" t="s">
        <v>130</v>
      </c>
      <c r="H63" t="s">
        <v>131</v>
      </c>
      <c r="I63">
        <v>8</v>
      </c>
      <c r="J63">
        <v>1</v>
      </c>
      <c r="K63">
        <v>0</v>
      </c>
      <c r="L63" t="s">
        <v>165</v>
      </c>
      <c r="N63" t="s">
        <v>133</v>
      </c>
      <c r="O63">
        <v>29</v>
      </c>
      <c r="P63">
        <v>9</v>
      </c>
      <c r="Q63" t="s">
        <v>145</v>
      </c>
      <c r="R63" t="s">
        <v>155</v>
      </c>
      <c r="S63" t="s">
        <v>147</v>
      </c>
      <c r="T63" t="s">
        <v>148</v>
      </c>
      <c r="U63" t="s">
        <v>158</v>
      </c>
      <c r="V63" t="s">
        <v>133</v>
      </c>
      <c r="W63" t="s">
        <v>139</v>
      </c>
      <c r="X63" t="s">
        <v>133</v>
      </c>
      <c r="Z63">
        <v>4</v>
      </c>
      <c r="AA63">
        <v>3</v>
      </c>
      <c r="AB63">
        <v>4</v>
      </c>
      <c r="AD63">
        <v>0</v>
      </c>
      <c r="AE63">
        <v>0</v>
      </c>
      <c r="AF63" t="s">
        <v>133</v>
      </c>
      <c r="AG63" t="s">
        <v>139</v>
      </c>
      <c r="AI63" s="4">
        <v>1</v>
      </c>
      <c r="AJ63" s="4">
        <v>29</v>
      </c>
      <c r="AK63" s="4">
        <v>0</v>
      </c>
      <c r="AL63" s="4">
        <v>30</v>
      </c>
      <c r="AM63" t="s">
        <v>248</v>
      </c>
    </row>
    <row r="64" spans="1:39" x14ac:dyDescent="0.3">
      <c r="A64" t="s">
        <v>127</v>
      </c>
      <c r="B64">
        <v>11</v>
      </c>
      <c r="C64">
        <v>9082</v>
      </c>
      <c r="D64" t="s">
        <v>128</v>
      </c>
      <c r="E64">
        <v>3</v>
      </c>
      <c r="F64" t="s">
        <v>152</v>
      </c>
      <c r="G64" t="s">
        <v>130</v>
      </c>
      <c r="H64" t="s">
        <v>131</v>
      </c>
      <c r="I64">
        <v>8</v>
      </c>
      <c r="J64">
        <v>0</v>
      </c>
      <c r="K64">
        <v>0</v>
      </c>
      <c r="N64" t="s">
        <v>133</v>
      </c>
      <c r="O64">
        <v>69</v>
      </c>
      <c r="P64">
        <v>12</v>
      </c>
      <c r="Q64" t="s">
        <v>145</v>
      </c>
      <c r="R64" t="s">
        <v>146</v>
      </c>
      <c r="S64" t="s">
        <v>147</v>
      </c>
      <c r="T64" t="s">
        <v>148</v>
      </c>
      <c r="U64" t="s">
        <v>158</v>
      </c>
      <c r="V64" t="s">
        <v>133</v>
      </c>
      <c r="W64" t="s">
        <v>139</v>
      </c>
      <c r="X64" t="s">
        <v>133</v>
      </c>
      <c r="Z64">
        <v>4</v>
      </c>
      <c r="AA64">
        <v>3</v>
      </c>
      <c r="AB64">
        <v>4</v>
      </c>
      <c r="AD64">
        <v>0</v>
      </c>
      <c r="AE64">
        <v>0</v>
      </c>
      <c r="AF64" t="s">
        <v>133</v>
      </c>
      <c r="AG64" t="s">
        <v>130</v>
      </c>
      <c r="AH64" t="s">
        <v>167</v>
      </c>
      <c r="AI64" s="4">
        <v>0</v>
      </c>
      <c r="AJ64" s="4">
        <v>69</v>
      </c>
      <c r="AK64" s="4">
        <v>0</v>
      </c>
      <c r="AL64" s="4">
        <v>69</v>
      </c>
      <c r="AM64" t="s">
        <v>249</v>
      </c>
    </row>
    <row r="65" spans="1:39" x14ac:dyDescent="0.3">
      <c r="A65" t="s">
        <v>127</v>
      </c>
      <c r="B65">
        <v>11</v>
      </c>
      <c r="C65">
        <v>4096</v>
      </c>
      <c r="D65" t="s">
        <v>161</v>
      </c>
      <c r="E65">
        <v>1</v>
      </c>
      <c r="F65" t="s">
        <v>162</v>
      </c>
      <c r="G65" t="s">
        <v>130</v>
      </c>
      <c r="H65" t="s">
        <v>131</v>
      </c>
      <c r="I65">
        <v>8</v>
      </c>
      <c r="J65">
        <v>17</v>
      </c>
      <c r="K65">
        <v>2</v>
      </c>
      <c r="L65" t="s">
        <v>165</v>
      </c>
      <c r="M65" t="s">
        <v>166</v>
      </c>
      <c r="N65" t="s">
        <v>133</v>
      </c>
      <c r="O65">
        <v>7</v>
      </c>
      <c r="P65">
        <v>1</v>
      </c>
      <c r="Q65" t="s">
        <v>145</v>
      </c>
      <c r="R65" t="s">
        <v>155</v>
      </c>
      <c r="S65" t="s">
        <v>147</v>
      </c>
      <c r="T65" t="s">
        <v>148</v>
      </c>
      <c r="U65" t="s">
        <v>158</v>
      </c>
      <c r="V65" t="s">
        <v>133</v>
      </c>
      <c r="W65" t="s">
        <v>139</v>
      </c>
      <c r="X65" t="s">
        <v>133</v>
      </c>
      <c r="Z65">
        <v>4</v>
      </c>
      <c r="AA65">
        <v>2</v>
      </c>
      <c r="AB65">
        <v>4</v>
      </c>
      <c r="AC65" t="s">
        <v>182</v>
      </c>
      <c r="AD65">
        <v>0</v>
      </c>
      <c r="AE65">
        <v>0</v>
      </c>
      <c r="AF65" t="s">
        <v>133</v>
      </c>
      <c r="AG65" t="s">
        <v>139</v>
      </c>
      <c r="AH65" t="s">
        <v>183</v>
      </c>
      <c r="AI65" s="4">
        <v>17</v>
      </c>
      <c r="AJ65" s="4">
        <v>7</v>
      </c>
      <c r="AK65" s="4">
        <v>0</v>
      </c>
      <c r="AL65" s="4">
        <v>24</v>
      </c>
      <c r="AM65" t="s">
        <v>250</v>
      </c>
    </row>
    <row r="66" spans="1:39" x14ac:dyDescent="0.3">
      <c r="A66" t="s">
        <v>127</v>
      </c>
      <c r="B66">
        <v>11</v>
      </c>
      <c r="C66">
        <v>4645</v>
      </c>
      <c r="D66" t="s">
        <v>161</v>
      </c>
      <c r="E66">
        <v>2</v>
      </c>
      <c r="F66" t="s">
        <v>164</v>
      </c>
      <c r="G66" t="s">
        <v>130</v>
      </c>
      <c r="H66" t="s">
        <v>153</v>
      </c>
      <c r="I66">
        <v>8</v>
      </c>
      <c r="J66">
        <v>4</v>
      </c>
      <c r="K66">
        <v>1</v>
      </c>
      <c r="L66" t="s">
        <v>132</v>
      </c>
      <c r="N66" t="s">
        <v>133</v>
      </c>
      <c r="O66">
        <v>71</v>
      </c>
      <c r="P66">
        <v>17</v>
      </c>
      <c r="Q66" t="s">
        <v>154</v>
      </c>
      <c r="R66" t="s">
        <v>155</v>
      </c>
      <c r="S66" t="s">
        <v>156</v>
      </c>
      <c r="T66" t="s">
        <v>157</v>
      </c>
      <c r="U66" t="s">
        <v>158</v>
      </c>
      <c r="V66" t="s">
        <v>133</v>
      </c>
      <c r="W66" t="s">
        <v>139</v>
      </c>
      <c r="X66" t="s">
        <v>133</v>
      </c>
      <c r="Z66">
        <v>3</v>
      </c>
      <c r="AA66">
        <v>2</v>
      </c>
      <c r="AB66">
        <v>5</v>
      </c>
      <c r="AD66">
        <v>0</v>
      </c>
      <c r="AE66">
        <v>0</v>
      </c>
      <c r="AF66" t="s">
        <v>133</v>
      </c>
      <c r="AG66" t="s">
        <v>130</v>
      </c>
      <c r="AH66" t="s">
        <v>175</v>
      </c>
      <c r="AI66" s="4">
        <v>4</v>
      </c>
      <c r="AJ66" s="4">
        <v>71</v>
      </c>
      <c r="AK66" s="4">
        <v>0</v>
      </c>
      <c r="AL66" s="4">
        <v>75</v>
      </c>
      <c r="AM66" t="s">
        <v>251</v>
      </c>
    </row>
    <row r="67" spans="1:39" x14ac:dyDescent="0.3">
      <c r="A67" t="s">
        <v>127</v>
      </c>
      <c r="B67">
        <v>11</v>
      </c>
      <c r="C67">
        <v>2481</v>
      </c>
      <c r="D67" t="s">
        <v>161</v>
      </c>
      <c r="E67">
        <v>3</v>
      </c>
      <c r="F67" t="s">
        <v>169</v>
      </c>
      <c r="G67" t="s">
        <v>130</v>
      </c>
      <c r="H67" t="s">
        <v>131</v>
      </c>
      <c r="I67">
        <v>8</v>
      </c>
      <c r="J67">
        <v>81</v>
      </c>
      <c r="K67">
        <v>29</v>
      </c>
      <c r="L67" t="s">
        <v>174</v>
      </c>
      <c r="M67" t="s">
        <v>166</v>
      </c>
      <c r="N67" t="s">
        <v>133</v>
      </c>
      <c r="O67">
        <v>300</v>
      </c>
      <c r="P67">
        <v>108</v>
      </c>
      <c r="Q67" t="s">
        <v>145</v>
      </c>
      <c r="R67" t="s">
        <v>146</v>
      </c>
      <c r="S67" t="s">
        <v>147</v>
      </c>
      <c r="T67" t="s">
        <v>148</v>
      </c>
      <c r="U67" t="s">
        <v>149</v>
      </c>
      <c r="V67" t="s">
        <v>133</v>
      </c>
      <c r="W67" t="s">
        <v>139</v>
      </c>
      <c r="X67" t="s">
        <v>133</v>
      </c>
      <c r="Z67">
        <v>5</v>
      </c>
      <c r="AA67">
        <v>5</v>
      </c>
      <c r="AB67">
        <v>4</v>
      </c>
      <c r="AD67">
        <v>0</v>
      </c>
      <c r="AE67">
        <v>0</v>
      </c>
      <c r="AF67" t="s">
        <v>133</v>
      </c>
      <c r="AG67" t="s">
        <v>130</v>
      </c>
      <c r="AH67" t="s">
        <v>218</v>
      </c>
      <c r="AI67" s="4">
        <v>81</v>
      </c>
      <c r="AJ67" s="4">
        <v>300</v>
      </c>
      <c r="AK67" s="4">
        <v>0</v>
      </c>
      <c r="AL67" s="4">
        <v>381</v>
      </c>
      <c r="AM67" t="s">
        <v>252</v>
      </c>
    </row>
    <row r="68" spans="1:39" x14ac:dyDescent="0.3">
      <c r="A68" t="s">
        <v>127</v>
      </c>
      <c r="B68">
        <v>12</v>
      </c>
      <c r="C68">
        <v>8719</v>
      </c>
      <c r="D68" t="s">
        <v>128</v>
      </c>
      <c r="E68">
        <v>1</v>
      </c>
      <c r="F68" t="s">
        <v>129</v>
      </c>
      <c r="G68" t="s">
        <v>130</v>
      </c>
      <c r="H68" t="s">
        <v>131</v>
      </c>
      <c r="I68">
        <v>5</v>
      </c>
      <c r="J68">
        <v>5</v>
      </c>
      <c r="K68">
        <v>4</v>
      </c>
      <c r="L68" t="s">
        <v>132</v>
      </c>
      <c r="N68" t="s">
        <v>133</v>
      </c>
      <c r="O68">
        <v>3</v>
      </c>
      <c r="P68">
        <v>2</v>
      </c>
      <c r="Q68" t="s">
        <v>134</v>
      </c>
      <c r="R68" t="s">
        <v>135</v>
      </c>
      <c r="T68" t="s">
        <v>191</v>
      </c>
      <c r="U68" t="s">
        <v>137</v>
      </c>
      <c r="V68" t="s">
        <v>138</v>
      </c>
      <c r="W68" t="s">
        <v>139</v>
      </c>
      <c r="X68" t="s">
        <v>133</v>
      </c>
      <c r="Z68">
        <v>1</v>
      </c>
      <c r="AA68">
        <v>1</v>
      </c>
      <c r="AB68">
        <v>2</v>
      </c>
      <c r="AD68">
        <v>0</v>
      </c>
      <c r="AE68">
        <v>0</v>
      </c>
      <c r="AF68" t="s">
        <v>133</v>
      </c>
      <c r="AG68" t="s">
        <v>140</v>
      </c>
      <c r="AH68" t="s">
        <v>141</v>
      </c>
      <c r="AI68" s="4">
        <v>5</v>
      </c>
      <c r="AJ68" s="4">
        <v>3</v>
      </c>
      <c r="AK68" s="4">
        <v>0</v>
      </c>
      <c r="AL68" s="4">
        <v>8</v>
      </c>
      <c r="AM68" t="s">
        <v>253</v>
      </c>
    </row>
    <row r="69" spans="1:39" x14ac:dyDescent="0.3">
      <c r="A69" t="s">
        <v>127</v>
      </c>
      <c r="B69">
        <v>12</v>
      </c>
      <c r="C69">
        <v>8020</v>
      </c>
      <c r="D69" t="s">
        <v>128</v>
      </c>
      <c r="E69">
        <v>2</v>
      </c>
      <c r="F69" t="s">
        <v>143</v>
      </c>
      <c r="G69" t="s">
        <v>130</v>
      </c>
      <c r="H69" t="s">
        <v>131</v>
      </c>
      <c r="I69">
        <v>8</v>
      </c>
      <c r="J69">
        <v>27</v>
      </c>
      <c r="K69">
        <v>4</v>
      </c>
      <c r="L69" t="s">
        <v>165</v>
      </c>
      <c r="M69" t="s">
        <v>180</v>
      </c>
      <c r="N69" t="s">
        <v>133</v>
      </c>
      <c r="O69">
        <v>61</v>
      </c>
      <c r="P69">
        <v>8</v>
      </c>
      <c r="Q69" t="s">
        <v>145</v>
      </c>
      <c r="R69" t="s">
        <v>146</v>
      </c>
      <c r="S69" t="s">
        <v>147</v>
      </c>
      <c r="T69" t="s">
        <v>148</v>
      </c>
      <c r="U69" t="s">
        <v>149</v>
      </c>
      <c r="V69" t="s">
        <v>170</v>
      </c>
      <c r="W69" t="s">
        <v>139</v>
      </c>
      <c r="X69" t="s">
        <v>133</v>
      </c>
      <c r="Z69">
        <v>5</v>
      </c>
      <c r="AA69">
        <v>3</v>
      </c>
      <c r="AB69">
        <v>5</v>
      </c>
      <c r="AD69">
        <v>0</v>
      </c>
      <c r="AE69">
        <v>0</v>
      </c>
      <c r="AF69" t="s">
        <v>133</v>
      </c>
      <c r="AG69" t="s">
        <v>130</v>
      </c>
      <c r="AH69" t="s">
        <v>254</v>
      </c>
      <c r="AI69" s="4">
        <v>27</v>
      </c>
      <c r="AJ69" s="4">
        <v>61</v>
      </c>
      <c r="AK69" s="4">
        <v>0</v>
      </c>
      <c r="AL69" s="4">
        <v>88</v>
      </c>
      <c r="AM69" t="s">
        <v>255</v>
      </c>
    </row>
    <row r="70" spans="1:39" x14ac:dyDescent="0.3">
      <c r="A70" t="s">
        <v>127</v>
      </c>
      <c r="B70">
        <v>12</v>
      </c>
      <c r="C70">
        <v>2039</v>
      </c>
      <c r="D70" t="s">
        <v>128</v>
      </c>
      <c r="E70">
        <v>3</v>
      </c>
      <c r="F70" t="s">
        <v>152</v>
      </c>
      <c r="G70" t="s">
        <v>130</v>
      </c>
      <c r="H70" t="s">
        <v>131</v>
      </c>
      <c r="I70">
        <v>8</v>
      </c>
      <c r="J70">
        <v>2</v>
      </c>
      <c r="K70">
        <v>2</v>
      </c>
      <c r="L70" t="s">
        <v>132</v>
      </c>
      <c r="N70" t="s">
        <v>133</v>
      </c>
      <c r="O70">
        <v>1</v>
      </c>
      <c r="P70">
        <v>1</v>
      </c>
      <c r="Q70" t="s">
        <v>134</v>
      </c>
      <c r="R70" t="s">
        <v>135</v>
      </c>
      <c r="T70" t="s">
        <v>136</v>
      </c>
      <c r="U70" t="s">
        <v>137</v>
      </c>
      <c r="V70" t="s">
        <v>170</v>
      </c>
      <c r="W70" t="s">
        <v>139</v>
      </c>
      <c r="X70" t="s">
        <v>133</v>
      </c>
      <c r="Z70">
        <v>1</v>
      </c>
      <c r="AA70">
        <v>1</v>
      </c>
      <c r="AB70">
        <v>1</v>
      </c>
      <c r="AD70">
        <v>0</v>
      </c>
      <c r="AE70">
        <v>0</v>
      </c>
      <c r="AF70" t="s">
        <v>133</v>
      </c>
      <c r="AG70" t="s">
        <v>139</v>
      </c>
      <c r="AH70" t="s">
        <v>185</v>
      </c>
      <c r="AI70" s="4">
        <v>2</v>
      </c>
      <c r="AJ70" s="4">
        <v>1</v>
      </c>
      <c r="AK70" s="4">
        <v>0</v>
      </c>
      <c r="AL70" s="4">
        <v>3</v>
      </c>
      <c r="AM70" t="s">
        <v>256</v>
      </c>
    </row>
    <row r="71" spans="1:39" x14ac:dyDescent="0.3">
      <c r="A71" t="s">
        <v>127</v>
      </c>
      <c r="B71">
        <v>12</v>
      </c>
      <c r="C71">
        <v>2040</v>
      </c>
      <c r="D71" t="s">
        <v>161</v>
      </c>
      <c r="E71">
        <v>1</v>
      </c>
      <c r="F71" t="s">
        <v>162</v>
      </c>
      <c r="G71" t="s">
        <v>130</v>
      </c>
      <c r="H71" t="s">
        <v>144</v>
      </c>
      <c r="I71">
        <v>5</v>
      </c>
      <c r="J71">
        <v>27</v>
      </c>
      <c r="K71">
        <v>9</v>
      </c>
      <c r="L71" t="s">
        <v>165</v>
      </c>
      <c r="M71" t="s">
        <v>166</v>
      </c>
      <c r="N71" t="s">
        <v>133</v>
      </c>
      <c r="O71">
        <v>111</v>
      </c>
      <c r="P71">
        <v>38</v>
      </c>
      <c r="Q71" t="s">
        <v>145</v>
      </c>
      <c r="R71" t="s">
        <v>146</v>
      </c>
      <c r="S71" t="s">
        <v>147</v>
      </c>
      <c r="T71" t="s">
        <v>148</v>
      </c>
      <c r="U71" t="s">
        <v>149</v>
      </c>
      <c r="V71" t="s">
        <v>133</v>
      </c>
      <c r="W71" t="s">
        <v>170</v>
      </c>
      <c r="X71" t="s">
        <v>133</v>
      </c>
      <c r="Z71">
        <v>4</v>
      </c>
      <c r="AA71">
        <v>5</v>
      </c>
      <c r="AB71">
        <v>5</v>
      </c>
      <c r="AD71">
        <v>0</v>
      </c>
      <c r="AE71">
        <v>0</v>
      </c>
      <c r="AF71" t="s">
        <v>133</v>
      </c>
      <c r="AG71" t="s">
        <v>130</v>
      </c>
      <c r="AH71" t="s">
        <v>218</v>
      </c>
      <c r="AI71" s="4">
        <v>27</v>
      </c>
      <c r="AJ71" s="4">
        <v>111</v>
      </c>
      <c r="AK71" s="4">
        <v>0</v>
      </c>
      <c r="AL71" s="4">
        <v>138</v>
      </c>
      <c r="AM71" t="s">
        <v>257</v>
      </c>
    </row>
    <row r="72" spans="1:39" x14ac:dyDescent="0.3">
      <c r="A72" t="s">
        <v>127</v>
      </c>
      <c r="B72">
        <v>12</v>
      </c>
      <c r="C72">
        <v>648</v>
      </c>
      <c r="D72" t="s">
        <v>161</v>
      </c>
      <c r="E72">
        <v>2</v>
      </c>
      <c r="F72" t="s">
        <v>164</v>
      </c>
      <c r="G72" t="s">
        <v>130</v>
      </c>
      <c r="H72" t="s">
        <v>131</v>
      </c>
      <c r="I72">
        <v>8</v>
      </c>
      <c r="J72">
        <v>6</v>
      </c>
      <c r="K72">
        <v>2</v>
      </c>
      <c r="L72" t="s">
        <v>132</v>
      </c>
      <c r="N72" t="s">
        <v>133</v>
      </c>
      <c r="O72">
        <v>1</v>
      </c>
      <c r="P72">
        <v>0</v>
      </c>
      <c r="Q72" t="s">
        <v>154</v>
      </c>
      <c r="R72" t="s">
        <v>135</v>
      </c>
      <c r="T72" t="s">
        <v>191</v>
      </c>
      <c r="U72" t="s">
        <v>187</v>
      </c>
      <c r="V72" t="s">
        <v>170</v>
      </c>
      <c r="W72" t="s">
        <v>139</v>
      </c>
      <c r="X72" t="s">
        <v>133</v>
      </c>
      <c r="Z72">
        <v>3</v>
      </c>
      <c r="AA72">
        <v>2</v>
      </c>
      <c r="AB72">
        <v>4</v>
      </c>
      <c r="AC72" t="s">
        <v>258</v>
      </c>
      <c r="AD72">
        <v>0</v>
      </c>
      <c r="AE72">
        <v>0</v>
      </c>
      <c r="AF72" t="s">
        <v>133</v>
      </c>
      <c r="AG72" t="s">
        <v>140</v>
      </c>
      <c r="AH72" t="s">
        <v>183</v>
      </c>
      <c r="AI72" s="4">
        <v>6</v>
      </c>
      <c r="AJ72" s="4">
        <v>1</v>
      </c>
      <c r="AK72" s="4">
        <v>0</v>
      </c>
      <c r="AL72" s="4">
        <v>7</v>
      </c>
      <c r="AM72" t="s">
        <v>255</v>
      </c>
    </row>
    <row r="73" spans="1:39" x14ac:dyDescent="0.3">
      <c r="A73" t="s">
        <v>127</v>
      </c>
      <c r="B73">
        <v>12</v>
      </c>
      <c r="C73">
        <v>6651</v>
      </c>
      <c r="D73" t="s">
        <v>161</v>
      </c>
      <c r="E73">
        <v>3</v>
      </c>
      <c r="F73" t="s">
        <v>169</v>
      </c>
      <c r="G73" t="s">
        <v>130</v>
      </c>
      <c r="H73" t="s">
        <v>144</v>
      </c>
      <c r="I73">
        <v>8</v>
      </c>
      <c r="J73">
        <v>8</v>
      </c>
      <c r="K73">
        <v>3</v>
      </c>
      <c r="L73" t="s">
        <v>132</v>
      </c>
      <c r="N73" t="s">
        <v>133</v>
      </c>
      <c r="O73">
        <v>12</v>
      </c>
      <c r="P73">
        <v>4</v>
      </c>
      <c r="Q73" t="s">
        <v>154</v>
      </c>
      <c r="R73" t="s">
        <v>135</v>
      </c>
      <c r="T73" t="s">
        <v>157</v>
      </c>
      <c r="U73" t="s">
        <v>187</v>
      </c>
      <c r="V73" t="s">
        <v>133</v>
      </c>
      <c r="W73" t="s">
        <v>139</v>
      </c>
      <c r="X73" t="s">
        <v>133</v>
      </c>
      <c r="Z73">
        <v>3</v>
      </c>
      <c r="AA73">
        <v>2</v>
      </c>
      <c r="AB73">
        <v>3</v>
      </c>
      <c r="AD73">
        <v>1</v>
      </c>
      <c r="AE73">
        <v>0</v>
      </c>
      <c r="AF73" t="s">
        <v>133</v>
      </c>
      <c r="AG73" t="s">
        <v>139</v>
      </c>
      <c r="AI73" s="4">
        <v>8</v>
      </c>
      <c r="AJ73" s="4">
        <v>12</v>
      </c>
      <c r="AK73" s="4">
        <v>0</v>
      </c>
      <c r="AL73" s="4">
        <v>20</v>
      </c>
      <c r="AM73" t="s">
        <v>259</v>
      </c>
    </row>
    <row r="74" spans="1:39" x14ac:dyDescent="0.3">
      <c r="A74" t="s">
        <v>127</v>
      </c>
      <c r="B74">
        <v>13</v>
      </c>
      <c r="C74">
        <v>4213</v>
      </c>
      <c r="D74" t="s">
        <v>128</v>
      </c>
      <c r="E74">
        <v>1</v>
      </c>
      <c r="F74" t="s">
        <v>129</v>
      </c>
      <c r="G74" t="s">
        <v>130</v>
      </c>
      <c r="H74" t="s">
        <v>153</v>
      </c>
      <c r="I74">
        <v>8</v>
      </c>
      <c r="J74">
        <v>3</v>
      </c>
      <c r="K74">
        <v>1</v>
      </c>
      <c r="L74" t="s">
        <v>132</v>
      </c>
      <c r="N74" t="s">
        <v>133</v>
      </c>
      <c r="O74">
        <v>13</v>
      </c>
      <c r="P74">
        <v>5</v>
      </c>
      <c r="Q74" t="s">
        <v>145</v>
      </c>
      <c r="R74" t="s">
        <v>155</v>
      </c>
      <c r="S74" t="s">
        <v>178</v>
      </c>
      <c r="T74" t="s">
        <v>157</v>
      </c>
      <c r="U74" t="s">
        <v>158</v>
      </c>
      <c r="V74" t="s">
        <v>133</v>
      </c>
      <c r="W74" t="s">
        <v>139</v>
      </c>
      <c r="X74" t="s">
        <v>133</v>
      </c>
      <c r="Z74">
        <v>3</v>
      </c>
      <c r="AA74">
        <v>3</v>
      </c>
      <c r="AB74">
        <v>4</v>
      </c>
      <c r="AD74">
        <v>0</v>
      </c>
      <c r="AE74">
        <v>0</v>
      </c>
      <c r="AF74" t="s">
        <v>133</v>
      </c>
      <c r="AG74" t="s">
        <v>130</v>
      </c>
      <c r="AI74" s="4">
        <v>3</v>
      </c>
      <c r="AJ74" s="4">
        <v>13</v>
      </c>
      <c r="AK74" s="4">
        <v>0</v>
      </c>
      <c r="AL74" s="4">
        <v>16</v>
      </c>
      <c r="AM74" t="s">
        <v>260</v>
      </c>
    </row>
    <row r="75" spans="1:39" x14ac:dyDescent="0.3">
      <c r="A75" t="s">
        <v>127</v>
      </c>
      <c r="B75">
        <v>13</v>
      </c>
      <c r="C75">
        <v>1736</v>
      </c>
      <c r="D75" t="s">
        <v>128</v>
      </c>
      <c r="E75">
        <v>2</v>
      </c>
      <c r="F75" t="s">
        <v>143</v>
      </c>
      <c r="G75" t="s">
        <v>130</v>
      </c>
      <c r="H75" t="s">
        <v>144</v>
      </c>
      <c r="I75">
        <v>5</v>
      </c>
      <c r="J75">
        <v>2</v>
      </c>
      <c r="K75">
        <v>1</v>
      </c>
      <c r="L75" t="s">
        <v>132</v>
      </c>
      <c r="N75" t="s">
        <v>133</v>
      </c>
      <c r="O75">
        <v>8</v>
      </c>
      <c r="P75">
        <v>5</v>
      </c>
      <c r="Q75" t="s">
        <v>154</v>
      </c>
      <c r="R75" t="s">
        <v>135</v>
      </c>
      <c r="S75" t="s">
        <v>156</v>
      </c>
      <c r="T75" t="s">
        <v>157</v>
      </c>
      <c r="U75" t="s">
        <v>187</v>
      </c>
      <c r="V75" t="s">
        <v>133</v>
      </c>
      <c r="W75" t="s">
        <v>139</v>
      </c>
      <c r="X75" t="s">
        <v>133</v>
      </c>
      <c r="Z75">
        <v>1</v>
      </c>
      <c r="AA75">
        <v>1</v>
      </c>
      <c r="AB75">
        <v>4</v>
      </c>
      <c r="AD75">
        <v>0</v>
      </c>
      <c r="AE75">
        <v>0</v>
      </c>
      <c r="AF75" t="s">
        <v>133</v>
      </c>
      <c r="AG75" t="s">
        <v>139</v>
      </c>
      <c r="AH75" t="s">
        <v>185</v>
      </c>
      <c r="AI75" s="4">
        <v>2</v>
      </c>
      <c r="AJ75" s="4">
        <v>8</v>
      </c>
      <c r="AK75" s="4">
        <v>0</v>
      </c>
      <c r="AL75" s="4">
        <v>10</v>
      </c>
      <c r="AM75" t="s">
        <v>261</v>
      </c>
    </row>
    <row r="76" spans="1:39" x14ac:dyDescent="0.3">
      <c r="A76" t="s">
        <v>127</v>
      </c>
      <c r="B76">
        <v>13</v>
      </c>
      <c r="C76">
        <v>2022</v>
      </c>
      <c r="D76" t="s">
        <v>128</v>
      </c>
      <c r="E76">
        <v>3</v>
      </c>
      <c r="F76" t="s">
        <v>152</v>
      </c>
      <c r="G76" t="s">
        <v>130</v>
      </c>
      <c r="H76" t="s">
        <v>131</v>
      </c>
      <c r="I76">
        <v>8</v>
      </c>
      <c r="J76">
        <v>2</v>
      </c>
      <c r="K76">
        <v>1</v>
      </c>
      <c r="L76" t="s">
        <v>132</v>
      </c>
      <c r="N76" t="s">
        <v>133</v>
      </c>
      <c r="O76">
        <v>13</v>
      </c>
      <c r="P76">
        <v>5</v>
      </c>
      <c r="Q76" t="s">
        <v>154</v>
      </c>
      <c r="R76" t="s">
        <v>155</v>
      </c>
      <c r="S76" t="s">
        <v>156</v>
      </c>
      <c r="T76" t="s">
        <v>157</v>
      </c>
      <c r="U76" t="s">
        <v>158</v>
      </c>
      <c r="V76" t="s">
        <v>133</v>
      </c>
      <c r="W76" t="s">
        <v>139</v>
      </c>
      <c r="X76" t="s">
        <v>133</v>
      </c>
      <c r="Z76">
        <v>3</v>
      </c>
      <c r="AA76">
        <v>4</v>
      </c>
      <c r="AB76">
        <v>3</v>
      </c>
      <c r="AD76">
        <v>0</v>
      </c>
      <c r="AE76">
        <v>0</v>
      </c>
      <c r="AF76" t="s">
        <v>133</v>
      </c>
      <c r="AG76" t="s">
        <v>140</v>
      </c>
      <c r="AI76" s="4">
        <v>2</v>
      </c>
      <c r="AJ76" s="4">
        <v>13</v>
      </c>
      <c r="AK76" s="4">
        <v>0</v>
      </c>
      <c r="AL76" s="4">
        <v>15</v>
      </c>
      <c r="AM76" t="s">
        <v>262</v>
      </c>
    </row>
    <row r="77" spans="1:39" x14ac:dyDescent="0.3">
      <c r="A77" t="s">
        <v>127</v>
      </c>
      <c r="B77">
        <v>13</v>
      </c>
      <c r="C77">
        <v>3067</v>
      </c>
      <c r="D77" t="s">
        <v>161</v>
      </c>
      <c r="E77">
        <v>1</v>
      </c>
      <c r="F77" t="s">
        <v>162</v>
      </c>
      <c r="G77" t="s">
        <v>130</v>
      </c>
      <c r="H77" t="s">
        <v>153</v>
      </c>
      <c r="I77">
        <v>8</v>
      </c>
      <c r="J77">
        <v>2</v>
      </c>
      <c r="K77">
        <v>0</v>
      </c>
      <c r="L77" t="s">
        <v>132</v>
      </c>
      <c r="N77" t="s">
        <v>133</v>
      </c>
      <c r="O77">
        <v>8</v>
      </c>
      <c r="P77">
        <v>1</v>
      </c>
      <c r="Q77" t="s">
        <v>145</v>
      </c>
      <c r="R77" t="s">
        <v>155</v>
      </c>
      <c r="S77" t="s">
        <v>178</v>
      </c>
      <c r="T77" t="s">
        <v>157</v>
      </c>
      <c r="U77" t="s">
        <v>158</v>
      </c>
      <c r="V77" t="s">
        <v>133</v>
      </c>
      <c r="W77" t="s">
        <v>139</v>
      </c>
      <c r="X77" t="s">
        <v>133</v>
      </c>
      <c r="Z77">
        <v>4</v>
      </c>
      <c r="AA77">
        <v>4</v>
      </c>
      <c r="AB77">
        <v>4</v>
      </c>
      <c r="AC77" t="s">
        <v>182</v>
      </c>
      <c r="AD77">
        <v>0</v>
      </c>
      <c r="AE77">
        <v>0</v>
      </c>
      <c r="AF77" t="s">
        <v>133</v>
      </c>
      <c r="AG77" t="s">
        <v>139</v>
      </c>
      <c r="AH77" t="s">
        <v>183</v>
      </c>
      <c r="AI77" s="4">
        <v>2</v>
      </c>
      <c r="AJ77" s="4">
        <v>8</v>
      </c>
      <c r="AK77" s="4">
        <v>0</v>
      </c>
      <c r="AL77" s="4">
        <v>10</v>
      </c>
      <c r="AM77" t="s">
        <v>263</v>
      </c>
    </row>
    <row r="78" spans="1:39" x14ac:dyDescent="0.3">
      <c r="A78" t="s">
        <v>127</v>
      </c>
      <c r="B78">
        <v>13</v>
      </c>
      <c r="C78">
        <v>8029</v>
      </c>
      <c r="D78" t="s">
        <v>161</v>
      </c>
      <c r="E78">
        <v>2</v>
      </c>
      <c r="F78" t="s">
        <v>164</v>
      </c>
      <c r="G78" t="s">
        <v>130</v>
      </c>
      <c r="H78" t="s">
        <v>131</v>
      </c>
      <c r="I78">
        <v>5</v>
      </c>
      <c r="J78">
        <v>7</v>
      </c>
      <c r="K78">
        <v>7</v>
      </c>
      <c r="L78" t="s">
        <v>165</v>
      </c>
      <c r="M78" t="s">
        <v>166</v>
      </c>
      <c r="N78" t="s">
        <v>133</v>
      </c>
      <c r="O78">
        <v>15</v>
      </c>
      <c r="P78">
        <v>15</v>
      </c>
      <c r="Q78" t="s">
        <v>134</v>
      </c>
      <c r="R78" t="s">
        <v>135</v>
      </c>
      <c r="T78" t="s">
        <v>203</v>
      </c>
      <c r="U78" t="s">
        <v>137</v>
      </c>
      <c r="V78" t="s">
        <v>138</v>
      </c>
      <c r="W78" t="s">
        <v>139</v>
      </c>
      <c r="X78" t="s">
        <v>133</v>
      </c>
      <c r="Z78">
        <v>2</v>
      </c>
      <c r="AA78">
        <v>1</v>
      </c>
      <c r="AB78">
        <v>1</v>
      </c>
      <c r="AD78">
        <v>1</v>
      </c>
      <c r="AE78">
        <v>0</v>
      </c>
      <c r="AF78" t="s">
        <v>133</v>
      </c>
      <c r="AG78" t="s">
        <v>140</v>
      </c>
      <c r="AH78" t="s">
        <v>201</v>
      </c>
      <c r="AI78" s="4">
        <v>7</v>
      </c>
      <c r="AJ78" s="4">
        <v>15</v>
      </c>
      <c r="AK78" s="4">
        <v>0</v>
      </c>
      <c r="AL78" s="4">
        <v>22</v>
      </c>
      <c r="AM78" t="s">
        <v>264</v>
      </c>
    </row>
    <row r="79" spans="1:39" x14ac:dyDescent="0.3">
      <c r="A79" t="s">
        <v>127</v>
      </c>
      <c r="B79">
        <v>13</v>
      </c>
      <c r="C79">
        <v>3488</v>
      </c>
      <c r="D79" t="s">
        <v>161</v>
      </c>
      <c r="E79">
        <v>3</v>
      </c>
      <c r="F79" t="s">
        <v>169</v>
      </c>
      <c r="G79" t="s">
        <v>130</v>
      </c>
      <c r="H79" t="s">
        <v>144</v>
      </c>
      <c r="I79">
        <v>8</v>
      </c>
      <c r="J79">
        <v>0</v>
      </c>
      <c r="K79">
        <v>0</v>
      </c>
      <c r="N79" t="s">
        <v>133</v>
      </c>
      <c r="O79">
        <v>37</v>
      </c>
      <c r="P79">
        <v>18</v>
      </c>
      <c r="Q79" t="s">
        <v>154</v>
      </c>
      <c r="R79" t="s">
        <v>135</v>
      </c>
      <c r="S79" t="s">
        <v>178</v>
      </c>
      <c r="T79" t="s">
        <v>157</v>
      </c>
      <c r="U79" t="s">
        <v>187</v>
      </c>
      <c r="V79" t="s">
        <v>133</v>
      </c>
      <c r="W79" t="s">
        <v>139</v>
      </c>
      <c r="X79" t="s">
        <v>133</v>
      </c>
      <c r="Z79">
        <v>3</v>
      </c>
      <c r="AA79">
        <v>3</v>
      </c>
      <c r="AB79">
        <v>4</v>
      </c>
      <c r="AD79">
        <v>2</v>
      </c>
      <c r="AE79">
        <v>0</v>
      </c>
      <c r="AF79" t="s">
        <v>133</v>
      </c>
      <c r="AG79" t="s">
        <v>140</v>
      </c>
      <c r="AI79" s="4">
        <v>0</v>
      </c>
      <c r="AJ79" s="4">
        <v>37</v>
      </c>
      <c r="AK79" s="4">
        <v>0</v>
      </c>
      <c r="AL79" s="4">
        <v>37</v>
      </c>
      <c r="AM79" t="s">
        <v>265</v>
      </c>
    </row>
    <row r="80" spans="1:39" x14ac:dyDescent="0.3">
      <c r="A80" t="s">
        <v>127</v>
      </c>
      <c r="B80">
        <v>14</v>
      </c>
      <c r="C80">
        <v>4156</v>
      </c>
      <c r="D80" t="s">
        <v>128</v>
      </c>
      <c r="E80">
        <v>1</v>
      </c>
      <c r="F80" t="s">
        <v>129</v>
      </c>
      <c r="G80" t="s">
        <v>130</v>
      </c>
      <c r="H80" t="s">
        <v>131</v>
      </c>
      <c r="I80">
        <v>8</v>
      </c>
      <c r="J80">
        <v>6</v>
      </c>
      <c r="K80">
        <v>2</v>
      </c>
      <c r="L80" t="s">
        <v>132</v>
      </c>
      <c r="N80" t="s">
        <v>133</v>
      </c>
      <c r="O80">
        <v>6</v>
      </c>
      <c r="P80">
        <v>2</v>
      </c>
      <c r="Q80" t="s">
        <v>134</v>
      </c>
      <c r="R80" t="s">
        <v>135</v>
      </c>
      <c r="T80" t="s">
        <v>136</v>
      </c>
      <c r="U80" t="s">
        <v>137</v>
      </c>
      <c r="V80" t="s">
        <v>170</v>
      </c>
      <c r="W80" t="s">
        <v>139</v>
      </c>
      <c r="X80" t="s">
        <v>133</v>
      </c>
      <c r="Z80">
        <v>2</v>
      </c>
      <c r="AA80">
        <v>1</v>
      </c>
      <c r="AB80">
        <v>2</v>
      </c>
      <c r="AD80">
        <v>0</v>
      </c>
      <c r="AE80">
        <v>0</v>
      </c>
      <c r="AF80" t="s">
        <v>133</v>
      </c>
      <c r="AG80" t="s">
        <v>139</v>
      </c>
      <c r="AH80" t="s">
        <v>185</v>
      </c>
      <c r="AI80" s="4">
        <v>6</v>
      </c>
      <c r="AJ80" s="4">
        <v>6</v>
      </c>
      <c r="AK80" s="4">
        <v>0</v>
      </c>
      <c r="AL80" s="4">
        <v>12</v>
      </c>
      <c r="AM80" t="s">
        <v>266</v>
      </c>
    </row>
    <row r="81" spans="1:39" x14ac:dyDescent="0.3">
      <c r="A81" t="s">
        <v>127</v>
      </c>
      <c r="B81">
        <v>14</v>
      </c>
      <c r="C81">
        <v>3284</v>
      </c>
      <c r="D81" t="s">
        <v>128</v>
      </c>
      <c r="E81">
        <v>2</v>
      </c>
      <c r="F81" t="s">
        <v>143</v>
      </c>
      <c r="G81" t="s">
        <v>130</v>
      </c>
      <c r="H81" t="s">
        <v>144</v>
      </c>
      <c r="I81">
        <v>8</v>
      </c>
      <c r="J81">
        <v>19</v>
      </c>
      <c r="K81">
        <v>14</v>
      </c>
      <c r="L81" t="s">
        <v>174</v>
      </c>
      <c r="M81" t="s">
        <v>166</v>
      </c>
      <c r="N81" t="s">
        <v>133</v>
      </c>
      <c r="O81">
        <v>11</v>
      </c>
      <c r="P81">
        <v>8</v>
      </c>
      <c r="Q81" t="s">
        <v>134</v>
      </c>
      <c r="R81" t="s">
        <v>135</v>
      </c>
      <c r="T81" t="s">
        <v>136</v>
      </c>
      <c r="U81" t="s">
        <v>137</v>
      </c>
      <c r="V81" t="s">
        <v>138</v>
      </c>
      <c r="W81" t="s">
        <v>139</v>
      </c>
      <c r="X81" t="s">
        <v>133</v>
      </c>
      <c r="Z81">
        <v>2</v>
      </c>
      <c r="AA81">
        <v>2</v>
      </c>
      <c r="AB81">
        <v>3</v>
      </c>
      <c r="AD81">
        <v>0</v>
      </c>
      <c r="AE81">
        <v>0</v>
      </c>
      <c r="AF81" t="s">
        <v>133</v>
      </c>
      <c r="AG81" t="s">
        <v>139</v>
      </c>
      <c r="AH81" t="s">
        <v>201</v>
      </c>
      <c r="AI81" s="4">
        <v>19</v>
      </c>
      <c r="AJ81" s="4">
        <v>11</v>
      </c>
      <c r="AK81" s="4">
        <v>0</v>
      </c>
      <c r="AL81" s="4">
        <v>30</v>
      </c>
      <c r="AM81" t="s">
        <v>267</v>
      </c>
    </row>
    <row r="82" spans="1:39" x14ac:dyDescent="0.3">
      <c r="A82" t="s">
        <v>127</v>
      </c>
      <c r="B82">
        <v>14</v>
      </c>
      <c r="C82">
        <v>4787</v>
      </c>
      <c r="D82" t="s">
        <v>128</v>
      </c>
      <c r="E82">
        <v>3</v>
      </c>
      <c r="F82" t="s">
        <v>152</v>
      </c>
      <c r="G82" t="s">
        <v>130</v>
      </c>
      <c r="H82" t="s">
        <v>153</v>
      </c>
      <c r="I82">
        <v>7</v>
      </c>
      <c r="J82">
        <v>1</v>
      </c>
      <c r="K82">
        <v>1</v>
      </c>
      <c r="L82" t="s">
        <v>132</v>
      </c>
      <c r="N82" t="s">
        <v>133</v>
      </c>
      <c r="O82">
        <v>16</v>
      </c>
      <c r="P82">
        <v>8</v>
      </c>
      <c r="Q82" t="s">
        <v>154</v>
      </c>
      <c r="R82" t="s">
        <v>155</v>
      </c>
      <c r="S82" t="s">
        <v>156</v>
      </c>
      <c r="T82" t="s">
        <v>157</v>
      </c>
      <c r="U82" t="s">
        <v>187</v>
      </c>
      <c r="V82" t="s">
        <v>133</v>
      </c>
      <c r="W82" t="s">
        <v>139</v>
      </c>
      <c r="X82" t="s">
        <v>133</v>
      </c>
      <c r="Z82">
        <v>3</v>
      </c>
      <c r="AA82">
        <v>3</v>
      </c>
      <c r="AB82">
        <v>2</v>
      </c>
      <c r="AD82">
        <v>0</v>
      </c>
      <c r="AE82">
        <v>0</v>
      </c>
      <c r="AF82" t="s">
        <v>133</v>
      </c>
      <c r="AG82" t="s">
        <v>140</v>
      </c>
      <c r="AI82" s="4">
        <v>1</v>
      </c>
      <c r="AJ82" s="4">
        <v>16</v>
      </c>
      <c r="AK82" s="4">
        <v>0</v>
      </c>
      <c r="AL82" s="4">
        <v>17</v>
      </c>
      <c r="AM82" t="s">
        <v>268</v>
      </c>
    </row>
    <row r="83" spans="1:39" x14ac:dyDescent="0.3">
      <c r="A83" t="s">
        <v>127</v>
      </c>
      <c r="B83">
        <v>14</v>
      </c>
      <c r="C83">
        <v>6237</v>
      </c>
      <c r="D83" t="s">
        <v>161</v>
      </c>
      <c r="E83">
        <v>1</v>
      </c>
      <c r="F83" t="s">
        <v>162</v>
      </c>
      <c r="G83" t="s">
        <v>130</v>
      </c>
      <c r="H83" t="s">
        <v>144</v>
      </c>
      <c r="I83">
        <v>8</v>
      </c>
      <c r="J83">
        <v>1</v>
      </c>
      <c r="K83">
        <v>0</v>
      </c>
      <c r="L83" t="s">
        <v>132</v>
      </c>
      <c r="N83" t="s">
        <v>133</v>
      </c>
      <c r="O83">
        <v>83</v>
      </c>
      <c r="P83">
        <v>29</v>
      </c>
      <c r="Q83" t="s">
        <v>145</v>
      </c>
      <c r="R83" t="s">
        <v>146</v>
      </c>
      <c r="S83" t="s">
        <v>147</v>
      </c>
      <c r="T83" t="s">
        <v>148</v>
      </c>
      <c r="U83" t="s">
        <v>149</v>
      </c>
      <c r="V83" t="s">
        <v>170</v>
      </c>
      <c r="W83" t="s">
        <v>170</v>
      </c>
      <c r="X83" t="s">
        <v>133</v>
      </c>
      <c r="Z83">
        <v>4</v>
      </c>
      <c r="AA83">
        <v>4</v>
      </c>
      <c r="AB83">
        <v>3</v>
      </c>
      <c r="AD83">
        <v>2</v>
      </c>
      <c r="AE83">
        <v>0</v>
      </c>
      <c r="AF83" t="s">
        <v>133</v>
      </c>
      <c r="AG83" t="s">
        <v>130</v>
      </c>
      <c r="AH83" t="s">
        <v>175</v>
      </c>
      <c r="AI83" s="4">
        <v>1</v>
      </c>
      <c r="AJ83" s="4">
        <v>83</v>
      </c>
      <c r="AK83" s="4">
        <v>0</v>
      </c>
      <c r="AL83" s="4">
        <v>84</v>
      </c>
      <c r="AM83" t="s">
        <v>269</v>
      </c>
    </row>
    <row r="84" spans="1:39" x14ac:dyDescent="0.3">
      <c r="A84" t="s">
        <v>127</v>
      </c>
      <c r="B84">
        <v>14</v>
      </c>
      <c r="C84">
        <v>1756</v>
      </c>
      <c r="D84" t="s">
        <v>161</v>
      </c>
      <c r="E84">
        <v>2</v>
      </c>
      <c r="F84" t="s">
        <v>164</v>
      </c>
      <c r="G84" t="s">
        <v>130</v>
      </c>
      <c r="H84" t="s">
        <v>131</v>
      </c>
      <c r="I84">
        <v>8</v>
      </c>
      <c r="J84">
        <v>13</v>
      </c>
      <c r="K84">
        <v>3</v>
      </c>
      <c r="L84" t="s">
        <v>174</v>
      </c>
      <c r="M84" t="s">
        <v>180</v>
      </c>
      <c r="N84" t="s">
        <v>133</v>
      </c>
      <c r="O84">
        <v>126</v>
      </c>
      <c r="P84">
        <v>30</v>
      </c>
      <c r="Q84" t="s">
        <v>145</v>
      </c>
      <c r="R84" t="s">
        <v>146</v>
      </c>
      <c r="S84" t="s">
        <v>147</v>
      </c>
      <c r="T84" t="s">
        <v>148</v>
      </c>
      <c r="U84" t="s">
        <v>149</v>
      </c>
      <c r="V84" t="s">
        <v>133</v>
      </c>
      <c r="W84" t="s">
        <v>170</v>
      </c>
      <c r="X84" t="s">
        <v>133</v>
      </c>
      <c r="Z84">
        <v>4</v>
      </c>
      <c r="AA84">
        <v>5</v>
      </c>
      <c r="AB84">
        <v>4</v>
      </c>
      <c r="AD84">
        <v>0</v>
      </c>
      <c r="AE84">
        <v>0</v>
      </c>
      <c r="AF84" t="s">
        <v>133</v>
      </c>
      <c r="AG84" t="s">
        <v>130</v>
      </c>
      <c r="AH84" t="s">
        <v>227</v>
      </c>
      <c r="AI84" s="4">
        <v>13</v>
      </c>
      <c r="AJ84" s="4">
        <v>126</v>
      </c>
      <c r="AK84" s="4">
        <v>0</v>
      </c>
      <c r="AL84" s="4">
        <v>139</v>
      </c>
      <c r="AM84" t="s">
        <v>270</v>
      </c>
    </row>
    <row r="85" spans="1:39" x14ac:dyDescent="0.3">
      <c r="A85" t="s">
        <v>127</v>
      </c>
      <c r="B85">
        <v>14</v>
      </c>
      <c r="C85">
        <v>4423</v>
      </c>
      <c r="D85" t="s">
        <v>161</v>
      </c>
      <c r="E85">
        <v>3</v>
      </c>
      <c r="F85" t="s">
        <v>169</v>
      </c>
      <c r="G85" t="s">
        <v>130</v>
      </c>
      <c r="H85" t="s">
        <v>144</v>
      </c>
      <c r="I85">
        <v>8</v>
      </c>
      <c r="J85">
        <v>0</v>
      </c>
      <c r="K85">
        <v>0</v>
      </c>
      <c r="L85" t="s">
        <v>132</v>
      </c>
      <c r="N85" t="s">
        <v>133</v>
      </c>
      <c r="O85">
        <v>8</v>
      </c>
      <c r="P85">
        <v>2</v>
      </c>
      <c r="Q85" t="s">
        <v>145</v>
      </c>
      <c r="R85" t="s">
        <v>155</v>
      </c>
      <c r="S85" t="s">
        <v>147</v>
      </c>
      <c r="T85" t="s">
        <v>148</v>
      </c>
      <c r="U85" t="s">
        <v>158</v>
      </c>
      <c r="V85" t="s">
        <v>133</v>
      </c>
      <c r="W85" t="s">
        <v>139</v>
      </c>
      <c r="X85" t="s">
        <v>133</v>
      </c>
      <c r="Z85">
        <v>2</v>
      </c>
      <c r="AA85">
        <v>3</v>
      </c>
      <c r="AB85">
        <v>4</v>
      </c>
      <c r="AC85" t="s">
        <v>182</v>
      </c>
      <c r="AD85">
        <v>0</v>
      </c>
      <c r="AE85">
        <v>0</v>
      </c>
      <c r="AF85" t="s">
        <v>133</v>
      </c>
      <c r="AG85" t="s">
        <v>140</v>
      </c>
      <c r="AH85" t="s">
        <v>183</v>
      </c>
      <c r="AI85" s="4">
        <v>0</v>
      </c>
      <c r="AJ85" s="4">
        <v>8</v>
      </c>
      <c r="AK85" s="4">
        <v>0</v>
      </c>
      <c r="AL85" s="4">
        <v>8</v>
      </c>
      <c r="AM85" t="s">
        <v>271</v>
      </c>
    </row>
    <row r="86" spans="1:39" x14ac:dyDescent="0.3">
      <c r="A86" t="s">
        <v>127</v>
      </c>
      <c r="B86">
        <v>15</v>
      </c>
      <c r="C86">
        <v>5442</v>
      </c>
      <c r="D86" t="s">
        <v>128</v>
      </c>
      <c r="E86">
        <v>1</v>
      </c>
      <c r="F86" t="s">
        <v>129</v>
      </c>
      <c r="G86" t="s">
        <v>130</v>
      </c>
      <c r="H86" t="s">
        <v>153</v>
      </c>
      <c r="I86">
        <v>8</v>
      </c>
      <c r="J86">
        <v>0</v>
      </c>
      <c r="K86">
        <v>0</v>
      </c>
      <c r="L86" t="s">
        <v>132</v>
      </c>
      <c r="N86" t="s">
        <v>133</v>
      </c>
      <c r="O86">
        <v>55</v>
      </c>
      <c r="P86">
        <v>32</v>
      </c>
      <c r="Q86" t="s">
        <v>154</v>
      </c>
      <c r="R86" t="s">
        <v>155</v>
      </c>
      <c r="S86" t="s">
        <v>156</v>
      </c>
      <c r="T86" t="s">
        <v>157</v>
      </c>
      <c r="U86" t="s">
        <v>187</v>
      </c>
      <c r="V86" t="s">
        <v>133</v>
      </c>
      <c r="W86" t="s">
        <v>139</v>
      </c>
      <c r="X86" t="s">
        <v>133</v>
      </c>
      <c r="Z86">
        <v>3</v>
      </c>
      <c r="AA86">
        <v>1</v>
      </c>
      <c r="AB86">
        <v>3</v>
      </c>
      <c r="AC86" t="s">
        <v>272</v>
      </c>
      <c r="AD86">
        <v>0</v>
      </c>
      <c r="AE86">
        <v>0</v>
      </c>
      <c r="AF86" t="s">
        <v>133</v>
      </c>
      <c r="AG86" t="s">
        <v>140</v>
      </c>
      <c r="AH86" t="s">
        <v>175</v>
      </c>
      <c r="AI86" s="4">
        <v>0</v>
      </c>
      <c r="AJ86" s="4">
        <v>55</v>
      </c>
      <c r="AK86" s="4">
        <v>0</v>
      </c>
      <c r="AL86" s="4">
        <v>55</v>
      </c>
      <c r="AM86" t="s">
        <v>273</v>
      </c>
    </row>
    <row r="87" spans="1:39" x14ac:dyDescent="0.3">
      <c r="A87" t="s">
        <v>127</v>
      </c>
      <c r="B87">
        <v>15</v>
      </c>
      <c r="C87">
        <v>7848</v>
      </c>
      <c r="D87" t="s">
        <v>128</v>
      </c>
      <c r="E87">
        <v>2</v>
      </c>
      <c r="F87" t="s">
        <v>143</v>
      </c>
      <c r="G87" t="s">
        <v>130</v>
      </c>
      <c r="H87" t="s">
        <v>144</v>
      </c>
      <c r="I87">
        <v>8</v>
      </c>
      <c r="J87">
        <v>1</v>
      </c>
      <c r="K87">
        <v>0</v>
      </c>
      <c r="L87" t="s">
        <v>132</v>
      </c>
      <c r="N87" t="s">
        <v>133</v>
      </c>
      <c r="O87">
        <v>38</v>
      </c>
      <c r="P87">
        <v>18</v>
      </c>
      <c r="Q87" t="s">
        <v>145</v>
      </c>
      <c r="R87" t="s">
        <v>155</v>
      </c>
      <c r="S87" t="s">
        <v>156</v>
      </c>
      <c r="T87" t="s">
        <v>157</v>
      </c>
      <c r="U87" t="s">
        <v>158</v>
      </c>
      <c r="V87" t="s">
        <v>133</v>
      </c>
      <c r="W87" t="s">
        <v>139</v>
      </c>
      <c r="X87" t="s">
        <v>133</v>
      </c>
      <c r="Z87">
        <v>3</v>
      </c>
      <c r="AA87">
        <v>3</v>
      </c>
      <c r="AB87">
        <v>3</v>
      </c>
      <c r="AD87">
        <v>0</v>
      </c>
      <c r="AE87">
        <v>0</v>
      </c>
      <c r="AF87" t="s">
        <v>133</v>
      </c>
      <c r="AG87" t="s">
        <v>140</v>
      </c>
      <c r="AI87" s="4">
        <v>1</v>
      </c>
      <c r="AJ87" s="4">
        <v>38</v>
      </c>
      <c r="AK87" s="4">
        <v>0</v>
      </c>
      <c r="AL87" s="4">
        <v>39</v>
      </c>
      <c r="AM87" t="s">
        <v>274</v>
      </c>
    </row>
    <row r="88" spans="1:39" x14ac:dyDescent="0.3">
      <c r="A88" t="s">
        <v>127</v>
      </c>
      <c r="B88">
        <v>15</v>
      </c>
      <c r="C88">
        <v>2861</v>
      </c>
      <c r="D88" t="s">
        <v>128</v>
      </c>
      <c r="E88">
        <v>3</v>
      </c>
      <c r="F88" t="s">
        <v>152</v>
      </c>
      <c r="G88" t="s">
        <v>130</v>
      </c>
      <c r="H88" t="s">
        <v>144</v>
      </c>
      <c r="I88">
        <v>8</v>
      </c>
      <c r="J88">
        <v>18</v>
      </c>
      <c r="K88">
        <v>4</v>
      </c>
      <c r="L88" t="s">
        <v>174</v>
      </c>
      <c r="M88" t="s">
        <v>180</v>
      </c>
      <c r="N88" t="s">
        <v>133</v>
      </c>
      <c r="O88">
        <v>45</v>
      </c>
      <c r="P88">
        <v>10</v>
      </c>
      <c r="Q88" t="s">
        <v>145</v>
      </c>
      <c r="R88" t="s">
        <v>146</v>
      </c>
      <c r="S88" t="s">
        <v>147</v>
      </c>
      <c r="T88" t="s">
        <v>148</v>
      </c>
      <c r="U88" t="s">
        <v>149</v>
      </c>
      <c r="V88" t="s">
        <v>133</v>
      </c>
      <c r="W88" t="s">
        <v>139</v>
      </c>
      <c r="X88" t="s">
        <v>133</v>
      </c>
      <c r="Z88">
        <v>4</v>
      </c>
      <c r="AA88">
        <v>4</v>
      </c>
      <c r="AB88">
        <v>4</v>
      </c>
      <c r="AD88">
        <v>0</v>
      </c>
      <c r="AE88">
        <v>0</v>
      </c>
      <c r="AF88" t="s">
        <v>133</v>
      </c>
      <c r="AG88" t="s">
        <v>130</v>
      </c>
      <c r="AI88" s="4">
        <v>18</v>
      </c>
      <c r="AJ88" s="4">
        <v>45</v>
      </c>
      <c r="AK88" s="4">
        <v>0</v>
      </c>
      <c r="AL88" s="4">
        <v>63</v>
      </c>
      <c r="AM88" t="s">
        <v>275</v>
      </c>
    </row>
    <row r="89" spans="1:39" x14ac:dyDescent="0.3">
      <c r="A89" t="s">
        <v>127</v>
      </c>
      <c r="B89">
        <v>15</v>
      </c>
      <c r="C89">
        <v>7417</v>
      </c>
      <c r="D89" t="s">
        <v>161</v>
      </c>
      <c r="E89">
        <v>1</v>
      </c>
      <c r="F89" t="s">
        <v>162</v>
      </c>
      <c r="G89" t="s">
        <v>130</v>
      </c>
      <c r="H89" t="s">
        <v>144</v>
      </c>
      <c r="I89">
        <v>8</v>
      </c>
      <c r="J89">
        <v>11</v>
      </c>
      <c r="K89">
        <v>8</v>
      </c>
      <c r="L89" t="s">
        <v>165</v>
      </c>
      <c r="M89" t="s">
        <v>166</v>
      </c>
      <c r="N89" t="s">
        <v>133</v>
      </c>
      <c r="O89">
        <v>2</v>
      </c>
      <c r="P89">
        <v>2</v>
      </c>
      <c r="Q89" t="s">
        <v>134</v>
      </c>
      <c r="R89" t="s">
        <v>135</v>
      </c>
      <c r="T89" t="s">
        <v>136</v>
      </c>
      <c r="U89" t="s">
        <v>137</v>
      </c>
      <c r="V89" t="s">
        <v>133</v>
      </c>
      <c r="W89" t="s">
        <v>139</v>
      </c>
      <c r="X89" t="s">
        <v>133</v>
      </c>
      <c r="Z89">
        <v>3</v>
      </c>
      <c r="AA89">
        <v>1</v>
      </c>
      <c r="AB89">
        <v>3</v>
      </c>
      <c r="AD89">
        <v>0</v>
      </c>
      <c r="AE89">
        <v>0</v>
      </c>
      <c r="AF89" t="s">
        <v>133</v>
      </c>
      <c r="AG89" t="s">
        <v>139</v>
      </c>
      <c r="AH89" t="s">
        <v>185</v>
      </c>
      <c r="AI89" s="4">
        <v>11</v>
      </c>
      <c r="AJ89" s="4">
        <v>2</v>
      </c>
      <c r="AK89" s="4">
        <v>0</v>
      </c>
      <c r="AL89" s="4">
        <v>13</v>
      </c>
      <c r="AM89" t="s">
        <v>276</v>
      </c>
    </row>
    <row r="90" spans="1:39" x14ac:dyDescent="0.3">
      <c r="A90" t="s">
        <v>127</v>
      </c>
      <c r="B90">
        <v>15</v>
      </c>
      <c r="C90">
        <v>1625</v>
      </c>
      <c r="D90" t="s">
        <v>161</v>
      </c>
      <c r="E90">
        <v>2</v>
      </c>
      <c r="F90" t="s">
        <v>164</v>
      </c>
      <c r="G90" t="s">
        <v>130</v>
      </c>
      <c r="H90" t="s">
        <v>153</v>
      </c>
      <c r="I90">
        <v>8</v>
      </c>
      <c r="J90">
        <v>28</v>
      </c>
      <c r="K90">
        <v>8</v>
      </c>
      <c r="L90" t="s">
        <v>165</v>
      </c>
      <c r="M90" t="s">
        <v>180</v>
      </c>
      <c r="N90" t="s">
        <v>133</v>
      </c>
      <c r="O90">
        <v>27</v>
      </c>
      <c r="P90">
        <v>8</v>
      </c>
      <c r="Q90" t="s">
        <v>145</v>
      </c>
      <c r="R90" t="s">
        <v>146</v>
      </c>
      <c r="S90" t="s">
        <v>147</v>
      </c>
      <c r="T90" t="s">
        <v>148</v>
      </c>
      <c r="U90" t="s">
        <v>149</v>
      </c>
      <c r="V90" t="s">
        <v>133</v>
      </c>
      <c r="W90" t="s">
        <v>139</v>
      </c>
      <c r="X90" t="s">
        <v>133</v>
      </c>
      <c r="Z90">
        <v>3</v>
      </c>
      <c r="AA90">
        <v>5</v>
      </c>
      <c r="AB90">
        <v>4</v>
      </c>
      <c r="AD90">
        <v>0</v>
      </c>
      <c r="AE90">
        <v>0</v>
      </c>
      <c r="AF90" t="s">
        <v>133</v>
      </c>
      <c r="AG90" t="s">
        <v>130</v>
      </c>
      <c r="AH90" t="s">
        <v>277</v>
      </c>
      <c r="AI90" s="4">
        <v>28</v>
      </c>
      <c r="AJ90" s="4">
        <v>27</v>
      </c>
      <c r="AK90" s="4">
        <v>0</v>
      </c>
      <c r="AL90" s="4">
        <v>55</v>
      </c>
      <c r="AM90" t="s">
        <v>278</v>
      </c>
    </row>
    <row r="91" spans="1:39" x14ac:dyDescent="0.3">
      <c r="A91" t="s">
        <v>127</v>
      </c>
      <c r="B91">
        <v>15</v>
      </c>
      <c r="C91">
        <v>4096</v>
      </c>
      <c r="D91" t="s">
        <v>161</v>
      </c>
      <c r="E91">
        <v>3</v>
      </c>
      <c r="F91" t="s">
        <v>169</v>
      </c>
      <c r="G91" t="s">
        <v>130</v>
      </c>
      <c r="H91" t="s">
        <v>131</v>
      </c>
      <c r="I91">
        <v>8</v>
      </c>
      <c r="J91">
        <v>7</v>
      </c>
      <c r="K91">
        <v>1</v>
      </c>
      <c r="L91" t="s">
        <v>132</v>
      </c>
      <c r="N91" t="s">
        <v>133</v>
      </c>
      <c r="O91">
        <v>37</v>
      </c>
      <c r="P91">
        <v>3</v>
      </c>
      <c r="Q91" t="s">
        <v>145</v>
      </c>
      <c r="R91" t="s">
        <v>155</v>
      </c>
      <c r="S91" t="s">
        <v>147</v>
      </c>
      <c r="T91" t="s">
        <v>148</v>
      </c>
      <c r="U91" t="s">
        <v>158</v>
      </c>
      <c r="V91" t="s">
        <v>133</v>
      </c>
      <c r="W91" t="s">
        <v>139</v>
      </c>
      <c r="X91" t="s">
        <v>133</v>
      </c>
      <c r="Z91">
        <v>5</v>
      </c>
      <c r="AA91">
        <v>3</v>
      </c>
      <c r="AB91">
        <v>5</v>
      </c>
      <c r="AD91">
        <v>0</v>
      </c>
      <c r="AE91">
        <v>0</v>
      </c>
      <c r="AF91" t="s">
        <v>133</v>
      </c>
      <c r="AG91" t="s">
        <v>130</v>
      </c>
      <c r="AI91" s="4">
        <v>7</v>
      </c>
      <c r="AJ91" s="4">
        <v>37</v>
      </c>
      <c r="AK91" s="4">
        <v>0</v>
      </c>
      <c r="AL91" s="4">
        <v>44</v>
      </c>
      <c r="AM91" t="s">
        <v>279</v>
      </c>
    </row>
    <row r="92" spans="1:39" x14ac:dyDescent="0.3">
      <c r="A92" t="s">
        <v>127</v>
      </c>
      <c r="B92">
        <v>16</v>
      </c>
      <c r="C92">
        <v>8096</v>
      </c>
      <c r="D92" t="s">
        <v>128</v>
      </c>
      <c r="E92">
        <v>1</v>
      </c>
      <c r="F92" t="s">
        <v>129</v>
      </c>
      <c r="G92" t="s">
        <v>130</v>
      </c>
      <c r="H92" t="s">
        <v>144</v>
      </c>
      <c r="I92">
        <v>8</v>
      </c>
      <c r="J92">
        <v>8</v>
      </c>
      <c r="K92">
        <v>3</v>
      </c>
      <c r="L92" t="s">
        <v>174</v>
      </c>
      <c r="N92" t="s">
        <v>133</v>
      </c>
      <c r="O92">
        <v>27</v>
      </c>
      <c r="P92">
        <v>11</v>
      </c>
      <c r="Q92" t="s">
        <v>154</v>
      </c>
      <c r="R92" t="s">
        <v>155</v>
      </c>
      <c r="S92" t="s">
        <v>156</v>
      </c>
      <c r="T92" t="s">
        <v>157</v>
      </c>
      <c r="U92" t="s">
        <v>187</v>
      </c>
      <c r="V92" t="s">
        <v>133</v>
      </c>
      <c r="W92" t="s">
        <v>139</v>
      </c>
      <c r="X92" t="s">
        <v>133</v>
      </c>
      <c r="Z92">
        <v>3</v>
      </c>
      <c r="AA92">
        <v>2</v>
      </c>
      <c r="AB92">
        <v>3</v>
      </c>
      <c r="AD92">
        <v>0</v>
      </c>
      <c r="AE92">
        <v>0</v>
      </c>
      <c r="AF92" t="s">
        <v>133</v>
      </c>
      <c r="AG92" t="s">
        <v>140</v>
      </c>
      <c r="AI92" s="4">
        <v>8</v>
      </c>
      <c r="AJ92" s="4">
        <v>27</v>
      </c>
      <c r="AK92" s="4">
        <v>0</v>
      </c>
      <c r="AL92" s="4">
        <v>35</v>
      </c>
      <c r="AM92" t="s">
        <v>280</v>
      </c>
    </row>
    <row r="93" spans="1:39" x14ac:dyDescent="0.3">
      <c r="A93" t="s">
        <v>127</v>
      </c>
      <c r="B93">
        <v>16</v>
      </c>
      <c r="C93">
        <v>4143</v>
      </c>
      <c r="D93" t="s">
        <v>128</v>
      </c>
      <c r="E93">
        <v>2</v>
      </c>
      <c r="F93" t="s">
        <v>143</v>
      </c>
      <c r="G93" t="s">
        <v>130</v>
      </c>
      <c r="H93" t="s">
        <v>153</v>
      </c>
      <c r="I93">
        <v>7</v>
      </c>
      <c r="J93">
        <v>41</v>
      </c>
      <c r="K93">
        <v>5</v>
      </c>
      <c r="L93" t="s">
        <v>165</v>
      </c>
      <c r="M93" t="s">
        <v>166</v>
      </c>
      <c r="N93" t="s">
        <v>133</v>
      </c>
      <c r="O93">
        <v>161</v>
      </c>
      <c r="P93">
        <v>19</v>
      </c>
      <c r="Q93" t="s">
        <v>145</v>
      </c>
      <c r="R93" t="s">
        <v>146</v>
      </c>
      <c r="S93" t="s">
        <v>147</v>
      </c>
      <c r="T93" t="s">
        <v>148</v>
      </c>
      <c r="U93" t="s">
        <v>149</v>
      </c>
      <c r="V93" t="s">
        <v>133</v>
      </c>
      <c r="W93" t="s">
        <v>139</v>
      </c>
      <c r="X93" t="s">
        <v>133</v>
      </c>
      <c r="Z93">
        <v>5</v>
      </c>
      <c r="AA93">
        <v>5</v>
      </c>
      <c r="AB93">
        <v>3</v>
      </c>
      <c r="AD93">
        <v>0</v>
      </c>
      <c r="AE93">
        <v>0</v>
      </c>
      <c r="AF93" t="s">
        <v>133</v>
      </c>
      <c r="AG93" t="s">
        <v>130</v>
      </c>
      <c r="AH93" t="s">
        <v>227</v>
      </c>
      <c r="AI93" s="4">
        <v>41</v>
      </c>
      <c r="AJ93" s="4">
        <v>161</v>
      </c>
      <c r="AK93" s="4">
        <v>0</v>
      </c>
      <c r="AL93" s="4">
        <v>202</v>
      </c>
      <c r="AM93" t="s">
        <v>281</v>
      </c>
    </row>
    <row r="94" spans="1:39" x14ac:dyDescent="0.3">
      <c r="A94" t="s">
        <v>127</v>
      </c>
      <c r="B94">
        <v>16</v>
      </c>
      <c r="C94">
        <v>2022</v>
      </c>
      <c r="D94" t="s">
        <v>128</v>
      </c>
      <c r="E94">
        <v>3</v>
      </c>
      <c r="F94" t="s">
        <v>152</v>
      </c>
      <c r="G94" t="s">
        <v>130</v>
      </c>
      <c r="H94" t="s">
        <v>131</v>
      </c>
      <c r="I94">
        <v>8</v>
      </c>
      <c r="J94">
        <v>5</v>
      </c>
      <c r="K94">
        <v>1</v>
      </c>
      <c r="L94" t="s">
        <v>132</v>
      </c>
      <c r="N94" t="s">
        <v>133</v>
      </c>
      <c r="O94">
        <v>34</v>
      </c>
      <c r="P94">
        <v>8</v>
      </c>
      <c r="Q94" t="s">
        <v>154</v>
      </c>
      <c r="R94" t="s">
        <v>155</v>
      </c>
      <c r="S94" t="s">
        <v>156</v>
      </c>
      <c r="T94" t="s">
        <v>157</v>
      </c>
      <c r="U94" t="s">
        <v>158</v>
      </c>
      <c r="V94" t="s">
        <v>133</v>
      </c>
      <c r="W94" t="s">
        <v>139</v>
      </c>
      <c r="X94" t="s">
        <v>133</v>
      </c>
      <c r="Z94">
        <v>4</v>
      </c>
      <c r="AA94">
        <v>2</v>
      </c>
      <c r="AB94">
        <v>4</v>
      </c>
      <c r="AD94">
        <v>1</v>
      </c>
      <c r="AE94">
        <v>0</v>
      </c>
      <c r="AF94" t="s">
        <v>133</v>
      </c>
      <c r="AG94" t="s">
        <v>140</v>
      </c>
      <c r="AI94" s="4">
        <v>5</v>
      </c>
      <c r="AJ94" s="4">
        <v>34</v>
      </c>
      <c r="AK94" s="4">
        <v>0</v>
      </c>
      <c r="AL94" s="4">
        <v>39</v>
      </c>
      <c r="AM94" t="s">
        <v>282</v>
      </c>
    </row>
    <row r="95" spans="1:39" x14ac:dyDescent="0.3">
      <c r="A95" t="s">
        <v>127</v>
      </c>
      <c r="B95">
        <v>16</v>
      </c>
      <c r="C95">
        <v>1736</v>
      </c>
      <c r="D95" t="s">
        <v>161</v>
      </c>
      <c r="E95">
        <v>1</v>
      </c>
      <c r="F95" t="s">
        <v>162</v>
      </c>
      <c r="G95" t="s">
        <v>130</v>
      </c>
      <c r="H95" t="s">
        <v>144</v>
      </c>
      <c r="I95">
        <v>5</v>
      </c>
      <c r="J95">
        <v>4</v>
      </c>
      <c r="K95">
        <v>2</v>
      </c>
      <c r="L95" t="s">
        <v>132</v>
      </c>
      <c r="N95" t="s">
        <v>133</v>
      </c>
      <c r="O95">
        <v>15</v>
      </c>
      <c r="P95">
        <v>8</v>
      </c>
      <c r="Q95" t="s">
        <v>154</v>
      </c>
      <c r="R95" t="s">
        <v>135</v>
      </c>
      <c r="S95" t="s">
        <v>156</v>
      </c>
      <c r="T95" t="s">
        <v>157</v>
      </c>
      <c r="U95" t="s">
        <v>187</v>
      </c>
      <c r="V95" t="s">
        <v>170</v>
      </c>
      <c r="W95" t="s">
        <v>139</v>
      </c>
      <c r="X95" t="s">
        <v>133</v>
      </c>
      <c r="Z95">
        <v>2</v>
      </c>
      <c r="AA95">
        <v>3</v>
      </c>
      <c r="AB95">
        <v>3</v>
      </c>
      <c r="AD95">
        <v>0</v>
      </c>
      <c r="AE95">
        <v>0</v>
      </c>
      <c r="AF95" t="s">
        <v>133</v>
      </c>
      <c r="AG95" t="s">
        <v>139</v>
      </c>
      <c r="AI95" s="4">
        <v>4</v>
      </c>
      <c r="AJ95" s="4">
        <v>15</v>
      </c>
      <c r="AK95" s="4">
        <v>0</v>
      </c>
      <c r="AL95" s="4">
        <v>19</v>
      </c>
      <c r="AM95" t="s">
        <v>283</v>
      </c>
    </row>
    <row r="96" spans="1:39" x14ac:dyDescent="0.3">
      <c r="A96" t="s">
        <v>127</v>
      </c>
      <c r="B96">
        <v>16</v>
      </c>
      <c r="C96">
        <v>648</v>
      </c>
      <c r="D96" t="s">
        <v>161</v>
      </c>
      <c r="E96">
        <v>2</v>
      </c>
      <c r="F96" t="s">
        <v>164</v>
      </c>
      <c r="G96" t="s">
        <v>130</v>
      </c>
      <c r="H96" t="s">
        <v>131</v>
      </c>
      <c r="I96">
        <v>8</v>
      </c>
      <c r="J96">
        <v>7</v>
      </c>
      <c r="K96">
        <v>3</v>
      </c>
      <c r="L96" t="s">
        <v>132</v>
      </c>
      <c r="N96" t="s">
        <v>133</v>
      </c>
      <c r="O96">
        <v>10</v>
      </c>
      <c r="P96">
        <v>4</v>
      </c>
      <c r="Q96" t="s">
        <v>154</v>
      </c>
      <c r="R96" t="s">
        <v>135</v>
      </c>
      <c r="T96" t="s">
        <v>191</v>
      </c>
      <c r="U96" t="s">
        <v>187</v>
      </c>
      <c r="V96" t="s">
        <v>138</v>
      </c>
      <c r="W96" t="s">
        <v>139</v>
      </c>
      <c r="X96" t="s">
        <v>133</v>
      </c>
      <c r="Z96">
        <v>1</v>
      </c>
      <c r="AA96">
        <v>3</v>
      </c>
      <c r="AB96">
        <v>3</v>
      </c>
      <c r="AD96">
        <v>1</v>
      </c>
      <c r="AE96">
        <v>0</v>
      </c>
      <c r="AF96" t="s">
        <v>133</v>
      </c>
      <c r="AG96" t="s">
        <v>140</v>
      </c>
      <c r="AH96" t="s">
        <v>201</v>
      </c>
      <c r="AI96" s="4">
        <v>7</v>
      </c>
      <c r="AJ96" s="4">
        <v>10</v>
      </c>
      <c r="AK96" s="4">
        <v>0</v>
      </c>
      <c r="AL96" s="4">
        <v>17</v>
      </c>
      <c r="AM96" t="s">
        <v>284</v>
      </c>
    </row>
    <row r="97" spans="1:39" x14ac:dyDescent="0.3">
      <c r="A97" t="s">
        <v>127</v>
      </c>
      <c r="B97">
        <v>16</v>
      </c>
      <c r="C97">
        <v>7472</v>
      </c>
      <c r="D97" t="s">
        <v>161</v>
      </c>
      <c r="E97">
        <v>3</v>
      </c>
      <c r="F97" t="s">
        <v>169</v>
      </c>
      <c r="G97" t="s">
        <v>130</v>
      </c>
      <c r="H97" t="s">
        <v>131</v>
      </c>
      <c r="I97">
        <v>8</v>
      </c>
      <c r="J97">
        <v>8</v>
      </c>
      <c r="K97">
        <v>7</v>
      </c>
      <c r="L97" t="s">
        <v>132</v>
      </c>
      <c r="N97" t="s">
        <v>133</v>
      </c>
      <c r="O97">
        <v>2</v>
      </c>
      <c r="P97">
        <v>2</v>
      </c>
      <c r="Q97" t="s">
        <v>134</v>
      </c>
      <c r="R97" t="s">
        <v>135</v>
      </c>
      <c r="T97" t="s">
        <v>203</v>
      </c>
      <c r="U97" t="s">
        <v>137</v>
      </c>
      <c r="V97" t="s">
        <v>133</v>
      </c>
      <c r="W97" t="s">
        <v>139</v>
      </c>
      <c r="X97" t="s">
        <v>133</v>
      </c>
      <c r="Z97">
        <v>1</v>
      </c>
      <c r="AA97">
        <v>1</v>
      </c>
      <c r="AB97">
        <v>2</v>
      </c>
      <c r="AD97">
        <v>0</v>
      </c>
      <c r="AE97">
        <v>1</v>
      </c>
      <c r="AF97" t="s">
        <v>133</v>
      </c>
      <c r="AG97" t="s">
        <v>139</v>
      </c>
      <c r="AH97" t="s">
        <v>185</v>
      </c>
      <c r="AI97" s="4">
        <v>8</v>
      </c>
      <c r="AJ97" s="4">
        <v>2</v>
      </c>
      <c r="AK97" s="4">
        <v>0</v>
      </c>
      <c r="AL97" s="4">
        <v>10</v>
      </c>
      <c r="AM97" t="s">
        <v>285</v>
      </c>
    </row>
    <row r="98" spans="1:39" x14ac:dyDescent="0.3">
      <c r="A98" t="s">
        <v>127</v>
      </c>
      <c r="B98">
        <v>17</v>
      </c>
      <c r="C98">
        <v>6237</v>
      </c>
      <c r="D98" t="s">
        <v>128</v>
      </c>
      <c r="E98">
        <v>1</v>
      </c>
      <c r="F98" t="s">
        <v>129</v>
      </c>
      <c r="G98" t="s">
        <v>130</v>
      </c>
      <c r="H98" t="s">
        <v>144</v>
      </c>
      <c r="I98">
        <v>8</v>
      </c>
      <c r="J98">
        <v>3</v>
      </c>
      <c r="K98">
        <v>1</v>
      </c>
      <c r="L98" t="s">
        <v>132</v>
      </c>
      <c r="N98" t="s">
        <v>133</v>
      </c>
      <c r="O98">
        <v>73</v>
      </c>
      <c r="P98">
        <v>27</v>
      </c>
      <c r="Q98" t="s">
        <v>145</v>
      </c>
      <c r="R98" t="s">
        <v>146</v>
      </c>
      <c r="S98" t="s">
        <v>147</v>
      </c>
      <c r="T98" t="s">
        <v>148</v>
      </c>
      <c r="U98" t="s">
        <v>149</v>
      </c>
      <c r="V98" t="s">
        <v>133</v>
      </c>
      <c r="W98" t="s">
        <v>170</v>
      </c>
      <c r="X98" t="s">
        <v>133</v>
      </c>
      <c r="Z98">
        <v>5</v>
      </c>
      <c r="AA98">
        <v>5</v>
      </c>
      <c r="AB98">
        <v>5</v>
      </c>
      <c r="AD98">
        <v>0</v>
      </c>
      <c r="AE98">
        <v>0</v>
      </c>
      <c r="AF98" t="s">
        <v>133</v>
      </c>
      <c r="AG98" t="s">
        <v>130</v>
      </c>
      <c r="AH98" t="s">
        <v>254</v>
      </c>
      <c r="AI98" s="4">
        <v>3</v>
      </c>
      <c r="AJ98" s="4">
        <v>73</v>
      </c>
      <c r="AK98" s="4">
        <v>0</v>
      </c>
      <c r="AL98" s="4">
        <v>76</v>
      </c>
      <c r="AM98" t="s">
        <v>286</v>
      </c>
    </row>
    <row r="99" spans="1:39" x14ac:dyDescent="0.3">
      <c r="A99" t="s">
        <v>127</v>
      </c>
      <c r="B99">
        <v>17</v>
      </c>
      <c r="C99">
        <v>2481</v>
      </c>
      <c r="D99" t="s">
        <v>128</v>
      </c>
      <c r="E99">
        <v>2</v>
      </c>
      <c r="F99" t="s">
        <v>143</v>
      </c>
      <c r="G99" t="s">
        <v>130</v>
      </c>
      <c r="H99" t="s">
        <v>131</v>
      </c>
      <c r="I99">
        <v>8</v>
      </c>
      <c r="J99">
        <v>87</v>
      </c>
      <c r="K99">
        <v>15</v>
      </c>
      <c r="L99" t="s">
        <v>174</v>
      </c>
      <c r="M99" t="s">
        <v>166</v>
      </c>
      <c r="N99" t="s">
        <v>133</v>
      </c>
      <c r="O99">
        <v>184</v>
      </c>
      <c r="P99">
        <v>31</v>
      </c>
      <c r="Q99" t="s">
        <v>145</v>
      </c>
      <c r="R99" t="s">
        <v>146</v>
      </c>
      <c r="S99" t="s">
        <v>147</v>
      </c>
      <c r="T99" t="s">
        <v>148</v>
      </c>
      <c r="U99" t="s">
        <v>149</v>
      </c>
      <c r="V99" t="s">
        <v>133</v>
      </c>
      <c r="W99" t="s">
        <v>170</v>
      </c>
      <c r="X99" t="s">
        <v>133</v>
      </c>
      <c r="Z99">
        <v>5</v>
      </c>
      <c r="AA99">
        <v>4</v>
      </c>
      <c r="AB99">
        <v>4</v>
      </c>
      <c r="AD99">
        <v>0</v>
      </c>
      <c r="AE99">
        <v>0</v>
      </c>
      <c r="AF99" t="s">
        <v>133</v>
      </c>
      <c r="AG99" t="s">
        <v>130</v>
      </c>
      <c r="AH99" t="s">
        <v>227</v>
      </c>
      <c r="AI99" s="4">
        <v>87</v>
      </c>
      <c r="AJ99" s="4">
        <v>184</v>
      </c>
      <c r="AK99" s="4">
        <v>0</v>
      </c>
      <c r="AL99" s="4">
        <v>271</v>
      </c>
      <c r="AM99" t="s">
        <v>287</v>
      </c>
    </row>
    <row r="100" spans="1:39" x14ac:dyDescent="0.3">
      <c r="A100" t="s">
        <v>127</v>
      </c>
      <c r="B100">
        <v>17</v>
      </c>
      <c r="C100">
        <v>1756</v>
      </c>
      <c r="D100" t="s">
        <v>128</v>
      </c>
      <c r="E100">
        <v>3</v>
      </c>
      <c r="F100" t="s">
        <v>152</v>
      </c>
      <c r="G100" t="s">
        <v>130</v>
      </c>
      <c r="H100" t="s">
        <v>131</v>
      </c>
      <c r="I100">
        <v>8</v>
      </c>
      <c r="J100">
        <v>16</v>
      </c>
      <c r="K100">
        <v>4</v>
      </c>
      <c r="L100" t="s">
        <v>174</v>
      </c>
      <c r="M100" t="s">
        <v>180</v>
      </c>
      <c r="N100" t="s">
        <v>133</v>
      </c>
      <c r="O100">
        <v>245</v>
      </c>
      <c r="P100">
        <v>65</v>
      </c>
      <c r="Q100" t="s">
        <v>145</v>
      </c>
      <c r="R100" t="s">
        <v>146</v>
      </c>
      <c r="S100" t="s">
        <v>147</v>
      </c>
      <c r="T100" t="s">
        <v>148</v>
      </c>
      <c r="U100" t="s">
        <v>149</v>
      </c>
      <c r="V100" t="s">
        <v>170</v>
      </c>
      <c r="W100" t="s">
        <v>181</v>
      </c>
      <c r="X100" t="s">
        <v>133</v>
      </c>
      <c r="Z100">
        <v>5</v>
      </c>
      <c r="AA100">
        <v>5</v>
      </c>
      <c r="AB100">
        <v>4</v>
      </c>
      <c r="AD100">
        <v>0</v>
      </c>
      <c r="AE100">
        <v>0</v>
      </c>
      <c r="AF100" t="s">
        <v>133</v>
      </c>
      <c r="AG100" t="s">
        <v>130</v>
      </c>
      <c r="AH100" t="s">
        <v>218</v>
      </c>
      <c r="AI100" s="4">
        <v>16</v>
      </c>
      <c r="AJ100" s="4">
        <v>245</v>
      </c>
      <c r="AK100" s="4">
        <v>0</v>
      </c>
      <c r="AL100" s="4">
        <v>261</v>
      </c>
      <c r="AM100" t="s">
        <v>288</v>
      </c>
    </row>
    <row r="101" spans="1:39" x14ac:dyDescent="0.3">
      <c r="A101" t="s">
        <v>127</v>
      </c>
      <c r="B101">
        <v>17</v>
      </c>
      <c r="C101">
        <v>2039</v>
      </c>
      <c r="D101" t="s">
        <v>161</v>
      </c>
      <c r="E101">
        <v>1</v>
      </c>
      <c r="F101" t="s">
        <v>162</v>
      </c>
      <c r="G101" t="s">
        <v>130</v>
      </c>
      <c r="H101" t="s">
        <v>131</v>
      </c>
      <c r="I101">
        <v>8</v>
      </c>
      <c r="J101">
        <v>1</v>
      </c>
      <c r="K101">
        <v>1</v>
      </c>
      <c r="L101" t="s">
        <v>132</v>
      </c>
      <c r="N101" t="s">
        <v>133</v>
      </c>
      <c r="O101">
        <v>0</v>
      </c>
      <c r="P101">
        <v>0</v>
      </c>
      <c r="Q101" t="s">
        <v>134</v>
      </c>
      <c r="R101" t="s">
        <v>135</v>
      </c>
      <c r="T101" t="s">
        <v>136</v>
      </c>
      <c r="U101" t="s">
        <v>137</v>
      </c>
      <c r="V101" t="s">
        <v>138</v>
      </c>
      <c r="W101" t="s">
        <v>139</v>
      </c>
      <c r="X101" t="s">
        <v>133</v>
      </c>
      <c r="Z101">
        <v>1</v>
      </c>
      <c r="AA101">
        <v>1</v>
      </c>
      <c r="AB101">
        <v>3</v>
      </c>
      <c r="AD101">
        <v>0</v>
      </c>
      <c r="AE101">
        <v>0</v>
      </c>
      <c r="AF101" t="s">
        <v>133</v>
      </c>
      <c r="AG101" t="s">
        <v>139</v>
      </c>
      <c r="AH101" t="s">
        <v>141</v>
      </c>
      <c r="AI101" s="4">
        <v>1</v>
      </c>
      <c r="AJ101" s="4">
        <v>0</v>
      </c>
      <c r="AK101" s="4">
        <v>0</v>
      </c>
      <c r="AL101" s="4">
        <v>1</v>
      </c>
      <c r="AM101" t="s">
        <v>289</v>
      </c>
    </row>
    <row r="102" spans="1:39" x14ac:dyDescent="0.3">
      <c r="A102" t="s">
        <v>127</v>
      </c>
      <c r="B102">
        <v>17</v>
      </c>
      <c r="C102">
        <v>8719</v>
      </c>
      <c r="D102" t="s">
        <v>161</v>
      </c>
      <c r="E102">
        <v>2</v>
      </c>
      <c r="F102" t="s">
        <v>164</v>
      </c>
      <c r="G102" t="s">
        <v>130</v>
      </c>
      <c r="H102" t="s">
        <v>131</v>
      </c>
      <c r="I102">
        <v>5</v>
      </c>
      <c r="J102">
        <v>8</v>
      </c>
      <c r="K102">
        <v>7</v>
      </c>
      <c r="L102" t="s">
        <v>165</v>
      </c>
      <c r="M102" t="s">
        <v>180</v>
      </c>
      <c r="N102" t="s">
        <v>133</v>
      </c>
      <c r="O102">
        <v>0</v>
      </c>
      <c r="P102">
        <v>0</v>
      </c>
      <c r="Q102" t="s">
        <v>134</v>
      </c>
      <c r="R102" t="s">
        <v>135</v>
      </c>
      <c r="T102" t="s">
        <v>191</v>
      </c>
      <c r="U102" t="s">
        <v>137</v>
      </c>
      <c r="V102" t="s">
        <v>170</v>
      </c>
      <c r="W102" t="s">
        <v>139</v>
      </c>
      <c r="X102" t="s">
        <v>133</v>
      </c>
      <c r="Z102">
        <v>3</v>
      </c>
      <c r="AA102">
        <v>2</v>
      </c>
      <c r="AB102">
        <v>2</v>
      </c>
      <c r="AD102">
        <v>0</v>
      </c>
      <c r="AE102">
        <v>0</v>
      </c>
      <c r="AF102" t="s">
        <v>133</v>
      </c>
      <c r="AG102" t="s">
        <v>139</v>
      </c>
      <c r="AH102" t="s">
        <v>185</v>
      </c>
      <c r="AI102" s="4">
        <v>8</v>
      </c>
      <c r="AJ102" s="4">
        <v>0</v>
      </c>
      <c r="AK102" s="4">
        <v>0</v>
      </c>
      <c r="AL102" s="4">
        <v>8</v>
      </c>
      <c r="AM102" t="s">
        <v>290</v>
      </c>
    </row>
    <row r="103" spans="1:39" x14ac:dyDescent="0.3">
      <c r="A103" t="s">
        <v>127</v>
      </c>
      <c r="B103">
        <v>17</v>
      </c>
      <c r="C103">
        <v>6651</v>
      </c>
      <c r="D103" t="s">
        <v>161</v>
      </c>
      <c r="E103">
        <v>3</v>
      </c>
      <c r="F103" t="s">
        <v>169</v>
      </c>
      <c r="G103" t="s">
        <v>130</v>
      </c>
      <c r="H103" t="s">
        <v>144</v>
      </c>
      <c r="I103">
        <v>8</v>
      </c>
      <c r="J103">
        <v>6</v>
      </c>
      <c r="K103">
        <v>2</v>
      </c>
      <c r="L103" t="s">
        <v>132</v>
      </c>
      <c r="N103" t="s">
        <v>133</v>
      </c>
      <c r="O103">
        <v>0</v>
      </c>
      <c r="P103">
        <v>0</v>
      </c>
      <c r="Q103" t="s">
        <v>154</v>
      </c>
      <c r="R103" t="s">
        <v>135</v>
      </c>
      <c r="T103" t="s">
        <v>157</v>
      </c>
      <c r="U103" t="s">
        <v>187</v>
      </c>
      <c r="V103" t="s">
        <v>133</v>
      </c>
      <c r="W103" t="s">
        <v>139</v>
      </c>
      <c r="X103" t="s">
        <v>133</v>
      </c>
      <c r="Z103">
        <v>2</v>
      </c>
      <c r="AA103">
        <v>2</v>
      </c>
      <c r="AB103">
        <v>4</v>
      </c>
      <c r="AD103">
        <v>0</v>
      </c>
      <c r="AE103">
        <v>0</v>
      </c>
      <c r="AF103" t="s">
        <v>133</v>
      </c>
      <c r="AG103" t="s">
        <v>139</v>
      </c>
      <c r="AH103" t="s">
        <v>185</v>
      </c>
      <c r="AI103" s="4">
        <v>6</v>
      </c>
      <c r="AJ103" s="4">
        <v>0</v>
      </c>
      <c r="AK103" s="4">
        <v>0</v>
      </c>
      <c r="AL103" s="4">
        <v>6</v>
      </c>
      <c r="AM103" t="s">
        <v>291</v>
      </c>
    </row>
    <row r="104" spans="1:39" x14ac:dyDescent="0.3">
      <c r="A104" t="s">
        <v>127</v>
      </c>
      <c r="B104">
        <v>18</v>
      </c>
      <c r="C104">
        <v>4096</v>
      </c>
      <c r="D104" t="s">
        <v>128</v>
      </c>
      <c r="E104">
        <v>1</v>
      </c>
      <c r="F104" t="s">
        <v>129</v>
      </c>
      <c r="G104" t="s">
        <v>130</v>
      </c>
      <c r="H104" t="s">
        <v>131</v>
      </c>
      <c r="I104">
        <v>8</v>
      </c>
      <c r="J104">
        <v>5</v>
      </c>
      <c r="K104">
        <v>1</v>
      </c>
      <c r="L104" t="s">
        <v>132</v>
      </c>
      <c r="N104" t="s">
        <v>133</v>
      </c>
      <c r="O104">
        <v>7</v>
      </c>
      <c r="P104">
        <v>2</v>
      </c>
      <c r="Q104" t="s">
        <v>145</v>
      </c>
      <c r="R104" t="s">
        <v>155</v>
      </c>
      <c r="S104" t="s">
        <v>147</v>
      </c>
      <c r="T104" t="s">
        <v>148</v>
      </c>
      <c r="U104" t="s">
        <v>158</v>
      </c>
      <c r="V104" t="s">
        <v>133</v>
      </c>
      <c r="W104" t="s">
        <v>170</v>
      </c>
      <c r="X104" t="s">
        <v>133</v>
      </c>
      <c r="Z104">
        <v>3</v>
      </c>
      <c r="AA104">
        <v>3</v>
      </c>
      <c r="AB104">
        <v>4</v>
      </c>
      <c r="AC104" t="s">
        <v>182</v>
      </c>
      <c r="AD104">
        <v>0</v>
      </c>
      <c r="AE104">
        <v>0</v>
      </c>
      <c r="AF104" t="s">
        <v>133</v>
      </c>
      <c r="AG104" t="s">
        <v>140</v>
      </c>
      <c r="AH104" t="s">
        <v>292</v>
      </c>
      <c r="AI104" s="4">
        <v>5</v>
      </c>
      <c r="AJ104" s="4">
        <v>7</v>
      </c>
      <c r="AK104" s="4">
        <v>0</v>
      </c>
      <c r="AL104" s="4">
        <v>12</v>
      </c>
      <c r="AM104" t="s">
        <v>293</v>
      </c>
    </row>
    <row r="105" spans="1:39" x14ac:dyDescent="0.3">
      <c r="A105" t="s">
        <v>127</v>
      </c>
      <c r="B105">
        <v>18</v>
      </c>
      <c r="C105">
        <v>9082</v>
      </c>
      <c r="D105" t="s">
        <v>128</v>
      </c>
      <c r="E105">
        <v>2</v>
      </c>
      <c r="F105" t="s">
        <v>143</v>
      </c>
      <c r="G105" t="s">
        <v>130</v>
      </c>
      <c r="H105" t="s">
        <v>131</v>
      </c>
      <c r="I105">
        <v>8</v>
      </c>
      <c r="J105">
        <v>3</v>
      </c>
      <c r="K105">
        <v>0</v>
      </c>
      <c r="L105" t="s">
        <v>132</v>
      </c>
      <c r="N105" t="s">
        <v>133</v>
      </c>
      <c r="O105">
        <v>46</v>
      </c>
      <c r="P105">
        <v>2</v>
      </c>
      <c r="Q105" t="s">
        <v>145</v>
      </c>
      <c r="R105" t="s">
        <v>146</v>
      </c>
      <c r="S105" t="s">
        <v>147</v>
      </c>
      <c r="T105" t="s">
        <v>148</v>
      </c>
      <c r="U105" t="s">
        <v>158</v>
      </c>
      <c r="V105" t="s">
        <v>133</v>
      </c>
      <c r="W105" t="s">
        <v>139</v>
      </c>
      <c r="X105" t="s">
        <v>133</v>
      </c>
      <c r="Z105">
        <v>4</v>
      </c>
      <c r="AA105">
        <v>4</v>
      </c>
      <c r="AB105">
        <v>5</v>
      </c>
      <c r="AD105">
        <v>0</v>
      </c>
      <c r="AE105">
        <v>0</v>
      </c>
      <c r="AF105" t="s">
        <v>133</v>
      </c>
      <c r="AG105" t="s">
        <v>130</v>
      </c>
      <c r="AH105" t="s">
        <v>150</v>
      </c>
      <c r="AI105" s="4">
        <v>3</v>
      </c>
      <c r="AJ105" s="4">
        <v>46</v>
      </c>
      <c r="AK105" s="4">
        <v>0</v>
      </c>
      <c r="AL105" s="4">
        <v>49</v>
      </c>
      <c r="AM105" t="s">
        <v>294</v>
      </c>
    </row>
    <row r="106" spans="1:39" x14ac:dyDescent="0.3">
      <c r="A106" t="s">
        <v>127</v>
      </c>
      <c r="B106">
        <v>18</v>
      </c>
      <c r="C106">
        <v>5442</v>
      </c>
      <c r="D106" t="s">
        <v>128</v>
      </c>
      <c r="E106">
        <v>3</v>
      </c>
      <c r="F106" t="s">
        <v>152</v>
      </c>
      <c r="G106" t="s">
        <v>130</v>
      </c>
      <c r="H106" t="s">
        <v>153</v>
      </c>
      <c r="I106">
        <v>8</v>
      </c>
      <c r="J106">
        <v>0</v>
      </c>
      <c r="K106">
        <v>0</v>
      </c>
      <c r="L106" t="s">
        <v>132</v>
      </c>
      <c r="N106" t="s">
        <v>133</v>
      </c>
      <c r="O106">
        <v>19</v>
      </c>
      <c r="P106">
        <v>8</v>
      </c>
      <c r="Q106" t="s">
        <v>154</v>
      </c>
      <c r="R106" t="s">
        <v>155</v>
      </c>
      <c r="S106" t="s">
        <v>156</v>
      </c>
      <c r="T106" t="s">
        <v>157</v>
      </c>
      <c r="U106" t="s">
        <v>187</v>
      </c>
      <c r="V106" t="s">
        <v>133</v>
      </c>
      <c r="W106" t="s">
        <v>139</v>
      </c>
      <c r="X106" t="s">
        <v>133</v>
      </c>
      <c r="Z106">
        <v>3</v>
      </c>
      <c r="AA106">
        <v>3</v>
      </c>
      <c r="AB106">
        <v>3</v>
      </c>
      <c r="AD106">
        <v>0</v>
      </c>
      <c r="AE106">
        <v>0</v>
      </c>
      <c r="AF106" t="s">
        <v>133</v>
      </c>
      <c r="AG106" t="s">
        <v>140</v>
      </c>
      <c r="AI106" s="4">
        <v>0</v>
      </c>
      <c r="AJ106" s="4">
        <v>19</v>
      </c>
      <c r="AK106" s="4">
        <v>0</v>
      </c>
      <c r="AL106" s="4">
        <v>19</v>
      </c>
      <c r="AM106" t="s">
        <v>295</v>
      </c>
    </row>
    <row r="107" spans="1:39" x14ac:dyDescent="0.3">
      <c r="A107" t="s">
        <v>127</v>
      </c>
      <c r="B107">
        <v>18</v>
      </c>
      <c r="C107">
        <v>3488</v>
      </c>
      <c r="D107" t="s">
        <v>161</v>
      </c>
      <c r="E107">
        <v>1</v>
      </c>
      <c r="F107" t="s">
        <v>162</v>
      </c>
      <c r="G107" t="s">
        <v>130</v>
      </c>
      <c r="H107" t="s">
        <v>144</v>
      </c>
      <c r="I107">
        <v>8</v>
      </c>
      <c r="J107">
        <v>0</v>
      </c>
      <c r="K107">
        <v>0</v>
      </c>
      <c r="L107" t="s">
        <v>132</v>
      </c>
      <c r="N107" t="s">
        <v>133</v>
      </c>
      <c r="O107">
        <v>38</v>
      </c>
      <c r="P107">
        <v>28</v>
      </c>
      <c r="Q107" t="s">
        <v>154</v>
      </c>
      <c r="R107" t="s">
        <v>135</v>
      </c>
      <c r="S107" t="s">
        <v>178</v>
      </c>
      <c r="T107" t="s">
        <v>157</v>
      </c>
      <c r="U107" t="s">
        <v>187</v>
      </c>
      <c r="V107" t="s">
        <v>133</v>
      </c>
      <c r="W107" t="s">
        <v>139</v>
      </c>
      <c r="X107" t="s">
        <v>133</v>
      </c>
      <c r="Z107">
        <v>3</v>
      </c>
      <c r="AA107">
        <v>2</v>
      </c>
      <c r="AB107">
        <v>3</v>
      </c>
      <c r="AD107">
        <v>0</v>
      </c>
      <c r="AE107">
        <v>0</v>
      </c>
      <c r="AF107" t="s">
        <v>133</v>
      </c>
      <c r="AG107" t="s">
        <v>139</v>
      </c>
      <c r="AI107" s="4">
        <v>0</v>
      </c>
      <c r="AJ107" s="4">
        <v>38</v>
      </c>
      <c r="AK107" s="4">
        <v>0</v>
      </c>
      <c r="AL107" s="4">
        <v>38</v>
      </c>
      <c r="AM107" t="s">
        <v>296</v>
      </c>
    </row>
    <row r="108" spans="1:39" x14ac:dyDescent="0.3">
      <c r="A108" t="s">
        <v>127</v>
      </c>
      <c r="B108">
        <v>18</v>
      </c>
      <c r="C108">
        <v>2040</v>
      </c>
      <c r="D108" t="s">
        <v>161</v>
      </c>
      <c r="E108">
        <v>2</v>
      </c>
      <c r="F108" t="s">
        <v>164</v>
      </c>
      <c r="G108" t="s">
        <v>130</v>
      </c>
      <c r="H108" t="s">
        <v>144</v>
      </c>
      <c r="I108">
        <v>5</v>
      </c>
      <c r="J108">
        <v>35</v>
      </c>
      <c r="K108">
        <v>11</v>
      </c>
      <c r="L108" t="s">
        <v>165</v>
      </c>
      <c r="M108" t="s">
        <v>166</v>
      </c>
      <c r="N108" t="s">
        <v>133</v>
      </c>
      <c r="O108">
        <v>84</v>
      </c>
      <c r="P108">
        <v>27</v>
      </c>
      <c r="Q108" t="s">
        <v>145</v>
      </c>
      <c r="R108" t="s">
        <v>146</v>
      </c>
      <c r="S108" t="s">
        <v>147</v>
      </c>
      <c r="T108" t="s">
        <v>148</v>
      </c>
      <c r="U108" t="s">
        <v>149</v>
      </c>
      <c r="V108" t="s">
        <v>133</v>
      </c>
      <c r="W108" t="s">
        <v>139</v>
      </c>
      <c r="X108" t="s">
        <v>133</v>
      </c>
      <c r="Z108">
        <v>4</v>
      </c>
      <c r="AA108">
        <v>4</v>
      </c>
      <c r="AB108">
        <v>3</v>
      </c>
      <c r="AD108">
        <v>0</v>
      </c>
      <c r="AE108">
        <v>0</v>
      </c>
      <c r="AF108" t="s">
        <v>133</v>
      </c>
      <c r="AG108" t="s">
        <v>130</v>
      </c>
      <c r="AH108" t="s">
        <v>175</v>
      </c>
      <c r="AI108" s="4">
        <v>35</v>
      </c>
      <c r="AJ108" s="4">
        <v>84</v>
      </c>
      <c r="AK108" s="4">
        <v>0</v>
      </c>
      <c r="AL108" s="4">
        <v>119</v>
      </c>
      <c r="AM108" t="s">
        <v>297</v>
      </c>
    </row>
    <row r="109" spans="1:39" x14ac:dyDescent="0.3">
      <c r="A109" t="s">
        <v>127</v>
      </c>
      <c r="B109">
        <v>18</v>
      </c>
      <c r="C109">
        <v>4787</v>
      </c>
      <c r="D109" t="s">
        <v>161</v>
      </c>
      <c r="E109">
        <v>3</v>
      </c>
      <c r="F109" t="s">
        <v>169</v>
      </c>
      <c r="G109" t="s">
        <v>130</v>
      </c>
      <c r="H109" t="s">
        <v>153</v>
      </c>
      <c r="I109">
        <v>7</v>
      </c>
      <c r="J109">
        <v>1</v>
      </c>
      <c r="K109">
        <v>1</v>
      </c>
      <c r="L109" t="s">
        <v>132</v>
      </c>
      <c r="N109" t="s">
        <v>133</v>
      </c>
      <c r="O109">
        <v>41</v>
      </c>
      <c r="P109">
        <v>26</v>
      </c>
      <c r="Q109" t="s">
        <v>154</v>
      </c>
      <c r="R109" t="s">
        <v>155</v>
      </c>
      <c r="S109" t="s">
        <v>156</v>
      </c>
      <c r="T109" t="s">
        <v>157</v>
      </c>
      <c r="U109" t="s">
        <v>187</v>
      </c>
      <c r="V109" t="s">
        <v>133</v>
      </c>
      <c r="W109" t="s">
        <v>139</v>
      </c>
      <c r="X109" t="s">
        <v>133</v>
      </c>
      <c r="Z109">
        <v>4</v>
      </c>
      <c r="AA109">
        <v>2</v>
      </c>
      <c r="AB109">
        <v>3</v>
      </c>
      <c r="AD109">
        <v>0</v>
      </c>
      <c r="AE109">
        <v>0</v>
      </c>
      <c r="AF109" t="s">
        <v>133</v>
      </c>
      <c r="AG109" t="s">
        <v>140</v>
      </c>
      <c r="AI109" s="4">
        <v>1</v>
      </c>
      <c r="AJ109" s="4">
        <v>41</v>
      </c>
      <c r="AK109" s="4">
        <v>0</v>
      </c>
      <c r="AL109" s="4">
        <v>42</v>
      </c>
      <c r="AM109" t="s">
        <v>298</v>
      </c>
    </row>
    <row r="110" spans="1:39" x14ac:dyDescent="0.3">
      <c r="A110" t="s">
        <v>127</v>
      </c>
      <c r="B110">
        <v>19</v>
      </c>
      <c r="C110">
        <v>4213</v>
      </c>
      <c r="D110" t="s">
        <v>128</v>
      </c>
      <c r="E110">
        <v>1</v>
      </c>
      <c r="F110" t="s">
        <v>129</v>
      </c>
      <c r="G110" t="s">
        <v>130</v>
      </c>
      <c r="H110" t="s">
        <v>153</v>
      </c>
      <c r="I110">
        <v>8</v>
      </c>
      <c r="J110">
        <v>6</v>
      </c>
      <c r="K110">
        <v>2</v>
      </c>
      <c r="L110" t="s">
        <v>132</v>
      </c>
      <c r="N110" t="s">
        <v>133</v>
      </c>
      <c r="O110">
        <v>43</v>
      </c>
      <c r="P110">
        <v>16</v>
      </c>
      <c r="Q110" t="s">
        <v>145</v>
      </c>
      <c r="R110" t="s">
        <v>155</v>
      </c>
      <c r="S110" t="s">
        <v>178</v>
      </c>
      <c r="T110" t="s">
        <v>157</v>
      </c>
      <c r="U110" t="s">
        <v>158</v>
      </c>
      <c r="V110" t="s">
        <v>133</v>
      </c>
      <c r="W110" t="s">
        <v>139</v>
      </c>
      <c r="X110" t="s">
        <v>133</v>
      </c>
      <c r="Z110">
        <v>3</v>
      </c>
      <c r="AA110">
        <v>4</v>
      </c>
      <c r="AB110">
        <v>3</v>
      </c>
      <c r="AD110">
        <v>1</v>
      </c>
      <c r="AE110">
        <v>0</v>
      </c>
      <c r="AF110" t="s">
        <v>133</v>
      </c>
      <c r="AG110" t="s">
        <v>140</v>
      </c>
      <c r="AI110" s="4">
        <v>6</v>
      </c>
      <c r="AJ110" s="4">
        <v>43</v>
      </c>
      <c r="AK110" s="4">
        <v>0</v>
      </c>
      <c r="AL110" s="4">
        <v>49</v>
      </c>
      <c r="AM110" t="s">
        <v>299</v>
      </c>
    </row>
    <row r="111" spans="1:39" x14ac:dyDescent="0.3">
      <c r="A111" t="s">
        <v>127</v>
      </c>
      <c r="B111">
        <v>19</v>
      </c>
      <c r="C111">
        <v>8096</v>
      </c>
      <c r="D111" t="s">
        <v>128</v>
      </c>
      <c r="E111">
        <v>2</v>
      </c>
      <c r="F111" t="s">
        <v>143</v>
      </c>
      <c r="G111" t="s">
        <v>130</v>
      </c>
      <c r="H111" t="s">
        <v>144</v>
      </c>
      <c r="I111">
        <v>8</v>
      </c>
      <c r="J111">
        <v>14</v>
      </c>
      <c r="K111">
        <v>4</v>
      </c>
      <c r="L111" t="s">
        <v>165</v>
      </c>
      <c r="M111" t="s">
        <v>166</v>
      </c>
      <c r="N111" t="s">
        <v>133</v>
      </c>
      <c r="O111">
        <v>23</v>
      </c>
      <c r="P111">
        <v>7</v>
      </c>
      <c r="Q111" t="s">
        <v>154</v>
      </c>
      <c r="R111" t="s">
        <v>155</v>
      </c>
      <c r="S111" t="s">
        <v>156</v>
      </c>
      <c r="T111" t="s">
        <v>157</v>
      </c>
      <c r="U111" t="s">
        <v>187</v>
      </c>
      <c r="V111" t="s">
        <v>133</v>
      </c>
      <c r="W111" t="s">
        <v>139</v>
      </c>
      <c r="X111" t="s">
        <v>133</v>
      </c>
      <c r="Z111">
        <v>4</v>
      </c>
      <c r="AA111">
        <v>3</v>
      </c>
      <c r="AB111">
        <v>4</v>
      </c>
      <c r="AD111">
        <v>1</v>
      </c>
      <c r="AE111">
        <v>0</v>
      </c>
      <c r="AF111" t="s">
        <v>133</v>
      </c>
      <c r="AG111" t="s">
        <v>139</v>
      </c>
      <c r="AI111" s="4">
        <v>14</v>
      </c>
      <c r="AJ111" s="4">
        <v>23</v>
      </c>
      <c r="AK111" s="4">
        <v>0</v>
      </c>
      <c r="AL111" s="4">
        <v>37</v>
      </c>
      <c r="AM111" t="s">
        <v>300</v>
      </c>
    </row>
    <row r="112" spans="1:39" x14ac:dyDescent="0.3">
      <c r="A112" t="s">
        <v>127</v>
      </c>
      <c r="B112">
        <v>19</v>
      </c>
      <c r="C112">
        <v>1625</v>
      </c>
      <c r="D112" t="s">
        <v>128</v>
      </c>
      <c r="E112">
        <v>3</v>
      </c>
      <c r="F112" t="s">
        <v>152</v>
      </c>
      <c r="G112" t="s">
        <v>130</v>
      </c>
      <c r="H112" t="s">
        <v>153</v>
      </c>
      <c r="I112">
        <v>8</v>
      </c>
      <c r="J112">
        <v>19</v>
      </c>
      <c r="K112">
        <v>5</v>
      </c>
      <c r="L112" t="s">
        <v>165</v>
      </c>
      <c r="M112" t="s">
        <v>180</v>
      </c>
      <c r="N112" t="s">
        <v>133</v>
      </c>
      <c r="O112">
        <v>76</v>
      </c>
      <c r="P112">
        <v>21</v>
      </c>
      <c r="Q112" t="s">
        <v>145</v>
      </c>
      <c r="R112" t="s">
        <v>146</v>
      </c>
      <c r="S112" t="s">
        <v>147</v>
      </c>
      <c r="T112" t="s">
        <v>148</v>
      </c>
      <c r="U112" t="s">
        <v>149</v>
      </c>
      <c r="V112" t="s">
        <v>133</v>
      </c>
      <c r="W112" t="s">
        <v>170</v>
      </c>
      <c r="X112" t="s">
        <v>133</v>
      </c>
      <c r="Z112">
        <v>5</v>
      </c>
      <c r="AA112">
        <v>4</v>
      </c>
      <c r="AB112">
        <v>4</v>
      </c>
      <c r="AD112">
        <v>1</v>
      </c>
      <c r="AE112">
        <v>0</v>
      </c>
      <c r="AF112" t="s">
        <v>133</v>
      </c>
      <c r="AG112" t="s">
        <v>130</v>
      </c>
      <c r="AH112" t="s">
        <v>171</v>
      </c>
      <c r="AI112" s="4">
        <v>19</v>
      </c>
      <c r="AJ112" s="4">
        <v>76</v>
      </c>
      <c r="AK112" s="4">
        <v>0</v>
      </c>
      <c r="AL112" s="4">
        <v>95</v>
      </c>
      <c r="AM112" t="s">
        <v>301</v>
      </c>
    </row>
    <row r="113" spans="1:39" x14ac:dyDescent="0.3">
      <c r="A113" t="s">
        <v>127</v>
      </c>
      <c r="B113">
        <v>19</v>
      </c>
      <c r="C113">
        <v>2861</v>
      </c>
      <c r="D113" t="s">
        <v>161</v>
      </c>
      <c r="E113">
        <v>1</v>
      </c>
      <c r="F113" t="s">
        <v>162</v>
      </c>
      <c r="G113" t="s">
        <v>130</v>
      </c>
      <c r="H113" t="s">
        <v>144</v>
      </c>
      <c r="I113">
        <v>8</v>
      </c>
      <c r="J113">
        <v>24</v>
      </c>
      <c r="K113">
        <v>2</v>
      </c>
      <c r="L113" t="s">
        <v>174</v>
      </c>
      <c r="M113" t="s">
        <v>180</v>
      </c>
      <c r="N113" t="s">
        <v>133</v>
      </c>
      <c r="O113">
        <v>49</v>
      </c>
      <c r="P113">
        <v>5</v>
      </c>
      <c r="Q113" t="s">
        <v>145</v>
      </c>
      <c r="R113" t="s">
        <v>146</v>
      </c>
      <c r="S113" t="s">
        <v>147</v>
      </c>
      <c r="T113" t="s">
        <v>148</v>
      </c>
      <c r="U113" t="s">
        <v>149</v>
      </c>
      <c r="V113" t="s">
        <v>133</v>
      </c>
      <c r="W113" t="s">
        <v>139</v>
      </c>
      <c r="X113" t="s">
        <v>133</v>
      </c>
      <c r="Z113">
        <v>4</v>
      </c>
      <c r="AA113">
        <v>5</v>
      </c>
      <c r="AB113">
        <v>4</v>
      </c>
      <c r="AD113">
        <v>0</v>
      </c>
      <c r="AE113">
        <v>0</v>
      </c>
      <c r="AF113" t="s">
        <v>133</v>
      </c>
      <c r="AG113" t="s">
        <v>130</v>
      </c>
      <c r="AH113" t="s">
        <v>150</v>
      </c>
      <c r="AI113" s="4">
        <v>24</v>
      </c>
      <c r="AJ113" s="4">
        <v>49</v>
      </c>
      <c r="AK113" s="4">
        <v>0</v>
      </c>
      <c r="AL113" s="4">
        <v>73</v>
      </c>
      <c r="AM113" t="s">
        <v>302</v>
      </c>
    </row>
    <row r="114" spans="1:39" x14ac:dyDescent="0.3">
      <c r="A114" t="s">
        <v>127</v>
      </c>
      <c r="B114">
        <v>19</v>
      </c>
      <c r="C114">
        <v>8020</v>
      </c>
      <c r="D114" t="s">
        <v>161</v>
      </c>
      <c r="E114">
        <v>2</v>
      </c>
      <c r="F114" t="s">
        <v>164</v>
      </c>
      <c r="G114" t="s">
        <v>130</v>
      </c>
      <c r="H114" t="s">
        <v>131</v>
      </c>
      <c r="I114">
        <v>8</v>
      </c>
      <c r="J114">
        <v>40</v>
      </c>
      <c r="K114">
        <v>12</v>
      </c>
      <c r="L114" t="s">
        <v>174</v>
      </c>
      <c r="M114" t="s">
        <v>180</v>
      </c>
      <c r="N114" t="s">
        <v>133</v>
      </c>
      <c r="O114">
        <v>114</v>
      </c>
      <c r="P114">
        <v>34</v>
      </c>
      <c r="Q114" t="s">
        <v>145</v>
      </c>
      <c r="R114" t="s">
        <v>146</v>
      </c>
      <c r="S114" t="s">
        <v>147</v>
      </c>
      <c r="T114" t="s">
        <v>148</v>
      </c>
      <c r="U114" t="s">
        <v>149</v>
      </c>
      <c r="V114" t="s">
        <v>133</v>
      </c>
      <c r="W114" t="s">
        <v>170</v>
      </c>
      <c r="X114" t="s">
        <v>133</v>
      </c>
      <c r="Z114">
        <v>3</v>
      </c>
      <c r="AA114">
        <v>5</v>
      </c>
      <c r="AB114">
        <v>3</v>
      </c>
      <c r="AC114" t="s">
        <v>272</v>
      </c>
      <c r="AD114">
        <v>0</v>
      </c>
      <c r="AE114">
        <v>0</v>
      </c>
      <c r="AF114" t="s">
        <v>133</v>
      </c>
      <c r="AG114" t="s">
        <v>130</v>
      </c>
      <c r="AH114" t="s">
        <v>218</v>
      </c>
      <c r="AI114" s="4">
        <v>40</v>
      </c>
      <c r="AJ114" s="4">
        <v>114</v>
      </c>
      <c r="AK114" s="4">
        <v>0</v>
      </c>
      <c r="AL114" s="4">
        <v>154</v>
      </c>
      <c r="AM114" t="s">
        <v>303</v>
      </c>
    </row>
    <row r="115" spans="1:39" x14ac:dyDescent="0.3">
      <c r="A115" t="s">
        <v>127</v>
      </c>
      <c r="B115">
        <v>19</v>
      </c>
      <c r="C115">
        <v>4655</v>
      </c>
      <c r="D115" t="s">
        <v>161</v>
      </c>
      <c r="E115">
        <v>3</v>
      </c>
      <c r="F115" t="s">
        <v>169</v>
      </c>
      <c r="G115" t="s">
        <v>130</v>
      </c>
      <c r="H115" t="s">
        <v>131</v>
      </c>
      <c r="I115">
        <v>8</v>
      </c>
      <c r="J115">
        <v>9</v>
      </c>
      <c r="K115">
        <v>3</v>
      </c>
      <c r="L115" t="s">
        <v>165</v>
      </c>
      <c r="M115" t="s">
        <v>166</v>
      </c>
      <c r="N115" t="s">
        <v>133</v>
      </c>
      <c r="O115">
        <v>5</v>
      </c>
      <c r="P115">
        <v>1</v>
      </c>
      <c r="Q115" t="s">
        <v>145</v>
      </c>
      <c r="R115" t="s">
        <v>155</v>
      </c>
      <c r="S115" t="s">
        <v>147</v>
      </c>
      <c r="T115" t="s">
        <v>148</v>
      </c>
      <c r="U115" t="s">
        <v>158</v>
      </c>
      <c r="V115" t="s">
        <v>133</v>
      </c>
      <c r="W115" t="s">
        <v>170</v>
      </c>
      <c r="X115" t="s">
        <v>133</v>
      </c>
      <c r="Z115">
        <v>4</v>
      </c>
      <c r="AA115">
        <v>4</v>
      </c>
      <c r="AB115">
        <v>3</v>
      </c>
      <c r="AC115" t="s">
        <v>258</v>
      </c>
      <c r="AD115">
        <v>0</v>
      </c>
      <c r="AE115">
        <v>0</v>
      </c>
      <c r="AF115" t="s">
        <v>133</v>
      </c>
      <c r="AG115" t="s">
        <v>140</v>
      </c>
      <c r="AH115" t="s">
        <v>292</v>
      </c>
      <c r="AI115" s="4">
        <v>9</v>
      </c>
      <c r="AJ115" s="4">
        <v>5</v>
      </c>
      <c r="AK115" s="4">
        <v>0</v>
      </c>
      <c r="AL115" s="4">
        <v>14</v>
      </c>
      <c r="AM115" t="s">
        <v>304</v>
      </c>
    </row>
    <row r="116" spans="1:39" x14ac:dyDescent="0.3">
      <c r="A116" t="s">
        <v>127</v>
      </c>
      <c r="B116">
        <v>20</v>
      </c>
      <c r="C116">
        <v>7417</v>
      </c>
      <c r="D116" t="s">
        <v>128</v>
      </c>
      <c r="E116">
        <v>1</v>
      </c>
      <c r="F116" t="s">
        <v>129</v>
      </c>
      <c r="G116" t="s">
        <v>130</v>
      </c>
      <c r="H116" t="s">
        <v>144</v>
      </c>
      <c r="I116">
        <v>8</v>
      </c>
      <c r="J116">
        <v>4</v>
      </c>
      <c r="K116">
        <v>3</v>
      </c>
      <c r="L116" t="s">
        <v>165</v>
      </c>
      <c r="N116" t="s">
        <v>133</v>
      </c>
      <c r="O116">
        <v>4</v>
      </c>
      <c r="P116">
        <v>3</v>
      </c>
      <c r="Q116" t="s">
        <v>134</v>
      </c>
      <c r="R116" t="s">
        <v>135</v>
      </c>
      <c r="T116" t="s">
        <v>136</v>
      </c>
      <c r="U116" t="s">
        <v>137</v>
      </c>
      <c r="V116" t="s">
        <v>133</v>
      </c>
      <c r="W116" t="s">
        <v>139</v>
      </c>
      <c r="X116" t="s">
        <v>133</v>
      </c>
      <c r="Z116">
        <v>1</v>
      </c>
      <c r="AA116">
        <v>1</v>
      </c>
      <c r="AB116">
        <v>1</v>
      </c>
      <c r="AD116">
        <v>0</v>
      </c>
      <c r="AE116">
        <v>0</v>
      </c>
      <c r="AF116" t="s">
        <v>133</v>
      </c>
      <c r="AG116" t="s">
        <v>139</v>
      </c>
      <c r="AH116" t="s">
        <v>185</v>
      </c>
      <c r="AI116" s="4">
        <v>4</v>
      </c>
      <c r="AJ116" s="4">
        <v>4</v>
      </c>
      <c r="AK116" s="4">
        <v>0</v>
      </c>
      <c r="AL116" s="4">
        <v>8</v>
      </c>
      <c r="AM116" t="s">
        <v>305</v>
      </c>
    </row>
    <row r="117" spans="1:39" x14ac:dyDescent="0.3">
      <c r="A117" t="s">
        <v>127</v>
      </c>
      <c r="B117">
        <v>20</v>
      </c>
      <c r="C117">
        <v>7848</v>
      </c>
      <c r="D117" t="s">
        <v>128</v>
      </c>
      <c r="E117">
        <v>2</v>
      </c>
      <c r="F117" t="s">
        <v>143</v>
      </c>
      <c r="G117" t="s">
        <v>130</v>
      </c>
      <c r="H117" t="s">
        <v>144</v>
      </c>
      <c r="I117">
        <v>8</v>
      </c>
      <c r="J117">
        <v>1</v>
      </c>
      <c r="K117">
        <v>0</v>
      </c>
      <c r="L117" t="s">
        <v>132</v>
      </c>
      <c r="N117" t="s">
        <v>133</v>
      </c>
      <c r="O117">
        <v>32</v>
      </c>
      <c r="P117">
        <v>6</v>
      </c>
      <c r="Q117" t="s">
        <v>145</v>
      </c>
      <c r="R117" t="s">
        <v>155</v>
      </c>
      <c r="S117" t="s">
        <v>156</v>
      </c>
      <c r="T117" t="s">
        <v>157</v>
      </c>
      <c r="U117" t="s">
        <v>158</v>
      </c>
      <c r="V117" t="s">
        <v>133</v>
      </c>
      <c r="W117" t="s">
        <v>139</v>
      </c>
      <c r="X117" t="s">
        <v>133</v>
      </c>
      <c r="Z117">
        <v>4</v>
      </c>
      <c r="AA117">
        <v>2</v>
      </c>
      <c r="AB117">
        <v>3</v>
      </c>
      <c r="AD117">
        <v>0</v>
      </c>
      <c r="AE117">
        <v>0</v>
      </c>
      <c r="AF117" t="s">
        <v>133</v>
      </c>
      <c r="AG117" t="s">
        <v>130</v>
      </c>
      <c r="AI117" s="4">
        <v>1</v>
      </c>
      <c r="AJ117" s="4">
        <v>32</v>
      </c>
      <c r="AK117" s="4">
        <v>0</v>
      </c>
      <c r="AL117" s="4">
        <v>33</v>
      </c>
      <c r="AM117" t="s">
        <v>306</v>
      </c>
    </row>
    <row r="118" spans="1:39" x14ac:dyDescent="0.3">
      <c r="A118" t="s">
        <v>127</v>
      </c>
      <c r="B118">
        <v>20</v>
      </c>
      <c r="C118">
        <v>8029</v>
      </c>
      <c r="D118" t="s">
        <v>128</v>
      </c>
      <c r="E118">
        <v>3</v>
      </c>
      <c r="F118" t="s">
        <v>152</v>
      </c>
      <c r="G118" t="s">
        <v>130</v>
      </c>
      <c r="H118" t="s">
        <v>131</v>
      </c>
      <c r="I118">
        <v>5</v>
      </c>
      <c r="J118">
        <v>10</v>
      </c>
      <c r="K118">
        <v>10</v>
      </c>
      <c r="L118" t="s">
        <v>174</v>
      </c>
      <c r="M118" t="s">
        <v>166</v>
      </c>
      <c r="N118" t="s">
        <v>133</v>
      </c>
      <c r="O118">
        <v>8</v>
      </c>
      <c r="P118">
        <v>8</v>
      </c>
      <c r="Q118" t="s">
        <v>134</v>
      </c>
      <c r="R118" t="s">
        <v>135</v>
      </c>
      <c r="T118" t="s">
        <v>203</v>
      </c>
      <c r="U118" t="s">
        <v>137</v>
      </c>
      <c r="V118" t="s">
        <v>138</v>
      </c>
      <c r="W118" t="s">
        <v>139</v>
      </c>
      <c r="X118" t="s">
        <v>133</v>
      </c>
      <c r="Z118">
        <v>1</v>
      </c>
      <c r="AA118">
        <v>1</v>
      </c>
      <c r="AB118">
        <v>2</v>
      </c>
      <c r="AD118">
        <v>0</v>
      </c>
      <c r="AE118">
        <v>0</v>
      </c>
      <c r="AF118" t="s">
        <v>133</v>
      </c>
      <c r="AG118" t="s">
        <v>139</v>
      </c>
      <c r="AH118" t="s">
        <v>141</v>
      </c>
      <c r="AI118" s="4">
        <v>10</v>
      </c>
      <c r="AJ118" s="4">
        <v>8</v>
      </c>
      <c r="AK118" s="4">
        <v>0</v>
      </c>
      <c r="AL118" s="4">
        <v>18</v>
      </c>
      <c r="AM118" t="s">
        <v>307</v>
      </c>
    </row>
    <row r="119" spans="1:39" x14ac:dyDescent="0.3">
      <c r="A119" t="s">
        <v>127</v>
      </c>
      <c r="B119">
        <v>20</v>
      </c>
      <c r="C119">
        <v>4423</v>
      </c>
      <c r="D119" t="s">
        <v>161</v>
      </c>
      <c r="E119">
        <v>1</v>
      </c>
      <c r="F119" t="s">
        <v>162</v>
      </c>
      <c r="G119" t="s">
        <v>130</v>
      </c>
      <c r="H119" t="s">
        <v>144</v>
      </c>
      <c r="I119">
        <v>8</v>
      </c>
      <c r="J119">
        <v>1</v>
      </c>
      <c r="K119">
        <v>0</v>
      </c>
      <c r="L119" t="s">
        <v>132</v>
      </c>
      <c r="N119" t="s">
        <v>133</v>
      </c>
      <c r="O119">
        <v>28</v>
      </c>
      <c r="P119">
        <v>4</v>
      </c>
      <c r="Q119" t="s">
        <v>145</v>
      </c>
      <c r="R119" t="s">
        <v>155</v>
      </c>
      <c r="S119" t="s">
        <v>147</v>
      </c>
      <c r="T119" t="s">
        <v>148</v>
      </c>
      <c r="U119" t="s">
        <v>158</v>
      </c>
      <c r="V119" t="s">
        <v>133</v>
      </c>
      <c r="W119" t="s">
        <v>181</v>
      </c>
      <c r="X119" t="s">
        <v>133</v>
      </c>
      <c r="Z119">
        <v>4</v>
      </c>
      <c r="AA119">
        <v>4</v>
      </c>
      <c r="AB119">
        <v>5</v>
      </c>
      <c r="AD119">
        <v>0</v>
      </c>
      <c r="AE119">
        <v>0</v>
      </c>
      <c r="AF119" t="s">
        <v>133</v>
      </c>
      <c r="AG119" t="s">
        <v>139</v>
      </c>
      <c r="AH119" t="s">
        <v>215</v>
      </c>
      <c r="AI119" s="4">
        <v>1</v>
      </c>
      <c r="AJ119" s="4">
        <v>28</v>
      </c>
      <c r="AK119" s="4">
        <v>0</v>
      </c>
      <c r="AL119" s="4">
        <v>29</v>
      </c>
      <c r="AM119" t="s">
        <v>308</v>
      </c>
    </row>
    <row r="120" spans="1:39" x14ac:dyDescent="0.3">
      <c r="A120" t="s">
        <v>127</v>
      </c>
      <c r="B120">
        <v>20</v>
      </c>
      <c r="C120">
        <v>3284</v>
      </c>
      <c r="D120" t="s">
        <v>161</v>
      </c>
      <c r="E120">
        <v>2</v>
      </c>
      <c r="F120" t="s">
        <v>164</v>
      </c>
      <c r="G120" t="s">
        <v>130</v>
      </c>
      <c r="H120" t="s">
        <v>144</v>
      </c>
      <c r="I120">
        <v>8</v>
      </c>
      <c r="J120">
        <v>11</v>
      </c>
      <c r="K120">
        <v>5</v>
      </c>
      <c r="L120" t="s">
        <v>165</v>
      </c>
      <c r="M120" t="s">
        <v>166</v>
      </c>
      <c r="N120" t="s">
        <v>133</v>
      </c>
      <c r="O120">
        <v>16</v>
      </c>
      <c r="P120">
        <v>8</v>
      </c>
      <c r="Q120" t="s">
        <v>134</v>
      </c>
      <c r="R120" t="s">
        <v>135</v>
      </c>
      <c r="T120" t="s">
        <v>136</v>
      </c>
      <c r="U120" t="s">
        <v>137</v>
      </c>
      <c r="V120" t="s">
        <v>170</v>
      </c>
      <c r="W120" t="s">
        <v>139</v>
      </c>
      <c r="X120" t="s">
        <v>133</v>
      </c>
      <c r="Z120">
        <v>2</v>
      </c>
      <c r="AA120">
        <v>2</v>
      </c>
      <c r="AB120">
        <v>3</v>
      </c>
      <c r="AD120">
        <v>0</v>
      </c>
      <c r="AE120">
        <v>0</v>
      </c>
      <c r="AF120" t="s">
        <v>133</v>
      </c>
      <c r="AG120" t="s">
        <v>139</v>
      </c>
      <c r="AI120" s="4">
        <v>11</v>
      </c>
      <c r="AJ120" s="4">
        <v>16</v>
      </c>
      <c r="AK120" s="4">
        <v>0</v>
      </c>
      <c r="AL120" s="4">
        <v>27</v>
      </c>
      <c r="AM120" t="s">
        <v>309</v>
      </c>
    </row>
    <row r="121" spans="1:39" x14ac:dyDescent="0.3">
      <c r="A121" t="s">
        <v>127</v>
      </c>
      <c r="B121">
        <v>20</v>
      </c>
      <c r="C121">
        <v>4143</v>
      </c>
      <c r="D121" t="s">
        <v>161</v>
      </c>
      <c r="E121">
        <v>3</v>
      </c>
      <c r="F121" t="s">
        <v>169</v>
      </c>
      <c r="G121" t="s">
        <v>130</v>
      </c>
      <c r="H121" t="s">
        <v>153</v>
      </c>
      <c r="I121">
        <v>7</v>
      </c>
      <c r="J121">
        <v>37</v>
      </c>
      <c r="K121">
        <v>1</v>
      </c>
      <c r="L121" t="s">
        <v>165</v>
      </c>
      <c r="M121" t="s">
        <v>180</v>
      </c>
      <c r="N121" t="s">
        <v>133</v>
      </c>
      <c r="O121">
        <v>117</v>
      </c>
      <c r="P121">
        <v>4</v>
      </c>
      <c r="Q121" t="s">
        <v>145</v>
      </c>
      <c r="R121" t="s">
        <v>146</v>
      </c>
      <c r="S121" t="s">
        <v>147</v>
      </c>
      <c r="T121" t="s">
        <v>148</v>
      </c>
      <c r="U121" t="s">
        <v>149</v>
      </c>
      <c r="V121" t="s">
        <v>133</v>
      </c>
      <c r="W121" t="s">
        <v>181</v>
      </c>
      <c r="X121" t="s">
        <v>133</v>
      </c>
      <c r="Z121">
        <v>5</v>
      </c>
      <c r="AA121">
        <v>5</v>
      </c>
      <c r="AB121">
        <v>5</v>
      </c>
      <c r="AD121">
        <v>0</v>
      </c>
      <c r="AE121">
        <v>0</v>
      </c>
      <c r="AF121" t="s">
        <v>133</v>
      </c>
      <c r="AG121" t="s">
        <v>130</v>
      </c>
      <c r="AH121" t="s">
        <v>218</v>
      </c>
      <c r="AI121" s="4">
        <v>37</v>
      </c>
      <c r="AJ121" s="4">
        <v>117</v>
      </c>
      <c r="AK121" s="4">
        <v>0</v>
      </c>
      <c r="AL121" s="4">
        <v>154</v>
      </c>
      <c r="AM121" t="s">
        <v>310</v>
      </c>
    </row>
    <row r="122" spans="1:39" x14ac:dyDescent="0.3">
      <c r="A122" t="s">
        <v>127</v>
      </c>
      <c r="B122">
        <v>21</v>
      </c>
      <c r="C122">
        <v>7472</v>
      </c>
      <c r="D122" t="s">
        <v>128</v>
      </c>
      <c r="E122">
        <v>1</v>
      </c>
      <c r="F122" t="s">
        <v>129</v>
      </c>
      <c r="G122" t="s">
        <v>130</v>
      </c>
      <c r="H122" t="s">
        <v>131</v>
      </c>
      <c r="I122">
        <v>8</v>
      </c>
      <c r="J122">
        <v>8</v>
      </c>
      <c r="K122">
        <v>4</v>
      </c>
      <c r="L122" t="s">
        <v>132</v>
      </c>
      <c r="N122" t="s">
        <v>133</v>
      </c>
      <c r="O122">
        <v>7</v>
      </c>
      <c r="P122">
        <v>4</v>
      </c>
      <c r="Q122" t="s">
        <v>134</v>
      </c>
      <c r="R122" t="s">
        <v>135</v>
      </c>
      <c r="T122" t="s">
        <v>203</v>
      </c>
      <c r="U122" t="s">
        <v>137</v>
      </c>
      <c r="V122" t="s">
        <v>133</v>
      </c>
      <c r="W122" t="s">
        <v>139</v>
      </c>
      <c r="X122" t="s">
        <v>133</v>
      </c>
      <c r="Z122">
        <v>2</v>
      </c>
      <c r="AA122">
        <v>1</v>
      </c>
      <c r="AB122">
        <v>3</v>
      </c>
      <c r="AD122">
        <v>0</v>
      </c>
      <c r="AE122">
        <v>0</v>
      </c>
      <c r="AF122" t="s">
        <v>133</v>
      </c>
      <c r="AG122" t="s">
        <v>140</v>
      </c>
      <c r="AH122" t="s">
        <v>185</v>
      </c>
      <c r="AI122" s="4">
        <v>8</v>
      </c>
      <c r="AJ122" s="4">
        <v>7</v>
      </c>
      <c r="AK122" s="4">
        <v>0</v>
      </c>
      <c r="AL122" s="4">
        <v>15</v>
      </c>
      <c r="AM122" t="s">
        <v>311</v>
      </c>
    </row>
    <row r="123" spans="1:39" x14ac:dyDescent="0.3">
      <c r="A123" t="s">
        <v>127</v>
      </c>
      <c r="B123">
        <v>21</v>
      </c>
      <c r="C123">
        <v>4645</v>
      </c>
      <c r="D123" t="s">
        <v>128</v>
      </c>
      <c r="E123">
        <v>2</v>
      </c>
      <c r="F123" t="s">
        <v>143</v>
      </c>
      <c r="G123" t="s">
        <v>130</v>
      </c>
      <c r="H123" t="s">
        <v>153</v>
      </c>
      <c r="I123">
        <v>8</v>
      </c>
      <c r="J123">
        <v>4</v>
      </c>
      <c r="K123">
        <v>1</v>
      </c>
      <c r="L123" t="s">
        <v>132</v>
      </c>
      <c r="N123" t="s">
        <v>133</v>
      </c>
      <c r="O123">
        <v>44</v>
      </c>
      <c r="P123">
        <v>13</v>
      </c>
      <c r="Q123" t="s">
        <v>154</v>
      </c>
      <c r="R123" t="s">
        <v>155</v>
      </c>
      <c r="S123" t="s">
        <v>156</v>
      </c>
      <c r="T123" t="s">
        <v>157</v>
      </c>
      <c r="U123" t="s">
        <v>158</v>
      </c>
      <c r="V123" t="s">
        <v>133</v>
      </c>
      <c r="W123" t="s">
        <v>139</v>
      </c>
      <c r="X123" t="s">
        <v>133</v>
      </c>
      <c r="Z123">
        <v>3</v>
      </c>
      <c r="AA123">
        <v>2</v>
      </c>
      <c r="AB123">
        <v>3</v>
      </c>
      <c r="AD123">
        <v>0</v>
      </c>
      <c r="AE123">
        <v>0</v>
      </c>
      <c r="AF123" t="s">
        <v>133</v>
      </c>
      <c r="AG123" t="s">
        <v>140</v>
      </c>
      <c r="AI123" s="4">
        <v>4</v>
      </c>
      <c r="AJ123" s="4">
        <v>44</v>
      </c>
      <c r="AK123" s="4">
        <v>0</v>
      </c>
      <c r="AL123" s="4">
        <v>48</v>
      </c>
      <c r="AM123" t="s">
        <v>312</v>
      </c>
    </row>
    <row r="124" spans="1:39" x14ac:dyDescent="0.3">
      <c r="A124" t="s">
        <v>127</v>
      </c>
      <c r="B124">
        <v>21</v>
      </c>
      <c r="C124">
        <v>5442</v>
      </c>
      <c r="D124" t="s">
        <v>128</v>
      </c>
      <c r="E124">
        <v>3</v>
      </c>
      <c r="F124" t="s">
        <v>152</v>
      </c>
      <c r="G124" t="s">
        <v>130</v>
      </c>
      <c r="H124" t="s">
        <v>153</v>
      </c>
      <c r="I124">
        <v>8</v>
      </c>
      <c r="J124">
        <v>1</v>
      </c>
      <c r="K124">
        <v>1</v>
      </c>
      <c r="L124" t="s">
        <v>132</v>
      </c>
      <c r="N124" t="s">
        <v>133</v>
      </c>
      <c r="O124">
        <v>43</v>
      </c>
      <c r="P124">
        <v>22</v>
      </c>
      <c r="Q124" t="s">
        <v>154</v>
      </c>
      <c r="R124" t="s">
        <v>155</v>
      </c>
      <c r="S124" t="s">
        <v>156</v>
      </c>
      <c r="T124" t="s">
        <v>157</v>
      </c>
      <c r="U124" t="s">
        <v>187</v>
      </c>
      <c r="V124" t="s">
        <v>133</v>
      </c>
      <c r="W124" t="s">
        <v>139</v>
      </c>
      <c r="X124" t="s">
        <v>133</v>
      </c>
      <c r="Z124">
        <v>2</v>
      </c>
      <c r="AA124">
        <v>3</v>
      </c>
      <c r="AB124">
        <v>4</v>
      </c>
      <c r="AD124">
        <v>0</v>
      </c>
      <c r="AE124">
        <v>0</v>
      </c>
      <c r="AF124" t="s">
        <v>133</v>
      </c>
      <c r="AG124" t="s">
        <v>140</v>
      </c>
      <c r="AI124" s="4">
        <v>1</v>
      </c>
      <c r="AJ124" s="4">
        <v>43</v>
      </c>
      <c r="AK124" s="4">
        <v>0</v>
      </c>
      <c r="AL124" s="4">
        <v>44</v>
      </c>
      <c r="AM124" t="s">
        <v>313</v>
      </c>
    </row>
    <row r="125" spans="1:39" x14ac:dyDescent="0.3">
      <c r="A125" t="s">
        <v>127</v>
      </c>
      <c r="B125">
        <v>21</v>
      </c>
      <c r="C125">
        <v>3067</v>
      </c>
      <c r="D125" t="s">
        <v>161</v>
      </c>
      <c r="E125">
        <v>1</v>
      </c>
      <c r="F125" t="s">
        <v>162</v>
      </c>
      <c r="G125" t="s">
        <v>130</v>
      </c>
      <c r="H125" t="s">
        <v>153</v>
      </c>
      <c r="I125">
        <v>8</v>
      </c>
      <c r="J125">
        <v>3</v>
      </c>
      <c r="K125">
        <v>1</v>
      </c>
      <c r="L125" t="s">
        <v>132</v>
      </c>
      <c r="N125" t="s">
        <v>133</v>
      </c>
      <c r="O125">
        <v>4</v>
      </c>
      <c r="P125">
        <v>1</v>
      </c>
      <c r="Q125" t="s">
        <v>145</v>
      </c>
      <c r="R125" t="s">
        <v>155</v>
      </c>
      <c r="S125" t="s">
        <v>178</v>
      </c>
      <c r="T125" t="s">
        <v>157</v>
      </c>
      <c r="U125" t="s">
        <v>158</v>
      </c>
      <c r="V125" t="s">
        <v>133</v>
      </c>
      <c r="W125" t="s">
        <v>139</v>
      </c>
      <c r="X125" t="s">
        <v>133</v>
      </c>
      <c r="Z125">
        <v>4</v>
      </c>
      <c r="AA125">
        <v>4</v>
      </c>
      <c r="AB125">
        <v>3</v>
      </c>
      <c r="AD125">
        <v>0</v>
      </c>
      <c r="AE125">
        <v>0</v>
      </c>
      <c r="AF125" t="s">
        <v>133</v>
      </c>
      <c r="AG125" t="s">
        <v>140</v>
      </c>
      <c r="AH125" t="s">
        <v>185</v>
      </c>
      <c r="AI125" s="4">
        <v>3</v>
      </c>
      <c r="AJ125" s="4">
        <v>4</v>
      </c>
      <c r="AK125" s="4">
        <v>0</v>
      </c>
      <c r="AL125" s="4">
        <v>7</v>
      </c>
      <c r="AM125" t="s">
        <v>314</v>
      </c>
    </row>
    <row r="126" spans="1:39" x14ac:dyDescent="0.3">
      <c r="A126" t="s">
        <v>127</v>
      </c>
      <c r="B126">
        <v>21</v>
      </c>
      <c r="C126">
        <v>4156</v>
      </c>
      <c r="D126" t="s">
        <v>161</v>
      </c>
      <c r="E126">
        <v>2</v>
      </c>
      <c r="F126" t="s">
        <v>164</v>
      </c>
      <c r="G126" t="s">
        <v>130</v>
      </c>
      <c r="H126" t="s">
        <v>131</v>
      </c>
      <c r="I126">
        <v>8</v>
      </c>
      <c r="J126">
        <v>3</v>
      </c>
      <c r="K126">
        <v>1</v>
      </c>
      <c r="L126" t="s">
        <v>132</v>
      </c>
      <c r="N126" t="s">
        <v>133</v>
      </c>
      <c r="O126">
        <v>1</v>
      </c>
      <c r="P126">
        <v>0</v>
      </c>
      <c r="Q126" t="s">
        <v>134</v>
      </c>
      <c r="R126" t="s">
        <v>135</v>
      </c>
      <c r="T126" t="s">
        <v>136</v>
      </c>
      <c r="U126" t="s">
        <v>137</v>
      </c>
      <c r="V126" t="s">
        <v>133</v>
      </c>
      <c r="W126" t="s">
        <v>139</v>
      </c>
      <c r="X126" t="s">
        <v>133</v>
      </c>
      <c r="Z126">
        <v>3</v>
      </c>
      <c r="AA126">
        <v>3</v>
      </c>
      <c r="AB126">
        <v>4</v>
      </c>
      <c r="AD126">
        <v>0</v>
      </c>
      <c r="AE126">
        <v>0</v>
      </c>
      <c r="AF126" t="s">
        <v>133</v>
      </c>
      <c r="AG126" t="s">
        <v>140</v>
      </c>
      <c r="AH126" t="s">
        <v>185</v>
      </c>
      <c r="AI126" s="4">
        <v>3</v>
      </c>
      <c r="AJ126" s="4">
        <v>1</v>
      </c>
      <c r="AK126" s="4">
        <v>0</v>
      </c>
      <c r="AL126" s="4">
        <v>4</v>
      </c>
      <c r="AM126" t="s">
        <v>315</v>
      </c>
    </row>
    <row r="127" spans="1:39" x14ac:dyDescent="0.3">
      <c r="A127" t="s">
        <v>127</v>
      </c>
      <c r="B127">
        <v>21</v>
      </c>
      <c r="C127">
        <v>8719</v>
      </c>
      <c r="D127" t="s">
        <v>161</v>
      </c>
      <c r="E127">
        <v>3</v>
      </c>
      <c r="F127" t="s">
        <v>169</v>
      </c>
      <c r="G127" t="s">
        <v>130</v>
      </c>
      <c r="H127" t="s">
        <v>131</v>
      </c>
      <c r="I127">
        <v>5</v>
      </c>
      <c r="J127">
        <v>4</v>
      </c>
      <c r="K127">
        <v>2</v>
      </c>
      <c r="L127" t="s">
        <v>132</v>
      </c>
      <c r="N127" t="s">
        <v>133</v>
      </c>
      <c r="O127">
        <v>0</v>
      </c>
      <c r="P127">
        <v>0</v>
      </c>
      <c r="Q127" t="s">
        <v>134</v>
      </c>
      <c r="R127" t="s">
        <v>135</v>
      </c>
      <c r="T127" t="s">
        <v>191</v>
      </c>
      <c r="U127" t="s">
        <v>137</v>
      </c>
      <c r="V127" t="s">
        <v>170</v>
      </c>
      <c r="W127" t="s">
        <v>139</v>
      </c>
      <c r="X127" t="s">
        <v>133</v>
      </c>
      <c r="Z127">
        <v>2</v>
      </c>
      <c r="AA127">
        <v>1</v>
      </c>
      <c r="AB127">
        <v>4</v>
      </c>
      <c r="AD127">
        <v>0</v>
      </c>
      <c r="AE127">
        <v>0</v>
      </c>
      <c r="AF127" t="s">
        <v>133</v>
      </c>
      <c r="AG127" t="s">
        <v>140</v>
      </c>
      <c r="AH127" t="s">
        <v>185</v>
      </c>
      <c r="AI127" s="4">
        <v>4</v>
      </c>
      <c r="AJ127" s="4">
        <v>0</v>
      </c>
      <c r="AK127" s="4">
        <v>0</v>
      </c>
      <c r="AL127" s="4">
        <v>4</v>
      </c>
      <c r="AM127" t="s">
        <v>316</v>
      </c>
    </row>
    <row r="128" spans="1:39" x14ac:dyDescent="0.3">
      <c r="A128" t="s">
        <v>127</v>
      </c>
      <c r="B128">
        <v>22</v>
      </c>
      <c r="C128">
        <v>9082</v>
      </c>
      <c r="D128" t="s">
        <v>128</v>
      </c>
      <c r="E128">
        <v>1</v>
      </c>
      <c r="F128" t="s">
        <v>129</v>
      </c>
      <c r="G128" t="s">
        <v>130</v>
      </c>
      <c r="H128" t="s">
        <v>131</v>
      </c>
      <c r="I128">
        <v>8</v>
      </c>
      <c r="J128">
        <v>9</v>
      </c>
      <c r="K128">
        <v>0</v>
      </c>
      <c r="L128" t="s">
        <v>165</v>
      </c>
      <c r="M128" t="s">
        <v>166</v>
      </c>
      <c r="N128" t="s">
        <v>133</v>
      </c>
      <c r="O128">
        <v>82</v>
      </c>
      <c r="P128">
        <v>3</v>
      </c>
      <c r="Q128" t="s">
        <v>145</v>
      </c>
      <c r="R128" t="s">
        <v>146</v>
      </c>
      <c r="S128" t="s">
        <v>147</v>
      </c>
      <c r="T128" t="s">
        <v>148</v>
      </c>
      <c r="U128" t="s">
        <v>158</v>
      </c>
      <c r="V128" t="s">
        <v>133</v>
      </c>
      <c r="W128" t="s">
        <v>170</v>
      </c>
      <c r="X128" t="s">
        <v>133</v>
      </c>
      <c r="Z128">
        <v>4</v>
      </c>
      <c r="AA128">
        <v>4</v>
      </c>
      <c r="AB128">
        <v>5</v>
      </c>
      <c r="AD128">
        <v>0</v>
      </c>
      <c r="AE128">
        <v>0</v>
      </c>
      <c r="AF128" t="s">
        <v>133</v>
      </c>
      <c r="AG128" t="s">
        <v>130</v>
      </c>
      <c r="AH128" t="s">
        <v>175</v>
      </c>
      <c r="AI128" s="4">
        <v>9</v>
      </c>
      <c r="AJ128" s="4">
        <v>82</v>
      </c>
      <c r="AK128" s="4">
        <v>0</v>
      </c>
      <c r="AL128" s="4">
        <v>91</v>
      </c>
      <c r="AM128" t="s">
        <v>317</v>
      </c>
    </row>
    <row r="129" spans="1:39" x14ac:dyDescent="0.3">
      <c r="A129" t="s">
        <v>127</v>
      </c>
      <c r="B129">
        <v>22</v>
      </c>
      <c r="C129">
        <v>4787</v>
      </c>
      <c r="D129" t="s">
        <v>128</v>
      </c>
      <c r="E129">
        <v>2</v>
      </c>
      <c r="F129" t="s">
        <v>143</v>
      </c>
      <c r="G129" t="s">
        <v>130</v>
      </c>
      <c r="H129" t="s">
        <v>153</v>
      </c>
      <c r="I129">
        <v>7</v>
      </c>
      <c r="J129">
        <v>1</v>
      </c>
      <c r="K129">
        <v>1</v>
      </c>
      <c r="L129" t="s">
        <v>132</v>
      </c>
      <c r="N129" t="s">
        <v>133</v>
      </c>
      <c r="O129">
        <v>19</v>
      </c>
      <c r="P129">
        <v>12</v>
      </c>
      <c r="Q129" t="s">
        <v>154</v>
      </c>
      <c r="R129" t="s">
        <v>155</v>
      </c>
      <c r="S129" t="s">
        <v>156</v>
      </c>
      <c r="T129" t="s">
        <v>157</v>
      </c>
      <c r="U129" t="s">
        <v>187</v>
      </c>
      <c r="V129" t="s">
        <v>133</v>
      </c>
      <c r="W129" t="s">
        <v>139</v>
      </c>
      <c r="X129" t="s">
        <v>133</v>
      </c>
      <c r="Z129">
        <v>3</v>
      </c>
      <c r="AA129">
        <v>3</v>
      </c>
      <c r="AB129">
        <v>2</v>
      </c>
      <c r="AD129">
        <v>0</v>
      </c>
      <c r="AE129">
        <v>0</v>
      </c>
      <c r="AF129" t="s">
        <v>133</v>
      </c>
      <c r="AG129" t="s">
        <v>140</v>
      </c>
      <c r="AI129" s="4">
        <v>1</v>
      </c>
      <c r="AJ129" s="4">
        <v>19</v>
      </c>
      <c r="AK129" s="4">
        <v>0</v>
      </c>
      <c r="AL129" s="4">
        <v>20</v>
      </c>
      <c r="AM129" t="s">
        <v>318</v>
      </c>
    </row>
    <row r="130" spans="1:39" x14ac:dyDescent="0.3">
      <c r="A130" t="s">
        <v>127</v>
      </c>
      <c r="B130">
        <v>22</v>
      </c>
      <c r="C130">
        <v>2861</v>
      </c>
      <c r="D130" t="s">
        <v>128</v>
      </c>
      <c r="E130">
        <v>3</v>
      </c>
      <c r="F130" t="s">
        <v>152</v>
      </c>
      <c r="G130" t="s">
        <v>130</v>
      </c>
      <c r="H130" t="s">
        <v>144</v>
      </c>
      <c r="I130">
        <v>8</v>
      </c>
      <c r="J130">
        <v>20</v>
      </c>
      <c r="K130">
        <v>5</v>
      </c>
      <c r="L130" t="s">
        <v>174</v>
      </c>
      <c r="M130" t="s">
        <v>166</v>
      </c>
      <c r="N130" t="s">
        <v>133</v>
      </c>
      <c r="O130">
        <v>110</v>
      </c>
      <c r="P130">
        <v>29</v>
      </c>
      <c r="Q130" t="s">
        <v>145</v>
      </c>
      <c r="R130" t="s">
        <v>146</v>
      </c>
      <c r="S130" t="s">
        <v>147</v>
      </c>
      <c r="T130" t="s">
        <v>148</v>
      </c>
      <c r="U130" t="s">
        <v>149</v>
      </c>
      <c r="V130" t="s">
        <v>133</v>
      </c>
      <c r="W130" t="s">
        <v>139</v>
      </c>
      <c r="X130" t="s">
        <v>133</v>
      </c>
      <c r="Z130">
        <v>4</v>
      </c>
      <c r="AA130">
        <v>5</v>
      </c>
      <c r="AB130">
        <v>4</v>
      </c>
      <c r="AD130">
        <v>0</v>
      </c>
      <c r="AE130">
        <v>0</v>
      </c>
      <c r="AF130" t="s">
        <v>133</v>
      </c>
      <c r="AG130" t="s">
        <v>130</v>
      </c>
      <c r="AH130" t="s">
        <v>319</v>
      </c>
      <c r="AI130" s="4">
        <v>20</v>
      </c>
      <c r="AJ130" s="4">
        <v>110</v>
      </c>
      <c r="AK130" s="4">
        <v>0</v>
      </c>
      <c r="AL130" s="4">
        <v>130</v>
      </c>
      <c r="AM130" t="s">
        <v>320</v>
      </c>
    </row>
    <row r="131" spans="1:39" x14ac:dyDescent="0.3">
      <c r="A131" t="s">
        <v>127</v>
      </c>
      <c r="B131">
        <v>22</v>
      </c>
      <c r="C131">
        <v>648</v>
      </c>
      <c r="D131" t="s">
        <v>161</v>
      </c>
      <c r="E131">
        <v>1</v>
      </c>
      <c r="F131" t="s">
        <v>162</v>
      </c>
      <c r="G131" t="s">
        <v>130</v>
      </c>
      <c r="H131" t="s">
        <v>131</v>
      </c>
      <c r="I131">
        <v>8</v>
      </c>
      <c r="J131">
        <v>9</v>
      </c>
      <c r="K131">
        <v>5</v>
      </c>
      <c r="L131" t="s">
        <v>165</v>
      </c>
      <c r="M131" t="s">
        <v>180</v>
      </c>
      <c r="N131" t="s">
        <v>133</v>
      </c>
      <c r="O131">
        <v>8</v>
      </c>
      <c r="P131">
        <v>4</v>
      </c>
      <c r="Q131" t="s">
        <v>154</v>
      </c>
      <c r="R131" t="s">
        <v>135</v>
      </c>
      <c r="T131" t="s">
        <v>191</v>
      </c>
      <c r="U131" t="s">
        <v>187</v>
      </c>
      <c r="V131" t="s">
        <v>170</v>
      </c>
      <c r="W131" t="s">
        <v>139</v>
      </c>
      <c r="X131" t="s">
        <v>133</v>
      </c>
      <c r="Z131">
        <v>3</v>
      </c>
      <c r="AA131">
        <v>2</v>
      </c>
      <c r="AB131">
        <v>3</v>
      </c>
      <c r="AD131">
        <v>0</v>
      </c>
      <c r="AE131">
        <v>0</v>
      </c>
      <c r="AF131" t="s">
        <v>133</v>
      </c>
      <c r="AG131" t="s">
        <v>139</v>
      </c>
      <c r="AH131" t="s">
        <v>185</v>
      </c>
      <c r="AI131" s="4">
        <v>9</v>
      </c>
      <c r="AJ131" s="4">
        <v>8</v>
      </c>
      <c r="AK131" s="4">
        <v>0</v>
      </c>
      <c r="AL131" s="4">
        <v>17</v>
      </c>
      <c r="AM131" t="s">
        <v>321</v>
      </c>
    </row>
    <row r="132" spans="1:39" x14ac:dyDescent="0.3">
      <c r="A132" t="s">
        <v>127</v>
      </c>
      <c r="B132">
        <v>22</v>
      </c>
      <c r="C132">
        <v>2022</v>
      </c>
      <c r="D132" t="s">
        <v>161</v>
      </c>
      <c r="E132">
        <v>2</v>
      </c>
      <c r="F132" t="s">
        <v>164</v>
      </c>
      <c r="G132" t="s">
        <v>130</v>
      </c>
      <c r="H132" t="s">
        <v>131</v>
      </c>
      <c r="I132">
        <v>8</v>
      </c>
      <c r="J132">
        <v>2</v>
      </c>
      <c r="K132">
        <v>0</v>
      </c>
      <c r="L132" t="s">
        <v>132</v>
      </c>
      <c r="N132" t="s">
        <v>133</v>
      </c>
      <c r="O132">
        <v>9</v>
      </c>
      <c r="P132">
        <v>2</v>
      </c>
      <c r="Q132" t="s">
        <v>154</v>
      </c>
      <c r="R132" t="s">
        <v>155</v>
      </c>
      <c r="S132" t="s">
        <v>156</v>
      </c>
      <c r="T132" t="s">
        <v>157</v>
      </c>
      <c r="U132" t="s">
        <v>158</v>
      </c>
      <c r="V132" t="s">
        <v>133</v>
      </c>
      <c r="W132" t="s">
        <v>139</v>
      </c>
      <c r="X132" t="s">
        <v>133</v>
      </c>
      <c r="Z132">
        <v>3</v>
      </c>
      <c r="AA132">
        <v>3</v>
      </c>
      <c r="AB132">
        <v>2</v>
      </c>
      <c r="AD132">
        <v>0</v>
      </c>
      <c r="AE132">
        <v>0</v>
      </c>
      <c r="AF132" t="s">
        <v>133</v>
      </c>
      <c r="AG132" t="s">
        <v>130</v>
      </c>
      <c r="AH132" t="s">
        <v>185</v>
      </c>
      <c r="AI132" s="4">
        <v>2</v>
      </c>
      <c r="AJ132" s="4">
        <v>9</v>
      </c>
      <c r="AK132" s="4">
        <v>0</v>
      </c>
      <c r="AL132" s="4">
        <v>11</v>
      </c>
      <c r="AM132" t="s">
        <v>322</v>
      </c>
    </row>
    <row r="133" spans="1:39" x14ac:dyDescent="0.3">
      <c r="A133" t="s">
        <v>127</v>
      </c>
      <c r="B133">
        <v>22</v>
      </c>
      <c r="C133">
        <v>2039</v>
      </c>
      <c r="D133" t="s">
        <v>161</v>
      </c>
      <c r="E133">
        <v>3</v>
      </c>
      <c r="F133" t="s">
        <v>169</v>
      </c>
      <c r="G133" t="s">
        <v>130</v>
      </c>
      <c r="H133" t="s">
        <v>131</v>
      </c>
      <c r="I133">
        <v>8</v>
      </c>
      <c r="J133">
        <v>1</v>
      </c>
      <c r="K133">
        <v>1</v>
      </c>
      <c r="L133" t="s">
        <v>132</v>
      </c>
      <c r="N133" t="s">
        <v>133</v>
      </c>
      <c r="O133">
        <v>0</v>
      </c>
      <c r="P133">
        <v>0</v>
      </c>
      <c r="Q133" t="s">
        <v>134</v>
      </c>
      <c r="R133" t="s">
        <v>135</v>
      </c>
      <c r="T133" t="s">
        <v>136</v>
      </c>
      <c r="U133" t="s">
        <v>137</v>
      </c>
      <c r="V133" t="s">
        <v>170</v>
      </c>
      <c r="W133" t="s">
        <v>139</v>
      </c>
      <c r="X133" t="s">
        <v>195</v>
      </c>
      <c r="Y133" t="s">
        <v>323</v>
      </c>
      <c r="Z133">
        <v>1</v>
      </c>
      <c r="AA133">
        <v>1</v>
      </c>
      <c r="AB133">
        <v>2</v>
      </c>
      <c r="AD133">
        <v>0</v>
      </c>
      <c r="AE133">
        <v>0</v>
      </c>
      <c r="AF133" t="s">
        <v>133</v>
      </c>
      <c r="AG133" t="s">
        <v>140</v>
      </c>
      <c r="AH133" t="s">
        <v>324</v>
      </c>
      <c r="AI133" s="4">
        <v>1</v>
      </c>
      <c r="AJ133" s="4">
        <v>0</v>
      </c>
      <c r="AK133" s="4">
        <v>10</v>
      </c>
      <c r="AL133" s="4">
        <v>11</v>
      </c>
      <c r="AM133" t="s">
        <v>325</v>
      </c>
    </row>
    <row r="134" spans="1:39" x14ac:dyDescent="0.3">
      <c r="A134" t="s">
        <v>127</v>
      </c>
      <c r="B134">
        <v>23</v>
      </c>
      <c r="C134">
        <v>4423</v>
      </c>
      <c r="D134" t="s">
        <v>128</v>
      </c>
      <c r="E134">
        <v>1</v>
      </c>
      <c r="F134" t="s">
        <v>129</v>
      </c>
      <c r="G134" t="s">
        <v>130</v>
      </c>
      <c r="H134" t="s">
        <v>144</v>
      </c>
      <c r="I134">
        <v>8</v>
      </c>
      <c r="J134">
        <v>0</v>
      </c>
      <c r="K134">
        <v>0</v>
      </c>
      <c r="L134" t="s">
        <v>132</v>
      </c>
      <c r="N134" t="s">
        <v>133</v>
      </c>
      <c r="O134">
        <v>57</v>
      </c>
      <c r="P134">
        <v>12</v>
      </c>
      <c r="Q134" t="s">
        <v>145</v>
      </c>
      <c r="R134" t="s">
        <v>155</v>
      </c>
      <c r="S134" t="s">
        <v>147</v>
      </c>
      <c r="T134" t="s">
        <v>148</v>
      </c>
      <c r="U134" t="s">
        <v>158</v>
      </c>
      <c r="V134" t="s">
        <v>133</v>
      </c>
      <c r="W134" t="s">
        <v>139</v>
      </c>
      <c r="X134" t="s">
        <v>133</v>
      </c>
      <c r="Z134">
        <v>4</v>
      </c>
      <c r="AA134">
        <v>3</v>
      </c>
      <c r="AB134">
        <v>3</v>
      </c>
      <c r="AD134">
        <v>2</v>
      </c>
      <c r="AE134">
        <v>0</v>
      </c>
      <c r="AF134" t="s">
        <v>133</v>
      </c>
      <c r="AG134" t="s">
        <v>130</v>
      </c>
      <c r="AH134" t="s">
        <v>171</v>
      </c>
      <c r="AI134" s="4">
        <v>0</v>
      </c>
      <c r="AJ134" s="4">
        <v>57</v>
      </c>
      <c r="AK134" s="4">
        <v>0</v>
      </c>
      <c r="AL134" s="4">
        <v>57</v>
      </c>
      <c r="AM134" t="s">
        <v>326</v>
      </c>
    </row>
    <row r="135" spans="1:39" x14ac:dyDescent="0.3">
      <c r="A135" t="s">
        <v>127</v>
      </c>
      <c r="B135">
        <v>23</v>
      </c>
      <c r="C135">
        <v>2481</v>
      </c>
      <c r="D135" t="s">
        <v>128</v>
      </c>
      <c r="E135">
        <v>2</v>
      </c>
      <c r="F135" t="s">
        <v>143</v>
      </c>
      <c r="G135" t="s">
        <v>130</v>
      </c>
      <c r="H135" t="s">
        <v>131</v>
      </c>
      <c r="I135">
        <v>8</v>
      </c>
      <c r="J135">
        <v>34</v>
      </c>
      <c r="K135">
        <v>9</v>
      </c>
      <c r="L135" t="s">
        <v>174</v>
      </c>
      <c r="M135" t="s">
        <v>180</v>
      </c>
      <c r="N135" t="s">
        <v>133</v>
      </c>
      <c r="O135">
        <v>206</v>
      </c>
      <c r="P135">
        <v>53</v>
      </c>
      <c r="Q135" t="s">
        <v>145</v>
      </c>
      <c r="R135" t="s">
        <v>146</v>
      </c>
      <c r="S135" t="s">
        <v>147</v>
      </c>
      <c r="T135" t="s">
        <v>148</v>
      </c>
      <c r="U135" t="s">
        <v>149</v>
      </c>
      <c r="V135" t="s">
        <v>133</v>
      </c>
      <c r="W135" t="s">
        <v>139</v>
      </c>
      <c r="X135" t="s">
        <v>133</v>
      </c>
      <c r="Z135">
        <v>5</v>
      </c>
      <c r="AA135">
        <v>5</v>
      </c>
      <c r="AB135">
        <v>2</v>
      </c>
      <c r="AD135">
        <v>0</v>
      </c>
      <c r="AE135">
        <v>0</v>
      </c>
      <c r="AF135" t="s">
        <v>133</v>
      </c>
      <c r="AG135" t="s">
        <v>130</v>
      </c>
      <c r="AH135" t="s">
        <v>218</v>
      </c>
      <c r="AI135" s="4">
        <v>34</v>
      </c>
      <c r="AJ135" s="4">
        <v>206</v>
      </c>
      <c r="AK135" s="4">
        <v>0</v>
      </c>
      <c r="AL135" s="4">
        <v>240</v>
      </c>
      <c r="AM135" t="s">
        <v>327</v>
      </c>
    </row>
    <row r="136" spans="1:39" x14ac:dyDescent="0.3">
      <c r="A136" t="s">
        <v>127</v>
      </c>
      <c r="B136">
        <v>23</v>
      </c>
      <c r="C136">
        <v>4655</v>
      </c>
      <c r="D136" t="s">
        <v>128</v>
      </c>
      <c r="E136">
        <v>3</v>
      </c>
      <c r="F136" t="s">
        <v>152</v>
      </c>
      <c r="G136" t="s">
        <v>130</v>
      </c>
      <c r="H136" t="s">
        <v>131</v>
      </c>
      <c r="I136">
        <v>8</v>
      </c>
      <c r="J136">
        <v>4</v>
      </c>
      <c r="K136">
        <v>1</v>
      </c>
      <c r="L136" t="s">
        <v>174</v>
      </c>
      <c r="N136" t="s">
        <v>133</v>
      </c>
      <c r="O136">
        <v>65</v>
      </c>
      <c r="P136">
        <v>21</v>
      </c>
      <c r="Q136" t="s">
        <v>145</v>
      </c>
      <c r="R136" t="s">
        <v>155</v>
      </c>
      <c r="S136" t="s">
        <v>147</v>
      </c>
      <c r="T136" t="s">
        <v>148</v>
      </c>
      <c r="U136" t="s">
        <v>158</v>
      </c>
      <c r="V136" t="s">
        <v>133</v>
      </c>
      <c r="W136" t="s">
        <v>139</v>
      </c>
      <c r="X136" t="s">
        <v>133</v>
      </c>
      <c r="Z136">
        <v>4</v>
      </c>
      <c r="AA136">
        <v>3</v>
      </c>
      <c r="AB136">
        <v>4</v>
      </c>
      <c r="AD136">
        <v>1</v>
      </c>
      <c r="AE136">
        <v>0</v>
      </c>
      <c r="AF136" t="s">
        <v>133</v>
      </c>
      <c r="AG136" t="s">
        <v>140</v>
      </c>
      <c r="AH136" t="s">
        <v>171</v>
      </c>
      <c r="AI136" s="4">
        <v>4</v>
      </c>
      <c r="AJ136" s="4">
        <v>65</v>
      </c>
      <c r="AK136" s="4">
        <v>0</v>
      </c>
      <c r="AL136" s="4">
        <v>69</v>
      </c>
      <c r="AM136" t="s">
        <v>328</v>
      </c>
    </row>
    <row r="137" spans="1:39" x14ac:dyDescent="0.3">
      <c r="A137" t="s">
        <v>127</v>
      </c>
      <c r="B137">
        <v>23</v>
      </c>
      <c r="C137">
        <v>8096</v>
      </c>
      <c r="D137" t="s">
        <v>161</v>
      </c>
      <c r="E137">
        <v>1</v>
      </c>
      <c r="F137" t="s">
        <v>162</v>
      </c>
      <c r="G137" t="s">
        <v>130</v>
      </c>
      <c r="H137" t="s">
        <v>144</v>
      </c>
      <c r="I137">
        <v>8</v>
      </c>
      <c r="J137">
        <v>6</v>
      </c>
      <c r="K137">
        <v>4</v>
      </c>
      <c r="L137" t="s">
        <v>132</v>
      </c>
      <c r="N137" t="s">
        <v>133</v>
      </c>
      <c r="O137">
        <v>1</v>
      </c>
      <c r="P137">
        <v>1</v>
      </c>
      <c r="Q137" t="s">
        <v>154</v>
      </c>
      <c r="R137" t="s">
        <v>155</v>
      </c>
      <c r="S137" t="s">
        <v>156</v>
      </c>
      <c r="T137" t="s">
        <v>157</v>
      </c>
      <c r="U137" t="s">
        <v>187</v>
      </c>
      <c r="V137" t="s">
        <v>133</v>
      </c>
      <c r="W137" t="s">
        <v>139</v>
      </c>
      <c r="X137" t="s">
        <v>133</v>
      </c>
      <c r="Z137">
        <v>3</v>
      </c>
      <c r="AA137">
        <v>2</v>
      </c>
      <c r="AB137">
        <v>2</v>
      </c>
      <c r="AC137" t="s">
        <v>258</v>
      </c>
      <c r="AD137">
        <v>0</v>
      </c>
      <c r="AE137">
        <v>0</v>
      </c>
      <c r="AF137" t="s">
        <v>133</v>
      </c>
      <c r="AG137" t="s">
        <v>139</v>
      </c>
      <c r="AH137" t="s">
        <v>183</v>
      </c>
      <c r="AI137" s="4">
        <v>6</v>
      </c>
      <c r="AJ137" s="4">
        <v>1</v>
      </c>
      <c r="AK137" s="4">
        <v>0</v>
      </c>
      <c r="AL137" s="4">
        <v>7</v>
      </c>
      <c r="AM137" t="s">
        <v>329</v>
      </c>
    </row>
    <row r="138" spans="1:39" x14ac:dyDescent="0.3">
      <c r="A138" t="s">
        <v>127</v>
      </c>
      <c r="B138">
        <v>23</v>
      </c>
      <c r="C138">
        <v>4096</v>
      </c>
      <c r="D138" t="s">
        <v>161</v>
      </c>
      <c r="E138">
        <v>2</v>
      </c>
      <c r="F138" t="s">
        <v>164</v>
      </c>
      <c r="G138" t="s">
        <v>130</v>
      </c>
      <c r="H138" t="s">
        <v>131</v>
      </c>
      <c r="I138">
        <v>8</v>
      </c>
      <c r="J138">
        <v>7</v>
      </c>
      <c r="K138">
        <v>1</v>
      </c>
      <c r="L138" t="s">
        <v>132</v>
      </c>
      <c r="N138" t="s">
        <v>133</v>
      </c>
      <c r="O138">
        <v>41</v>
      </c>
      <c r="P138">
        <v>4</v>
      </c>
      <c r="Q138" t="s">
        <v>145</v>
      </c>
      <c r="R138" t="s">
        <v>155</v>
      </c>
      <c r="S138" t="s">
        <v>147</v>
      </c>
      <c r="T138" t="s">
        <v>148</v>
      </c>
      <c r="U138" t="s">
        <v>158</v>
      </c>
      <c r="V138" t="s">
        <v>133</v>
      </c>
      <c r="W138" t="s">
        <v>139</v>
      </c>
      <c r="X138" t="s">
        <v>133</v>
      </c>
      <c r="Z138">
        <v>5</v>
      </c>
      <c r="AA138">
        <v>4</v>
      </c>
      <c r="AB138">
        <v>5</v>
      </c>
      <c r="AD138">
        <v>0</v>
      </c>
      <c r="AE138">
        <v>0</v>
      </c>
      <c r="AF138" t="s">
        <v>133</v>
      </c>
      <c r="AG138" t="s">
        <v>139</v>
      </c>
      <c r="AI138" s="4">
        <v>7</v>
      </c>
      <c r="AJ138" s="4">
        <v>41</v>
      </c>
      <c r="AK138" s="4">
        <v>0</v>
      </c>
      <c r="AL138" s="4">
        <v>48</v>
      </c>
      <c r="AM138" t="s">
        <v>330</v>
      </c>
    </row>
    <row r="139" spans="1:39" x14ac:dyDescent="0.3">
      <c r="A139" t="s">
        <v>127</v>
      </c>
      <c r="B139">
        <v>23</v>
      </c>
      <c r="C139">
        <v>2040</v>
      </c>
      <c r="D139" t="s">
        <v>161</v>
      </c>
      <c r="E139">
        <v>3</v>
      </c>
      <c r="F139" t="s">
        <v>169</v>
      </c>
      <c r="G139" t="s">
        <v>130</v>
      </c>
      <c r="H139" t="s">
        <v>144</v>
      </c>
      <c r="I139">
        <v>5</v>
      </c>
      <c r="J139">
        <v>6</v>
      </c>
      <c r="K139">
        <v>1</v>
      </c>
      <c r="L139" t="s">
        <v>165</v>
      </c>
      <c r="M139" t="s">
        <v>166</v>
      </c>
      <c r="N139" t="s">
        <v>133</v>
      </c>
      <c r="O139">
        <v>51</v>
      </c>
      <c r="P139">
        <v>8</v>
      </c>
      <c r="Q139" t="s">
        <v>145</v>
      </c>
      <c r="R139" t="s">
        <v>146</v>
      </c>
      <c r="S139" t="s">
        <v>147</v>
      </c>
      <c r="T139" t="s">
        <v>148</v>
      </c>
      <c r="U139" t="s">
        <v>149</v>
      </c>
      <c r="V139" t="s">
        <v>133</v>
      </c>
      <c r="W139" t="s">
        <v>181</v>
      </c>
      <c r="X139" t="s">
        <v>133</v>
      </c>
      <c r="Z139">
        <v>4</v>
      </c>
      <c r="AA139">
        <v>5</v>
      </c>
      <c r="AB139">
        <v>5</v>
      </c>
      <c r="AD139">
        <v>0</v>
      </c>
      <c r="AE139">
        <v>0</v>
      </c>
      <c r="AF139" t="s">
        <v>133</v>
      </c>
      <c r="AG139" t="s">
        <v>130</v>
      </c>
      <c r="AH139" t="s">
        <v>175</v>
      </c>
      <c r="AI139" s="4">
        <v>6</v>
      </c>
      <c r="AJ139" s="4">
        <v>51</v>
      </c>
      <c r="AK139" s="4">
        <v>0</v>
      </c>
      <c r="AL139" s="4">
        <v>57</v>
      </c>
      <c r="AM139" t="s">
        <v>331</v>
      </c>
    </row>
    <row r="140" spans="1:39" x14ac:dyDescent="0.3">
      <c r="A140" t="s">
        <v>127</v>
      </c>
      <c r="B140">
        <v>24</v>
      </c>
      <c r="C140">
        <v>1756</v>
      </c>
      <c r="D140" t="s">
        <v>128</v>
      </c>
      <c r="E140">
        <v>1</v>
      </c>
      <c r="F140" t="s">
        <v>129</v>
      </c>
      <c r="G140" t="s">
        <v>130</v>
      </c>
      <c r="H140" t="s">
        <v>131</v>
      </c>
      <c r="I140">
        <v>8</v>
      </c>
      <c r="J140">
        <v>29</v>
      </c>
      <c r="K140">
        <v>7</v>
      </c>
      <c r="L140" t="s">
        <v>165</v>
      </c>
      <c r="M140" t="s">
        <v>166</v>
      </c>
      <c r="N140" t="s">
        <v>133</v>
      </c>
      <c r="O140">
        <v>168</v>
      </c>
      <c r="P140">
        <v>40</v>
      </c>
      <c r="Q140" t="s">
        <v>145</v>
      </c>
      <c r="R140" t="s">
        <v>146</v>
      </c>
      <c r="S140" t="s">
        <v>147</v>
      </c>
      <c r="T140" t="s">
        <v>148</v>
      </c>
      <c r="U140" t="s">
        <v>149</v>
      </c>
      <c r="V140" t="s">
        <v>133</v>
      </c>
      <c r="W140" t="s">
        <v>139</v>
      </c>
      <c r="X140" t="s">
        <v>133</v>
      </c>
      <c r="Z140">
        <v>3</v>
      </c>
      <c r="AA140">
        <v>5</v>
      </c>
      <c r="AB140">
        <v>3</v>
      </c>
      <c r="AD140">
        <v>0</v>
      </c>
      <c r="AE140">
        <v>0</v>
      </c>
      <c r="AF140" t="s">
        <v>133</v>
      </c>
      <c r="AG140" t="s">
        <v>130</v>
      </c>
      <c r="AH140" t="s">
        <v>218</v>
      </c>
      <c r="AI140" s="4">
        <v>29</v>
      </c>
      <c r="AJ140" s="4">
        <v>168</v>
      </c>
      <c r="AK140" s="4">
        <v>0</v>
      </c>
      <c r="AL140" s="4">
        <v>197</v>
      </c>
      <c r="AM140" t="s">
        <v>332</v>
      </c>
    </row>
    <row r="141" spans="1:39" x14ac:dyDescent="0.3">
      <c r="A141" t="s">
        <v>127</v>
      </c>
      <c r="B141">
        <v>24</v>
      </c>
      <c r="C141">
        <v>7417</v>
      </c>
      <c r="D141" t="s">
        <v>128</v>
      </c>
      <c r="E141">
        <v>2</v>
      </c>
      <c r="F141" t="s">
        <v>143</v>
      </c>
      <c r="G141" t="s">
        <v>130</v>
      </c>
      <c r="H141" t="s">
        <v>144</v>
      </c>
      <c r="I141">
        <v>8</v>
      </c>
      <c r="J141">
        <v>11</v>
      </c>
      <c r="K141">
        <v>9</v>
      </c>
      <c r="L141" t="s">
        <v>165</v>
      </c>
      <c r="M141" t="s">
        <v>180</v>
      </c>
      <c r="N141" t="s">
        <v>133</v>
      </c>
      <c r="O141">
        <v>8</v>
      </c>
      <c r="P141">
        <v>7</v>
      </c>
      <c r="Q141" t="s">
        <v>134</v>
      </c>
      <c r="R141" t="s">
        <v>135</v>
      </c>
      <c r="T141" t="s">
        <v>136</v>
      </c>
      <c r="U141" t="s">
        <v>137</v>
      </c>
      <c r="V141" t="s">
        <v>133</v>
      </c>
      <c r="W141" t="s">
        <v>139</v>
      </c>
      <c r="X141" t="s">
        <v>133</v>
      </c>
      <c r="Z141">
        <v>2</v>
      </c>
      <c r="AA141">
        <v>1</v>
      </c>
      <c r="AB141">
        <v>3</v>
      </c>
      <c r="AD141">
        <v>1</v>
      </c>
      <c r="AE141">
        <v>0</v>
      </c>
      <c r="AF141" t="s">
        <v>133</v>
      </c>
      <c r="AG141" t="s">
        <v>139</v>
      </c>
      <c r="AH141" t="s">
        <v>185</v>
      </c>
      <c r="AI141" s="4">
        <v>11</v>
      </c>
      <c r="AJ141" s="4">
        <v>8</v>
      </c>
      <c r="AK141" s="4">
        <v>0</v>
      </c>
      <c r="AL141" s="4">
        <v>19</v>
      </c>
      <c r="AM141" t="s">
        <v>333</v>
      </c>
    </row>
    <row r="142" spans="1:39" x14ac:dyDescent="0.3">
      <c r="A142" t="s">
        <v>127</v>
      </c>
      <c r="B142">
        <v>24</v>
      </c>
      <c r="C142">
        <v>3067</v>
      </c>
      <c r="D142" t="s">
        <v>128</v>
      </c>
      <c r="E142">
        <v>3</v>
      </c>
      <c r="F142" t="s">
        <v>152</v>
      </c>
      <c r="G142" t="s">
        <v>130</v>
      </c>
      <c r="H142" t="s">
        <v>153</v>
      </c>
      <c r="I142">
        <v>8</v>
      </c>
      <c r="J142">
        <v>6</v>
      </c>
      <c r="K142">
        <v>0</v>
      </c>
      <c r="L142" t="s">
        <v>132</v>
      </c>
      <c r="N142" t="s">
        <v>133</v>
      </c>
      <c r="O142">
        <v>39</v>
      </c>
      <c r="P142">
        <v>1</v>
      </c>
      <c r="Q142" t="s">
        <v>145</v>
      </c>
      <c r="R142" t="s">
        <v>155</v>
      </c>
      <c r="S142" t="s">
        <v>178</v>
      </c>
      <c r="T142" t="s">
        <v>157</v>
      </c>
      <c r="U142" t="s">
        <v>158</v>
      </c>
      <c r="V142" t="s">
        <v>133</v>
      </c>
      <c r="W142" t="s">
        <v>139</v>
      </c>
      <c r="X142" t="s">
        <v>133</v>
      </c>
      <c r="Z142">
        <v>4</v>
      </c>
      <c r="AA142">
        <v>3</v>
      </c>
      <c r="AB142">
        <v>5</v>
      </c>
      <c r="AD142">
        <v>0</v>
      </c>
      <c r="AE142">
        <v>0</v>
      </c>
      <c r="AF142" t="s">
        <v>133</v>
      </c>
      <c r="AG142" t="s">
        <v>130</v>
      </c>
      <c r="AI142" s="4">
        <v>6</v>
      </c>
      <c r="AJ142" s="4">
        <v>39</v>
      </c>
      <c r="AK142" s="4">
        <v>0</v>
      </c>
      <c r="AL142" s="4">
        <v>45</v>
      </c>
      <c r="AM142" t="s">
        <v>334</v>
      </c>
    </row>
    <row r="143" spans="1:39" x14ac:dyDescent="0.3">
      <c r="A143" t="s">
        <v>127</v>
      </c>
      <c r="B143">
        <v>24</v>
      </c>
      <c r="C143">
        <v>1625</v>
      </c>
      <c r="D143" t="s">
        <v>161</v>
      </c>
      <c r="E143">
        <v>1</v>
      </c>
      <c r="F143" t="s">
        <v>162</v>
      </c>
      <c r="G143" t="s">
        <v>130</v>
      </c>
      <c r="H143" t="s">
        <v>153</v>
      </c>
      <c r="I143">
        <v>8</v>
      </c>
      <c r="J143">
        <v>17</v>
      </c>
      <c r="K143">
        <v>6</v>
      </c>
      <c r="L143" t="s">
        <v>165</v>
      </c>
      <c r="M143" t="s">
        <v>180</v>
      </c>
      <c r="N143" t="s">
        <v>133</v>
      </c>
      <c r="O143">
        <v>45</v>
      </c>
      <c r="P143">
        <v>15</v>
      </c>
      <c r="Q143" t="s">
        <v>145</v>
      </c>
      <c r="R143" t="s">
        <v>146</v>
      </c>
      <c r="S143" t="s">
        <v>147</v>
      </c>
      <c r="T143" t="s">
        <v>148</v>
      </c>
      <c r="U143" t="s">
        <v>149</v>
      </c>
      <c r="V143" t="s">
        <v>133</v>
      </c>
      <c r="W143" t="s">
        <v>181</v>
      </c>
      <c r="X143" t="s">
        <v>133</v>
      </c>
      <c r="Z143">
        <v>5</v>
      </c>
      <c r="AA143">
        <v>4</v>
      </c>
      <c r="AB143">
        <v>4</v>
      </c>
      <c r="AD143">
        <v>1</v>
      </c>
      <c r="AE143">
        <v>0</v>
      </c>
      <c r="AF143" t="s">
        <v>133</v>
      </c>
      <c r="AG143" t="s">
        <v>130</v>
      </c>
      <c r="AH143" t="s">
        <v>277</v>
      </c>
      <c r="AI143" s="4">
        <v>17</v>
      </c>
      <c r="AJ143" s="4">
        <v>45</v>
      </c>
      <c r="AK143" s="4">
        <v>0</v>
      </c>
      <c r="AL143" s="4">
        <v>62</v>
      </c>
      <c r="AM143" t="s">
        <v>335</v>
      </c>
    </row>
    <row r="144" spans="1:39" x14ac:dyDescent="0.3">
      <c r="A144" t="s">
        <v>127</v>
      </c>
      <c r="B144">
        <v>24</v>
      </c>
      <c r="C144">
        <v>8029</v>
      </c>
      <c r="D144" t="s">
        <v>161</v>
      </c>
      <c r="E144">
        <v>2</v>
      </c>
      <c r="F144" t="s">
        <v>164</v>
      </c>
      <c r="G144" t="s">
        <v>130</v>
      </c>
      <c r="H144" t="s">
        <v>131</v>
      </c>
      <c r="I144">
        <v>5</v>
      </c>
      <c r="J144">
        <v>14</v>
      </c>
      <c r="K144">
        <v>10</v>
      </c>
      <c r="L144" t="s">
        <v>174</v>
      </c>
      <c r="M144" t="s">
        <v>166</v>
      </c>
      <c r="N144" t="s">
        <v>133</v>
      </c>
      <c r="O144">
        <v>7</v>
      </c>
      <c r="P144">
        <v>5</v>
      </c>
      <c r="Q144" t="s">
        <v>134</v>
      </c>
      <c r="R144" t="s">
        <v>135</v>
      </c>
      <c r="T144" t="s">
        <v>203</v>
      </c>
      <c r="U144" t="s">
        <v>137</v>
      </c>
      <c r="V144" t="s">
        <v>170</v>
      </c>
      <c r="W144" t="s">
        <v>139</v>
      </c>
      <c r="X144" t="s">
        <v>133</v>
      </c>
      <c r="Z144">
        <v>2</v>
      </c>
      <c r="AA144">
        <v>2</v>
      </c>
      <c r="AB144">
        <v>1</v>
      </c>
      <c r="AD144">
        <v>0</v>
      </c>
      <c r="AE144">
        <v>0</v>
      </c>
      <c r="AF144" t="s">
        <v>133</v>
      </c>
      <c r="AG144" t="s">
        <v>140</v>
      </c>
      <c r="AH144" t="s">
        <v>185</v>
      </c>
      <c r="AI144" s="4">
        <v>14</v>
      </c>
      <c r="AJ144" s="4">
        <v>7</v>
      </c>
      <c r="AK144" s="4">
        <v>0</v>
      </c>
      <c r="AL144" s="4">
        <v>21</v>
      </c>
      <c r="AM144" t="s">
        <v>336</v>
      </c>
    </row>
    <row r="145" spans="1:39" x14ac:dyDescent="0.3">
      <c r="A145" t="s">
        <v>127</v>
      </c>
      <c r="B145">
        <v>24</v>
      </c>
      <c r="C145">
        <v>4645</v>
      </c>
      <c r="D145" t="s">
        <v>161</v>
      </c>
      <c r="E145">
        <v>3</v>
      </c>
      <c r="F145" t="s">
        <v>169</v>
      </c>
      <c r="G145" t="s">
        <v>130</v>
      </c>
      <c r="H145" t="s">
        <v>153</v>
      </c>
      <c r="I145">
        <v>8</v>
      </c>
      <c r="J145">
        <v>3</v>
      </c>
      <c r="K145">
        <v>1</v>
      </c>
      <c r="L145" t="s">
        <v>132</v>
      </c>
      <c r="N145" t="s">
        <v>133</v>
      </c>
      <c r="O145">
        <v>29</v>
      </c>
      <c r="P145">
        <v>6</v>
      </c>
      <c r="Q145" t="s">
        <v>154</v>
      </c>
      <c r="R145" t="s">
        <v>155</v>
      </c>
      <c r="S145" t="s">
        <v>156</v>
      </c>
      <c r="T145" t="s">
        <v>157</v>
      </c>
      <c r="U145" t="s">
        <v>158</v>
      </c>
      <c r="V145" t="s">
        <v>133</v>
      </c>
      <c r="W145" t="s">
        <v>139</v>
      </c>
      <c r="X145" t="s">
        <v>133</v>
      </c>
      <c r="Z145">
        <v>4</v>
      </c>
      <c r="AA145">
        <v>2</v>
      </c>
      <c r="AB145">
        <v>4</v>
      </c>
      <c r="AD145">
        <v>0</v>
      </c>
      <c r="AE145">
        <v>0</v>
      </c>
      <c r="AF145" t="s">
        <v>133</v>
      </c>
      <c r="AG145" t="s">
        <v>139</v>
      </c>
      <c r="AI145" s="4">
        <v>3</v>
      </c>
      <c r="AJ145" s="4">
        <v>29</v>
      </c>
      <c r="AK145" s="4">
        <v>0</v>
      </c>
      <c r="AL145" s="4">
        <v>32</v>
      </c>
      <c r="AM145" t="s">
        <v>337</v>
      </c>
    </row>
    <row r="146" spans="1:39" x14ac:dyDescent="0.3">
      <c r="A146" t="s">
        <v>127</v>
      </c>
      <c r="B146">
        <v>25</v>
      </c>
      <c r="C146">
        <v>3284</v>
      </c>
      <c r="D146" t="s">
        <v>128</v>
      </c>
      <c r="E146">
        <v>1</v>
      </c>
      <c r="F146" t="s">
        <v>129</v>
      </c>
      <c r="G146" t="s">
        <v>130</v>
      </c>
      <c r="H146" t="s">
        <v>144</v>
      </c>
      <c r="I146">
        <v>8</v>
      </c>
      <c r="J146">
        <v>7</v>
      </c>
      <c r="K146">
        <v>4</v>
      </c>
      <c r="L146" t="s">
        <v>165</v>
      </c>
      <c r="N146" t="s">
        <v>133</v>
      </c>
      <c r="O146">
        <v>23</v>
      </c>
      <c r="P146">
        <v>13</v>
      </c>
      <c r="Q146" t="s">
        <v>134</v>
      </c>
      <c r="R146" t="s">
        <v>135</v>
      </c>
      <c r="T146" t="s">
        <v>136</v>
      </c>
      <c r="U146" t="s">
        <v>137</v>
      </c>
      <c r="V146" t="s">
        <v>170</v>
      </c>
      <c r="W146" t="s">
        <v>139</v>
      </c>
      <c r="X146" t="s">
        <v>133</v>
      </c>
      <c r="Z146">
        <v>2</v>
      </c>
      <c r="AA146">
        <v>1</v>
      </c>
      <c r="AB146">
        <v>3</v>
      </c>
      <c r="AD146">
        <v>0</v>
      </c>
      <c r="AE146">
        <v>0</v>
      </c>
      <c r="AF146" t="s">
        <v>133</v>
      </c>
      <c r="AG146" t="s">
        <v>140</v>
      </c>
      <c r="AI146" s="4">
        <v>7</v>
      </c>
      <c r="AJ146" s="4">
        <v>23</v>
      </c>
      <c r="AK146" s="4">
        <v>0</v>
      </c>
      <c r="AL146" s="4">
        <v>30</v>
      </c>
      <c r="AM146" t="s">
        <v>338</v>
      </c>
    </row>
    <row r="147" spans="1:39" x14ac:dyDescent="0.3">
      <c r="A147" t="s">
        <v>127</v>
      </c>
      <c r="B147">
        <v>25</v>
      </c>
      <c r="C147">
        <v>4213</v>
      </c>
      <c r="D147" t="s">
        <v>128</v>
      </c>
      <c r="E147">
        <v>2</v>
      </c>
      <c r="F147" t="s">
        <v>143</v>
      </c>
      <c r="G147" t="s">
        <v>130</v>
      </c>
      <c r="H147" t="s">
        <v>153</v>
      </c>
      <c r="I147">
        <v>8</v>
      </c>
      <c r="J147">
        <v>4</v>
      </c>
      <c r="K147">
        <v>1</v>
      </c>
      <c r="L147" t="s">
        <v>132</v>
      </c>
      <c r="N147" t="s">
        <v>133</v>
      </c>
      <c r="O147">
        <v>101</v>
      </c>
      <c r="P147">
        <v>35</v>
      </c>
      <c r="Q147" t="s">
        <v>145</v>
      </c>
      <c r="R147" t="s">
        <v>155</v>
      </c>
      <c r="S147" t="s">
        <v>178</v>
      </c>
      <c r="T147" t="s">
        <v>157</v>
      </c>
      <c r="U147" t="s">
        <v>158</v>
      </c>
      <c r="V147" t="s">
        <v>133</v>
      </c>
      <c r="W147" t="s">
        <v>139</v>
      </c>
      <c r="X147" t="s">
        <v>133</v>
      </c>
      <c r="Z147">
        <v>3</v>
      </c>
      <c r="AA147">
        <v>5</v>
      </c>
      <c r="AB147">
        <v>2</v>
      </c>
      <c r="AD147">
        <v>0</v>
      </c>
      <c r="AE147">
        <v>0</v>
      </c>
      <c r="AF147" t="s">
        <v>133</v>
      </c>
      <c r="AG147" t="s">
        <v>139</v>
      </c>
      <c r="AH147" t="s">
        <v>319</v>
      </c>
      <c r="AI147" s="4">
        <v>4</v>
      </c>
      <c r="AJ147" s="4">
        <v>101</v>
      </c>
      <c r="AK147" s="4">
        <v>0</v>
      </c>
      <c r="AL147" s="4">
        <v>105</v>
      </c>
      <c r="AM147" t="s">
        <v>339</v>
      </c>
    </row>
    <row r="148" spans="1:39" x14ac:dyDescent="0.3">
      <c r="A148" t="s">
        <v>127</v>
      </c>
      <c r="B148">
        <v>25</v>
      </c>
      <c r="C148">
        <v>6237</v>
      </c>
      <c r="D148" t="s">
        <v>128</v>
      </c>
      <c r="E148">
        <v>3</v>
      </c>
      <c r="F148" t="s">
        <v>152</v>
      </c>
      <c r="G148" t="s">
        <v>130</v>
      </c>
      <c r="H148" t="s">
        <v>144</v>
      </c>
      <c r="I148">
        <v>8</v>
      </c>
      <c r="J148">
        <v>2</v>
      </c>
      <c r="K148">
        <v>1</v>
      </c>
      <c r="L148" t="s">
        <v>132</v>
      </c>
      <c r="N148" t="s">
        <v>133</v>
      </c>
      <c r="O148">
        <v>33</v>
      </c>
      <c r="P148">
        <v>13</v>
      </c>
      <c r="Q148" t="s">
        <v>145</v>
      </c>
      <c r="R148" t="s">
        <v>146</v>
      </c>
      <c r="S148" t="s">
        <v>147</v>
      </c>
      <c r="T148" t="s">
        <v>148</v>
      </c>
      <c r="U148" t="s">
        <v>149</v>
      </c>
      <c r="V148" t="s">
        <v>133</v>
      </c>
      <c r="W148" t="s">
        <v>139</v>
      </c>
      <c r="X148" t="s">
        <v>133</v>
      </c>
      <c r="Z148">
        <v>4</v>
      </c>
      <c r="AA148">
        <v>5</v>
      </c>
      <c r="AB148">
        <v>2</v>
      </c>
      <c r="AC148" t="s">
        <v>182</v>
      </c>
      <c r="AD148">
        <v>0</v>
      </c>
      <c r="AE148">
        <v>0</v>
      </c>
      <c r="AF148" t="s">
        <v>133</v>
      </c>
      <c r="AG148" t="s">
        <v>130</v>
      </c>
      <c r="AH148" t="s">
        <v>340</v>
      </c>
      <c r="AI148" s="4">
        <v>2</v>
      </c>
      <c r="AJ148" s="4">
        <v>33</v>
      </c>
      <c r="AK148" s="4">
        <v>0</v>
      </c>
      <c r="AL148" s="4">
        <v>35</v>
      </c>
      <c r="AM148" t="s">
        <v>341</v>
      </c>
    </row>
    <row r="149" spans="1:39" x14ac:dyDescent="0.3">
      <c r="A149" t="s">
        <v>127</v>
      </c>
      <c r="B149">
        <v>25</v>
      </c>
      <c r="C149">
        <v>8020</v>
      </c>
      <c r="D149" t="s">
        <v>161</v>
      </c>
      <c r="E149">
        <v>1</v>
      </c>
      <c r="F149" t="s">
        <v>162</v>
      </c>
      <c r="G149" t="s">
        <v>130</v>
      </c>
      <c r="H149" t="s">
        <v>131</v>
      </c>
      <c r="I149">
        <v>8</v>
      </c>
      <c r="J149">
        <v>20</v>
      </c>
      <c r="K149">
        <v>3</v>
      </c>
      <c r="L149" t="s">
        <v>174</v>
      </c>
      <c r="M149" t="s">
        <v>166</v>
      </c>
      <c r="N149" t="s">
        <v>133</v>
      </c>
      <c r="O149">
        <v>20</v>
      </c>
      <c r="P149">
        <v>3</v>
      </c>
      <c r="Q149" t="s">
        <v>145</v>
      </c>
      <c r="R149" t="s">
        <v>146</v>
      </c>
      <c r="S149" t="s">
        <v>147</v>
      </c>
      <c r="T149" t="s">
        <v>148</v>
      </c>
      <c r="U149" t="s">
        <v>149</v>
      </c>
      <c r="V149" t="s">
        <v>133</v>
      </c>
      <c r="W149" t="s">
        <v>139</v>
      </c>
      <c r="X149" t="s">
        <v>133</v>
      </c>
      <c r="Z149">
        <v>2</v>
      </c>
      <c r="AA149">
        <v>5</v>
      </c>
      <c r="AB149">
        <v>4</v>
      </c>
      <c r="AD149">
        <v>0</v>
      </c>
      <c r="AE149">
        <v>0</v>
      </c>
      <c r="AF149" t="s">
        <v>133</v>
      </c>
      <c r="AG149" t="s">
        <v>130</v>
      </c>
      <c r="AH149" t="s">
        <v>150</v>
      </c>
      <c r="AI149" s="4">
        <v>20</v>
      </c>
      <c r="AJ149" s="4">
        <v>20</v>
      </c>
      <c r="AK149" s="4">
        <v>0</v>
      </c>
      <c r="AL149" s="4">
        <v>40</v>
      </c>
      <c r="AM149" t="s">
        <v>342</v>
      </c>
    </row>
    <row r="150" spans="1:39" x14ac:dyDescent="0.3">
      <c r="A150" t="s">
        <v>127</v>
      </c>
      <c r="B150">
        <v>25</v>
      </c>
      <c r="C150">
        <v>3488</v>
      </c>
      <c r="D150" t="s">
        <v>161</v>
      </c>
      <c r="E150">
        <v>2</v>
      </c>
      <c r="F150" t="s">
        <v>164</v>
      </c>
      <c r="G150" t="s">
        <v>130</v>
      </c>
      <c r="H150" t="s">
        <v>144</v>
      </c>
      <c r="I150">
        <v>8</v>
      </c>
      <c r="J150">
        <v>0</v>
      </c>
      <c r="K150">
        <v>0</v>
      </c>
      <c r="L150" t="s">
        <v>132</v>
      </c>
      <c r="N150" t="s">
        <v>133</v>
      </c>
      <c r="O150">
        <v>15</v>
      </c>
      <c r="P150">
        <v>8</v>
      </c>
      <c r="Q150" t="s">
        <v>154</v>
      </c>
      <c r="R150" t="s">
        <v>135</v>
      </c>
      <c r="S150" t="s">
        <v>178</v>
      </c>
      <c r="T150" t="s">
        <v>157</v>
      </c>
      <c r="U150" t="s">
        <v>187</v>
      </c>
      <c r="V150" t="s">
        <v>133</v>
      </c>
      <c r="W150" t="s">
        <v>139</v>
      </c>
      <c r="X150" t="s">
        <v>133</v>
      </c>
      <c r="Z150">
        <v>3</v>
      </c>
      <c r="AA150">
        <v>3</v>
      </c>
      <c r="AB150">
        <v>3</v>
      </c>
      <c r="AD150">
        <v>0</v>
      </c>
      <c r="AE150">
        <v>0</v>
      </c>
      <c r="AF150" t="s">
        <v>133</v>
      </c>
      <c r="AG150" t="s">
        <v>139</v>
      </c>
      <c r="AI150" s="4">
        <v>0</v>
      </c>
      <c r="AJ150" s="4">
        <v>15</v>
      </c>
      <c r="AK150" s="4">
        <v>0</v>
      </c>
      <c r="AL150" s="4">
        <v>15</v>
      </c>
      <c r="AM150" t="s">
        <v>338</v>
      </c>
    </row>
    <row r="151" spans="1:39" x14ac:dyDescent="0.3">
      <c r="A151" t="s">
        <v>127</v>
      </c>
      <c r="B151">
        <v>25</v>
      </c>
      <c r="C151">
        <v>4156</v>
      </c>
      <c r="D151" t="s">
        <v>161</v>
      </c>
      <c r="E151">
        <v>3</v>
      </c>
      <c r="F151" t="s">
        <v>169</v>
      </c>
      <c r="G151" t="s">
        <v>130</v>
      </c>
      <c r="H151" t="s">
        <v>131</v>
      </c>
      <c r="I151">
        <v>8</v>
      </c>
      <c r="J151">
        <v>2</v>
      </c>
      <c r="K151">
        <v>1</v>
      </c>
      <c r="L151" t="s">
        <v>132</v>
      </c>
      <c r="N151" t="s">
        <v>133</v>
      </c>
      <c r="O151">
        <v>1</v>
      </c>
      <c r="P151">
        <v>0</v>
      </c>
      <c r="Q151" t="s">
        <v>134</v>
      </c>
      <c r="R151" t="s">
        <v>135</v>
      </c>
      <c r="T151" t="s">
        <v>136</v>
      </c>
      <c r="U151" t="s">
        <v>137</v>
      </c>
      <c r="V151" t="s">
        <v>170</v>
      </c>
      <c r="W151" t="s">
        <v>139</v>
      </c>
      <c r="X151" t="s">
        <v>133</v>
      </c>
      <c r="Z151">
        <v>2</v>
      </c>
      <c r="AA151">
        <v>2</v>
      </c>
      <c r="AB151">
        <v>4</v>
      </c>
      <c r="AD151">
        <v>0</v>
      </c>
      <c r="AE151">
        <v>0</v>
      </c>
      <c r="AF151" t="s">
        <v>133</v>
      </c>
      <c r="AG151" t="s">
        <v>139</v>
      </c>
      <c r="AH151" t="s">
        <v>185</v>
      </c>
      <c r="AI151" s="4">
        <v>2</v>
      </c>
      <c r="AJ151" s="4">
        <v>1</v>
      </c>
      <c r="AK151" s="4">
        <v>0</v>
      </c>
      <c r="AL151" s="4">
        <v>3</v>
      </c>
      <c r="AM151" t="s">
        <v>343</v>
      </c>
    </row>
    <row r="152" spans="1:39" x14ac:dyDescent="0.3">
      <c r="A152" t="s">
        <v>127</v>
      </c>
      <c r="B152">
        <v>26</v>
      </c>
      <c r="C152">
        <v>6651</v>
      </c>
      <c r="D152" t="s">
        <v>128</v>
      </c>
      <c r="E152">
        <v>1</v>
      </c>
      <c r="F152" t="s">
        <v>129</v>
      </c>
      <c r="G152" t="s">
        <v>130</v>
      </c>
      <c r="H152" t="s">
        <v>144</v>
      </c>
      <c r="I152">
        <v>8</v>
      </c>
      <c r="J152">
        <v>4</v>
      </c>
      <c r="K152">
        <v>2</v>
      </c>
      <c r="L152" t="s">
        <v>132</v>
      </c>
      <c r="N152" t="s">
        <v>133</v>
      </c>
      <c r="O152">
        <v>20</v>
      </c>
      <c r="P152">
        <v>9</v>
      </c>
      <c r="Q152" t="s">
        <v>154</v>
      </c>
      <c r="R152" t="s">
        <v>135</v>
      </c>
      <c r="T152" t="s">
        <v>157</v>
      </c>
      <c r="U152" t="s">
        <v>187</v>
      </c>
      <c r="V152" t="s">
        <v>133</v>
      </c>
      <c r="W152" t="s">
        <v>139</v>
      </c>
      <c r="X152" t="s">
        <v>133</v>
      </c>
      <c r="Z152">
        <v>2</v>
      </c>
      <c r="AA152">
        <v>2</v>
      </c>
      <c r="AB152">
        <v>4</v>
      </c>
      <c r="AD152">
        <v>0</v>
      </c>
      <c r="AE152">
        <v>0</v>
      </c>
      <c r="AF152" t="s">
        <v>133</v>
      </c>
      <c r="AG152" t="s">
        <v>139</v>
      </c>
      <c r="AI152" s="4">
        <v>4</v>
      </c>
      <c r="AJ152" s="4">
        <v>20</v>
      </c>
      <c r="AK152" s="4">
        <v>0</v>
      </c>
      <c r="AL152" s="4">
        <v>24</v>
      </c>
      <c r="AM152" t="s">
        <v>344</v>
      </c>
    </row>
    <row r="153" spans="1:39" x14ac:dyDescent="0.3">
      <c r="A153" t="s">
        <v>127</v>
      </c>
      <c r="B153">
        <v>26</v>
      </c>
      <c r="C153">
        <v>7472</v>
      </c>
      <c r="D153" t="s">
        <v>128</v>
      </c>
      <c r="E153">
        <v>2</v>
      </c>
      <c r="F153" t="s">
        <v>143</v>
      </c>
      <c r="G153" t="s">
        <v>130</v>
      </c>
      <c r="H153" t="s">
        <v>131</v>
      </c>
      <c r="I153">
        <v>8</v>
      </c>
      <c r="J153">
        <v>2</v>
      </c>
      <c r="K153">
        <v>2</v>
      </c>
      <c r="L153" t="s">
        <v>132</v>
      </c>
      <c r="N153" t="s">
        <v>133</v>
      </c>
      <c r="O153">
        <v>8</v>
      </c>
      <c r="P153">
        <v>8</v>
      </c>
      <c r="Q153" t="s">
        <v>134</v>
      </c>
      <c r="R153" t="s">
        <v>135</v>
      </c>
      <c r="T153" t="s">
        <v>203</v>
      </c>
      <c r="U153" t="s">
        <v>137</v>
      </c>
      <c r="V153" t="s">
        <v>133</v>
      </c>
      <c r="W153" t="s">
        <v>139</v>
      </c>
      <c r="X153" t="s">
        <v>133</v>
      </c>
      <c r="Z153">
        <v>1</v>
      </c>
      <c r="AA153">
        <v>1</v>
      </c>
      <c r="AB153">
        <v>1</v>
      </c>
      <c r="AD153">
        <v>2</v>
      </c>
      <c r="AE153">
        <v>0</v>
      </c>
      <c r="AF153" t="s">
        <v>133</v>
      </c>
      <c r="AG153" t="s">
        <v>139</v>
      </c>
      <c r="AH153" t="s">
        <v>185</v>
      </c>
      <c r="AI153" s="4">
        <v>2</v>
      </c>
      <c r="AJ153" s="4">
        <v>8</v>
      </c>
      <c r="AK153" s="4">
        <v>0</v>
      </c>
      <c r="AL153" s="4">
        <v>10</v>
      </c>
      <c r="AM153" t="s">
        <v>345</v>
      </c>
    </row>
    <row r="154" spans="1:39" x14ac:dyDescent="0.3">
      <c r="A154" t="s">
        <v>127</v>
      </c>
      <c r="B154">
        <v>26</v>
      </c>
      <c r="C154">
        <v>7848</v>
      </c>
      <c r="D154" t="s">
        <v>128</v>
      </c>
      <c r="E154">
        <v>3</v>
      </c>
      <c r="F154" t="s">
        <v>152</v>
      </c>
      <c r="G154" t="s">
        <v>130</v>
      </c>
      <c r="H154" t="s">
        <v>144</v>
      </c>
      <c r="I154">
        <v>8</v>
      </c>
      <c r="J154">
        <v>0</v>
      </c>
      <c r="K154">
        <v>0</v>
      </c>
      <c r="L154" t="s">
        <v>132</v>
      </c>
      <c r="N154" t="s">
        <v>133</v>
      </c>
      <c r="O154">
        <v>52</v>
      </c>
      <c r="P154">
        <v>19</v>
      </c>
      <c r="Q154" t="s">
        <v>145</v>
      </c>
      <c r="R154" t="s">
        <v>155</v>
      </c>
      <c r="S154" t="s">
        <v>156</v>
      </c>
      <c r="T154" t="s">
        <v>157</v>
      </c>
      <c r="U154" t="s">
        <v>158</v>
      </c>
      <c r="V154" t="s">
        <v>170</v>
      </c>
      <c r="W154" t="s">
        <v>139</v>
      </c>
      <c r="X154" t="s">
        <v>133</v>
      </c>
      <c r="Z154">
        <v>3</v>
      </c>
      <c r="AA154">
        <v>4</v>
      </c>
      <c r="AB154">
        <v>4</v>
      </c>
      <c r="AD154">
        <v>0</v>
      </c>
      <c r="AE154">
        <v>0</v>
      </c>
      <c r="AF154" t="s">
        <v>133</v>
      </c>
      <c r="AG154" t="s">
        <v>140</v>
      </c>
      <c r="AH154" t="s">
        <v>175</v>
      </c>
      <c r="AI154" s="4">
        <v>0</v>
      </c>
      <c r="AJ154" s="4">
        <v>52</v>
      </c>
      <c r="AK154" s="4">
        <v>0</v>
      </c>
      <c r="AL154" s="4">
        <v>52</v>
      </c>
      <c r="AM154" t="s">
        <v>346</v>
      </c>
    </row>
    <row r="155" spans="1:39" x14ac:dyDescent="0.3">
      <c r="A155" t="s">
        <v>127</v>
      </c>
      <c r="B155">
        <v>26</v>
      </c>
      <c r="C155">
        <v>1736</v>
      </c>
      <c r="D155" t="s">
        <v>161</v>
      </c>
      <c r="E155">
        <v>1</v>
      </c>
      <c r="F155" t="s">
        <v>162</v>
      </c>
      <c r="G155" t="s">
        <v>130</v>
      </c>
      <c r="H155" t="s">
        <v>144</v>
      </c>
      <c r="I155">
        <v>5</v>
      </c>
      <c r="J155">
        <v>5</v>
      </c>
      <c r="K155">
        <v>2</v>
      </c>
      <c r="L155" t="s">
        <v>132</v>
      </c>
      <c r="N155" t="s">
        <v>133</v>
      </c>
      <c r="O155">
        <v>14</v>
      </c>
      <c r="P155">
        <v>5</v>
      </c>
      <c r="Q155" t="s">
        <v>154</v>
      </c>
      <c r="R155" t="s">
        <v>135</v>
      </c>
      <c r="S155" t="s">
        <v>156</v>
      </c>
      <c r="T155" t="s">
        <v>157</v>
      </c>
      <c r="U155" t="s">
        <v>187</v>
      </c>
      <c r="V155" t="s">
        <v>133</v>
      </c>
      <c r="W155" t="s">
        <v>139</v>
      </c>
      <c r="X155" t="s">
        <v>133</v>
      </c>
      <c r="Z155">
        <v>3</v>
      </c>
      <c r="AA155">
        <v>2</v>
      </c>
      <c r="AB155">
        <v>2</v>
      </c>
      <c r="AD155">
        <v>0</v>
      </c>
      <c r="AE155">
        <v>0</v>
      </c>
      <c r="AF155" t="s">
        <v>133</v>
      </c>
      <c r="AG155" t="s">
        <v>140</v>
      </c>
      <c r="AI155" s="4">
        <v>5</v>
      </c>
      <c r="AJ155" s="4">
        <v>14</v>
      </c>
      <c r="AK155" s="4">
        <v>0</v>
      </c>
      <c r="AL155" s="4">
        <v>19</v>
      </c>
      <c r="AM155" t="s">
        <v>347</v>
      </c>
    </row>
    <row r="156" spans="1:39" x14ac:dyDescent="0.3">
      <c r="A156" t="s">
        <v>127</v>
      </c>
      <c r="B156">
        <v>26</v>
      </c>
      <c r="C156">
        <v>4143</v>
      </c>
      <c r="D156" t="s">
        <v>161</v>
      </c>
      <c r="E156">
        <v>2</v>
      </c>
      <c r="F156" t="s">
        <v>164</v>
      </c>
      <c r="G156" t="s">
        <v>130</v>
      </c>
      <c r="H156" t="s">
        <v>153</v>
      </c>
      <c r="I156">
        <v>7</v>
      </c>
      <c r="J156">
        <v>28</v>
      </c>
      <c r="K156">
        <v>3</v>
      </c>
      <c r="L156" t="s">
        <v>174</v>
      </c>
      <c r="M156" t="s">
        <v>180</v>
      </c>
      <c r="N156" t="s">
        <v>133</v>
      </c>
      <c r="O156">
        <v>185</v>
      </c>
      <c r="P156">
        <v>17</v>
      </c>
      <c r="Q156" t="s">
        <v>145</v>
      </c>
      <c r="R156" t="s">
        <v>146</v>
      </c>
      <c r="S156" t="s">
        <v>147</v>
      </c>
      <c r="T156" t="s">
        <v>148</v>
      </c>
      <c r="U156" t="s">
        <v>149</v>
      </c>
      <c r="V156" t="s">
        <v>133</v>
      </c>
      <c r="W156" t="s">
        <v>139</v>
      </c>
      <c r="X156" t="s">
        <v>133</v>
      </c>
      <c r="Z156">
        <v>4</v>
      </c>
      <c r="AA156">
        <v>5</v>
      </c>
      <c r="AB156">
        <v>5</v>
      </c>
      <c r="AD156">
        <v>0</v>
      </c>
      <c r="AE156">
        <v>0</v>
      </c>
      <c r="AF156" t="s">
        <v>133</v>
      </c>
      <c r="AG156" t="s">
        <v>130</v>
      </c>
      <c r="AH156" t="s">
        <v>319</v>
      </c>
      <c r="AI156" s="4">
        <v>28</v>
      </c>
      <c r="AJ156" s="4">
        <v>185</v>
      </c>
      <c r="AK156" s="4">
        <v>0</v>
      </c>
      <c r="AL156" s="4">
        <v>213</v>
      </c>
      <c r="AM156" t="s">
        <v>348</v>
      </c>
    </row>
    <row r="157" spans="1:39" x14ac:dyDescent="0.3">
      <c r="A157" t="s">
        <v>127</v>
      </c>
      <c r="B157">
        <v>26</v>
      </c>
      <c r="C157">
        <v>9082</v>
      </c>
      <c r="D157" t="s">
        <v>161</v>
      </c>
      <c r="E157">
        <v>3</v>
      </c>
      <c r="F157" t="s">
        <v>169</v>
      </c>
      <c r="G157" t="s">
        <v>130</v>
      </c>
      <c r="H157" t="s">
        <v>131</v>
      </c>
      <c r="I157">
        <v>8</v>
      </c>
      <c r="J157">
        <v>5</v>
      </c>
      <c r="K157">
        <v>0</v>
      </c>
      <c r="L157" t="s">
        <v>132</v>
      </c>
      <c r="N157" t="s">
        <v>133</v>
      </c>
      <c r="O157">
        <v>63</v>
      </c>
      <c r="P157">
        <v>5</v>
      </c>
      <c r="Q157" t="s">
        <v>145</v>
      </c>
      <c r="R157" t="s">
        <v>146</v>
      </c>
      <c r="S157" t="s">
        <v>147</v>
      </c>
      <c r="T157" t="s">
        <v>148</v>
      </c>
      <c r="U157" t="s">
        <v>158</v>
      </c>
      <c r="V157" t="s">
        <v>133</v>
      </c>
      <c r="W157" t="s">
        <v>139</v>
      </c>
      <c r="X157" t="s">
        <v>133</v>
      </c>
      <c r="Z157">
        <v>4</v>
      </c>
      <c r="AA157">
        <v>4</v>
      </c>
      <c r="AB157">
        <v>5</v>
      </c>
      <c r="AD157">
        <v>0</v>
      </c>
      <c r="AE157">
        <v>0</v>
      </c>
      <c r="AF157" t="s">
        <v>133</v>
      </c>
      <c r="AG157" t="s">
        <v>130</v>
      </c>
      <c r="AH157" t="s">
        <v>167</v>
      </c>
      <c r="AI157" s="4">
        <v>5</v>
      </c>
      <c r="AJ157" s="4">
        <v>63</v>
      </c>
      <c r="AK157" s="4">
        <v>0</v>
      </c>
      <c r="AL157" s="4">
        <v>68</v>
      </c>
      <c r="AM157" t="s">
        <v>349</v>
      </c>
    </row>
    <row r="158" spans="1:39" x14ac:dyDescent="0.3">
      <c r="A158" t="s">
        <v>127</v>
      </c>
      <c r="B158">
        <v>27</v>
      </c>
      <c r="C158">
        <v>8029</v>
      </c>
      <c r="D158" t="s">
        <v>128</v>
      </c>
      <c r="E158">
        <v>1</v>
      </c>
      <c r="F158" t="s">
        <v>129</v>
      </c>
      <c r="G158" t="s">
        <v>130</v>
      </c>
      <c r="H158" t="s">
        <v>131</v>
      </c>
      <c r="I158">
        <v>5</v>
      </c>
      <c r="J158">
        <v>13</v>
      </c>
      <c r="K158">
        <v>6</v>
      </c>
      <c r="L158" t="s">
        <v>165</v>
      </c>
      <c r="M158" t="s">
        <v>180</v>
      </c>
      <c r="N158" t="s">
        <v>133</v>
      </c>
      <c r="O158">
        <v>19</v>
      </c>
      <c r="P158">
        <v>9</v>
      </c>
      <c r="Q158" t="s">
        <v>134</v>
      </c>
      <c r="R158" t="s">
        <v>135</v>
      </c>
      <c r="T158" t="s">
        <v>203</v>
      </c>
      <c r="U158" t="s">
        <v>137</v>
      </c>
      <c r="V158" t="s">
        <v>170</v>
      </c>
      <c r="W158" t="s">
        <v>139</v>
      </c>
      <c r="X158" t="s">
        <v>133</v>
      </c>
      <c r="Z158">
        <v>1</v>
      </c>
      <c r="AA158">
        <v>2</v>
      </c>
      <c r="AB158">
        <v>2</v>
      </c>
      <c r="AD158">
        <v>0</v>
      </c>
      <c r="AE158">
        <v>0</v>
      </c>
      <c r="AF158" t="s">
        <v>133</v>
      </c>
      <c r="AG158" t="s">
        <v>140</v>
      </c>
      <c r="AI158" s="4">
        <v>13</v>
      </c>
      <c r="AJ158" s="4">
        <v>19</v>
      </c>
      <c r="AK158" s="4">
        <v>0</v>
      </c>
      <c r="AL158" s="4">
        <v>32</v>
      </c>
      <c r="AM158" t="s">
        <v>350</v>
      </c>
    </row>
    <row r="159" spans="1:39" x14ac:dyDescent="0.3">
      <c r="A159" t="s">
        <v>127</v>
      </c>
      <c r="B159">
        <v>27</v>
      </c>
      <c r="C159">
        <v>4423</v>
      </c>
      <c r="D159" t="s">
        <v>128</v>
      </c>
      <c r="E159">
        <v>2</v>
      </c>
      <c r="F159" t="s">
        <v>143</v>
      </c>
      <c r="G159" t="s">
        <v>130</v>
      </c>
      <c r="H159" t="s">
        <v>144</v>
      </c>
      <c r="I159">
        <v>8</v>
      </c>
      <c r="J159">
        <v>0</v>
      </c>
      <c r="K159">
        <v>0</v>
      </c>
      <c r="L159" t="s">
        <v>132</v>
      </c>
      <c r="N159" t="s">
        <v>133</v>
      </c>
      <c r="O159">
        <v>28</v>
      </c>
      <c r="P159">
        <v>13</v>
      </c>
      <c r="Q159" t="s">
        <v>145</v>
      </c>
      <c r="R159" t="s">
        <v>155</v>
      </c>
      <c r="S159" t="s">
        <v>147</v>
      </c>
      <c r="T159" t="s">
        <v>148</v>
      </c>
      <c r="U159" t="s">
        <v>158</v>
      </c>
      <c r="V159" t="s">
        <v>133</v>
      </c>
      <c r="W159" t="s">
        <v>139</v>
      </c>
      <c r="X159" t="s">
        <v>133</v>
      </c>
      <c r="Z159">
        <v>4</v>
      </c>
      <c r="AA159">
        <v>4</v>
      </c>
      <c r="AB159">
        <v>3</v>
      </c>
      <c r="AC159" t="s">
        <v>233</v>
      </c>
      <c r="AD159">
        <v>0</v>
      </c>
      <c r="AE159">
        <v>0</v>
      </c>
      <c r="AF159" t="s">
        <v>133</v>
      </c>
      <c r="AG159" t="s">
        <v>140</v>
      </c>
      <c r="AH159" t="s">
        <v>215</v>
      </c>
      <c r="AI159" s="4">
        <v>0</v>
      </c>
      <c r="AJ159" s="4">
        <v>28</v>
      </c>
      <c r="AK159" s="4">
        <v>0</v>
      </c>
      <c r="AL159" s="4">
        <v>28</v>
      </c>
      <c r="AM159" t="s">
        <v>351</v>
      </c>
    </row>
    <row r="160" spans="1:39" x14ac:dyDescent="0.3">
      <c r="A160" t="s">
        <v>127</v>
      </c>
      <c r="B160">
        <v>27</v>
      </c>
      <c r="C160">
        <v>648</v>
      </c>
      <c r="D160" t="s">
        <v>128</v>
      </c>
      <c r="E160">
        <v>3</v>
      </c>
      <c r="F160" t="s">
        <v>152</v>
      </c>
      <c r="G160" t="s">
        <v>130</v>
      </c>
      <c r="H160" t="s">
        <v>131</v>
      </c>
      <c r="I160">
        <v>8</v>
      </c>
      <c r="J160">
        <v>10</v>
      </c>
      <c r="K160">
        <v>3</v>
      </c>
      <c r="L160" t="s">
        <v>165</v>
      </c>
      <c r="M160" t="s">
        <v>166</v>
      </c>
      <c r="N160" t="s">
        <v>133</v>
      </c>
      <c r="O160">
        <v>24</v>
      </c>
      <c r="P160">
        <v>8</v>
      </c>
      <c r="Q160" t="s">
        <v>154</v>
      </c>
      <c r="R160" t="s">
        <v>135</v>
      </c>
      <c r="T160" t="s">
        <v>191</v>
      </c>
      <c r="U160" t="s">
        <v>187</v>
      </c>
      <c r="V160" t="s">
        <v>170</v>
      </c>
      <c r="W160" t="s">
        <v>139</v>
      </c>
      <c r="X160" t="s">
        <v>133</v>
      </c>
      <c r="Z160">
        <v>2</v>
      </c>
      <c r="AA160">
        <v>3</v>
      </c>
      <c r="AB160">
        <v>4</v>
      </c>
      <c r="AC160" t="s">
        <v>272</v>
      </c>
      <c r="AD160">
        <v>0</v>
      </c>
      <c r="AE160">
        <v>0</v>
      </c>
      <c r="AF160" t="s">
        <v>133</v>
      </c>
      <c r="AG160" t="s">
        <v>139</v>
      </c>
      <c r="AI160" s="4">
        <v>10</v>
      </c>
      <c r="AJ160" s="4">
        <v>24</v>
      </c>
      <c r="AK160" s="4">
        <v>0</v>
      </c>
      <c r="AL160" s="4">
        <v>34</v>
      </c>
      <c r="AM160" t="s">
        <v>352</v>
      </c>
    </row>
    <row r="161" spans="1:39" x14ac:dyDescent="0.3">
      <c r="A161" t="s">
        <v>127</v>
      </c>
      <c r="B161">
        <v>27</v>
      </c>
      <c r="C161">
        <v>4655</v>
      </c>
      <c r="D161" t="s">
        <v>161</v>
      </c>
      <c r="E161">
        <v>1</v>
      </c>
      <c r="F161" t="s">
        <v>162</v>
      </c>
      <c r="G161" t="s">
        <v>130</v>
      </c>
      <c r="H161" t="s">
        <v>131</v>
      </c>
      <c r="I161">
        <v>8</v>
      </c>
      <c r="J161">
        <v>17</v>
      </c>
      <c r="K161">
        <v>6</v>
      </c>
      <c r="L161" t="s">
        <v>165</v>
      </c>
      <c r="M161" t="s">
        <v>166</v>
      </c>
      <c r="N161" t="s">
        <v>133</v>
      </c>
      <c r="O161">
        <v>27</v>
      </c>
      <c r="P161">
        <v>9</v>
      </c>
      <c r="Q161" t="s">
        <v>145</v>
      </c>
      <c r="R161" t="s">
        <v>155</v>
      </c>
      <c r="S161" t="s">
        <v>147</v>
      </c>
      <c r="T161" t="s">
        <v>148</v>
      </c>
      <c r="U161" t="s">
        <v>158</v>
      </c>
      <c r="V161" t="s">
        <v>133</v>
      </c>
      <c r="W161" t="s">
        <v>170</v>
      </c>
      <c r="X161" t="s">
        <v>133</v>
      </c>
      <c r="Z161">
        <v>4</v>
      </c>
      <c r="AA161">
        <v>4</v>
      </c>
      <c r="AB161">
        <v>3</v>
      </c>
      <c r="AD161">
        <v>0</v>
      </c>
      <c r="AE161">
        <v>0</v>
      </c>
      <c r="AF161" t="s">
        <v>133</v>
      </c>
      <c r="AG161" t="s">
        <v>139</v>
      </c>
      <c r="AI161" s="4">
        <v>17</v>
      </c>
      <c r="AJ161" s="4">
        <v>27</v>
      </c>
      <c r="AK161" s="4">
        <v>0</v>
      </c>
      <c r="AL161" s="4">
        <v>44</v>
      </c>
      <c r="AM161" t="s">
        <v>353</v>
      </c>
    </row>
    <row r="162" spans="1:39" x14ac:dyDescent="0.3">
      <c r="A162" t="s">
        <v>127</v>
      </c>
      <c r="B162">
        <v>27</v>
      </c>
      <c r="C162">
        <v>5442</v>
      </c>
      <c r="D162" t="s">
        <v>161</v>
      </c>
      <c r="E162">
        <v>2</v>
      </c>
      <c r="F162" t="s">
        <v>164</v>
      </c>
      <c r="G162" t="s">
        <v>130</v>
      </c>
      <c r="H162" t="s">
        <v>153</v>
      </c>
      <c r="I162">
        <v>8</v>
      </c>
      <c r="J162">
        <v>0</v>
      </c>
      <c r="K162">
        <v>0</v>
      </c>
      <c r="N162" t="s">
        <v>133</v>
      </c>
      <c r="O162">
        <v>116</v>
      </c>
      <c r="P162">
        <v>48</v>
      </c>
      <c r="Q162" t="s">
        <v>154</v>
      </c>
      <c r="R162" t="s">
        <v>155</v>
      </c>
      <c r="S162" t="s">
        <v>156</v>
      </c>
      <c r="T162" t="s">
        <v>157</v>
      </c>
      <c r="U162" t="s">
        <v>187</v>
      </c>
      <c r="V162" t="s">
        <v>133</v>
      </c>
      <c r="W162" t="s">
        <v>139</v>
      </c>
      <c r="X162" t="s">
        <v>133</v>
      </c>
      <c r="Z162">
        <v>2</v>
      </c>
      <c r="AA162">
        <v>3</v>
      </c>
      <c r="AB162">
        <v>5</v>
      </c>
      <c r="AC162" t="s">
        <v>272</v>
      </c>
      <c r="AD162">
        <v>0</v>
      </c>
      <c r="AE162">
        <v>0</v>
      </c>
      <c r="AF162" t="s">
        <v>133</v>
      </c>
      <c r="AG162" t="s">
        <v>139</v>
      </c>
      <c r="AH162" t="s">
        <v>319</v>
      </c>
      <c r="AI162" s="4">
        <v>0</v>
      </c>
      <c r="AJ162" s="4">
        <v>116</v>
      </c>
      <c r="AK162" s="4">
        <v>0</v>
      </c>
      <c r="AL162" s="4">
        <v>116</v>
      </c>
      <c r="AM162" t="s">
        <v>354</v>
      </c>
    </row>
    <row r="163" spans="1:39" x14ac:dyDescent="0.3">
      <c r="A163" t="s">
        <v>127</v>
      </c>
      <c r="B163">
        <v>27</v>
      </c>
      <c r="C163">
        <v>8096</v>
      </c>
      <c r="D163" t="s">
        <v>161</v>
      </c>
      <c r="E163">
        <v>3</v>
      </c>
      <c r="F163" t="s">
        <v>169</v>
      </c>
      <c r="G163" t="s">
        <v>130</v>
      </c>
      <c r="H163" t="s">
        <v>144</v>
      </c>
      <c r="I163">
        <v>8</v>
      </c>
      <c r="J163">
        <v>22</v>
      </c>
      <c r="K163">
        <v>9</v>
      </c>
      <c r="L163" t="s">
        <v>174</v>
      </c>
      <c r="M163" t="s">
        <v>166</v>
      </c>
      <c r="N163" t="s">
        <v>133</v>
      </c>
      <c r="O163">
        <v>30</v>
      </c>
      <c r="P163">
        <v>13</v>
      </c>
      <c r="Q163" t="s">
        <v>154</v>
      </c>
      <c r="R163" t="s">
        <v>155</v>
      </c>
      <c r="S163" t="s">
        <v>156</v>
      </c>
      <c r="T163" t="s">
        <v>157</v>
      </c>
      <c r="U163" t="s">
        <v>187</v>
      </c>
      <c r="V163" t="s">
        <v>133</v>
      </c>
      <c r="W163" t="s">
        <v>139</v>
      </c>
      <c r="X163" t="s">
        <v>133</v>
      </c>
      <c r="Z163">
        <v>3</v>
      </c>
      <c r="AA163">
        <v>3</v>
      </c>
      <c r="AB163">
        <v>3</v>
      </c>
      <c r="AC163" t="s">
        <v>272</v>
      </c>
      <c r="AD163">
        <v>0</v>
      </c>
      <c r="AE163">
        <v>0</v>
      </c>
      <c r="AF163" t="s">
        <v>133</v>
      </c>
      <c r="AG163" t="s">
        <v>130</v>
      </c>
      <c r="AI163" s="4">
        <v>22</v>
      </c>
      <c r="AJ163" s="4">
        <v>30</v>
      </c>
      <c r="AK163" s="4">
        <v>0</v>
      </c>
      <c r="AL163" s="4">
        <v>52</v>
      </c>
      <c r="AM163" t="s">
        <v>355</v>
      </c>
    </row>
    <row r="164" spans="1:39" x14ac:dyDescent="0.3">
      <c r="A164" t="s">
        <v>127</v>
      </c>
      <c r="B164">
        <v>28</v>
      </c>
      <c r="C164">
        <v>2481</v>
      </c>
      <c r="D164" t="s">
        <v>128</v>
      </c>
      <c r="E164">
        <v>1</v>
      </c>
      <c r="F164" t="s">
        <v>129</v>
      </c>
      <c r="G164" t="s">
        <v>130</v>
      </c>
      <c r="H164" t="s">
        <v>131</v>
      </c>
      <c r="I164">
        <v>8</v>
      </c>
      <c r="J164">
        <v>74</v>
      </c>
      <c r="K164">
        <v>20</v>
      </c>
      <c r="L164" t="s">
        <v>174</v>
      </c>
      <c r="M164" t="s">
        <v>180</v>
      </c>
      <c r="N164" t="s">
        <v>133</v>
      </c>
      <c r="O164">
        <v>250</v>
      </c>
      <c r="P164">
        <v>68</v>
      </c>
      <c r="Q164" t="s">
        <v>145</v>
      </c>
      <c r="R164" t="s">
        <v>146</v>
      </c>
      <c r="S164" t="s">
        <v>147</v>
      </c>
      <c r="T164" t="s">
        <v>148</v>
      </c>
      <c r="U164" t="s">
        <v>149</v>
      </c>
      <c r="V164" t="s">
        <v>133</v>
      </c>
      <c r="W164" t="s">
        <v>170</v>
      </c>
      <c r="X164" t="s">
        <v>133</v>
      </c>
      <c r="Z164">
        <v>4</v>
      </c>
      <c r="AA164">
        <v>5</v>
      </c>
      <c r="AB164">
        <v>3</v>
      </c>
      <c r="AD164">
        <v>0</v>
      </c>
      <c r="AE164">
        <v>0</v>
      </c>
      <c r="AF164" t="s">
        <v>133</v>
      </c>
      <c r="AG164" t="s">
        <v>130</v>
      </c>
      <c r="AH164" t="s">
        <v>220</v>
      </c>
      <c r="AI164" s="4">
        <v>74</v>
      </c>
      <c r="AJ164" s="4">
        <v>250</v>
      </c>
      <c r="AK164" s="4">
        <v>0</v>
      </c>
      <c r="AL164" s="4">
        <v>324</v>
      </c>
      <c r="AM164" t="s">
        <v>356</v>
      </c>
    </row>
    <row r="165" spans="1:39" x14ac:dyDescent="0.3">
      <c r="A165" t="s">
        <v>127</v>
      </c>
      <c r="B165">
        <v>28</v>
      </c>
      <c r="C165">
        <v>3284</v>
      </c>
      <c r="D165" t="s">
        <v>128</v>
      </c>
      <c r="E165">
        <v>2</v>
      </c>
      <c r="F165" t="s">
        <v>143</v>
      </c>
      <c r="G165" t="s">
        <v>130</v>
      </c>
      <c r="H165" t="s">
        <v>144</v>
      </c>
      <c r="I165">
        <v>8</v>
      </c>
      <c r="J165">
        <v>12</v>
      </c>
      <c r="K165">
        <v>5</v>
      </c>
      <c r="L165" t="s">
        <v>174</v>
      </c>
      <c r="M165" t="s">
        <v>166</v>
      </c>
      <c r="N165" t="s">
        <v>133</v>
      </c>
      <c r="O165">
        <v>19</v>
      </c>
      <c r="P165">
        <v>8</v>
      </c>
      <c r="Q165" t="s">
        <v>134</v>
      </c>
      <c r="R165" t="s">
        <v>135</v>
      </c>
      <c r="T165" t="s">
        <v>136</v>
      </c>
      <c r="U165" t="s">
        <v>137</v>
      </c>
      <c r="V165" t="s">
        <v>138</v>
      </c>
      <c r="W165" t="s">
        <v>139</v>
      </c>
      <c r="X165" t="s">
        <v>133</v>
      </c>
      <c r="Z165">
        <v>2</v>
      </c>
      <c r="AA165">
        <v>1</v>
      </c>
      <c r="AB165">
        <v>5</v>
      </c>
      <c r="AD165">
        <v>0</v>
      </c>
      <c r="AE165">
        <v>0</v>
      </c>
      <c r="AF165" t="s">
        <v>133</v>
      </c>
      <c r="AG165" t="s">
        <v>139</v>
      </c>
      <c r="AH165" t="s">
        <v>201</v>
      </c>
      <c r="AI165" s="4">
        <v>12</v>
      </c>
      <c r="AJ165" s="4">
        <v>19</v>
      </c>
      <c r="AK165" s="4">
        <v>0</v>
      </c>
      <c r="AL165" s="4">
        <v>31</v>
      </c>
      <c r="AM165" t="s">
        <v>357</v>
      </c>
    </row>
    <row r="166" spans="1:39" x14ac:dyDescent="0.3">
      <c r="A166" t="s">
        <v>127</v>
      </c>
      <c r="B166">
        <v>28</v>
      </c>
      <c r="C166">
        <v>1625</v>
      </c>
      <c r="D166" t="s">
        <v>128</v>
      </c>
      <c r="E166">
        <v>3</v>
      </c>
      <c r="F166" t="s">
        <v>152</v>
      </c>
      <c r="G166" t="s">
        <v>130</v>
      </c>
      <c r="H166" t="s">
        <v>153</v>
      </c>
      <c r="I166">
        <v>8</v>
      </c>
      <c r="J166">
        <v>20</v>
      </c>
      <c r="K166">
        <v>6</v>
      </c>
      <c r="L166" t="s">
        <v>165</v>
      </c>
      <c r="M166" t="s">
        <v>166</v>
      </c>
      <c r="N166" t="s">
        <v>133</v>
      </c>
      <c r="O166">
        <v>86</v>
      </c>
      <c r="P166">
        <v>27</v>
      </c>
      <c r="Q166" t="s">
        <v>145</v>
      </c>
      <c r="R166" t="s">
        <v>146</v>
      </c>
      <c r="S166" t="s">
        <v>147</v>
      </c>
      <c r="T166" t="s">
        <v>148</v>
      </c>
      <c r="U166" t="s">
        <v>149</v>
      </c>
      <c r="V166" t="s">
        <v>133</v>
      </c>
      <c r="W166" t="s">
        <v>170</v>
      </c>
      <c r="X166" t="s">
        <v>133</v>
      </c>
      <c r="Z166">
        <v>4</v>
      </c>
      <c r="AA166">
        <v>5</v>
      </c>
      <c r="AB166">
        <v>4</v>
      </c>
      <c r="AD166">
        <v>0</v>
      </c>
      <c r="AE166">
        <v>0</v>
      </c>
      <c r="AF166" t="s">
        <v>133</v>
      </c>
      <c r="AG166" t="s">
        <v>130</v>
      </c>
      <c r="AH166" t="s">
        <v>167</v>
      </c>
      <c r="AI166" s="4">
        <v>20</v>
      </c>
      <c r="AJ166" s="4">
        <v>86</v>
      </c>
      <c r="AK166" s="4">
        <v>0</v>
      </c>
      <c r="AL166" s="4">
        <v>106</v>
      </c>
      <c r="AM166" t="s">
        <v>358</v>
      </c>
    </row>
    <row r="167" spans="1:39" x14ac:dyDescent="0.3">
      <c r="A167" t="s">
        <v>127</v>
      </c>
      <c r="B167">
        <v>28</v>
      </c>
      <c r="C167">
        <v>4213</v>
      </c>
      <c r="D167" t="s">
        <v>161</v>
      </c>
      <c r="E167">
        <v>1</v>
      </c>
      <c r="F167" t="s">
        <v>162</v>
      </c>
      <c r="G167" t="s">
        <v>130</v>
      </c>
      <c r="H167" t="s">
        <v>153</v>
      </c>
      <c r="I167">
        <v>8</v>
      </c>
      <c r="J167">
        <v>5</v>
      </c>
      <c r="K167">
        <v>1</v>
      </c>
      <c r="L167" t="s">
        <v>132</v>
      </c>
      <c r="N167" t="s">
        <v>133</v>
      </c>
      <c r="O167">
        <v>37</v>
      </c>
      <c r="P167">
        <v>11</v>
      </c>
      <c r="Q167" t="s">
        <v>145</v>
      </c>
      <c r="R167" t="s">
        <v>155</v>
      </c>
      <c r="S167" t="s">
        <v>178</v>
      </c>
      <c r="T167" t="s">
        <v>157</v>
      </c>
      <c r="U167" t="s">
        <v>158</v>
      </c>
      <c r="V167" t="s">
        <v>133</v>
      </c>
      <c r="W167" t="s">
        <v>139</v>
      </c>
      <c r="X167" t="s">
        <v>133</v>
      </c>
      <c r="Z167">
        <v>2</v>
      </c>
      <c r="AA167">
        <v>3</v>
      </c>
      <c r="AB167">
        <v>4</v>
      </c>
      <c r="AD167">
        <v>1</v>
      </c>
      <c r="AE167">
        <v>0</v>
      </c>
      <c r="AF167" t="s">
        <v>133</v>
      </c>
      <c r="AG167" t="s">
        <v>140</v>
      </c>
      <c r="AI167" s="4">
        <v>5</v>
      </c>
      <c r="AJ167" s="4">
        <v>37</v>
      </c>
      <c r="AK167" s="4">
        <v>0</v>
      </c>
      <c r="AL167" s="4">
        <v>42</v>
      </c>
      <c r="AM167" t="s">
        <v>359</v>
      </c>
    </row>
    <row r="168" spans="1:39" x14ac:dyDescent="0.3">
      <c r="A168" t="s">
        <v>127</v>
      </c>
      <c r="B168">
        <v>28</v>
      </c>
      <c r="C168">
        <v>2040</v>
      </c>
      <c r="D168" t="s">
        <v>161</v>
      </c>
      <c r="E168">
        <v>2</v>
      </c>
      <c r="F168" t="s">
        <v>164</v>
      </c>
      <c r="G168" t="s">
        <v>130</v>
      </c>
      <c r="H168" t="s">
        <v>144</v>
      </c>
      <c r="I168">
        <v>5</v>
      </c>
      <c r="J168">
        <v>28</v>
      </c>
      <c r="K168">
        <v>7</v>
      </c>
      <c r="L168" t="s">
        <v>165</v>
      </c>
      <c r="M168" t="s">
        <v>166</v>
      </c>
      <c r="N168" t="s">
        <v>133</v>
      </c>
      <c r="O168">
        <v>118</v>
      </c>
      <c r="P168">
        <v>30</v>
      </c>
      <c r="Q168" t="s">
        <v>145</v>
      </c>
      <c r="R168" t="s">
        <v>146</v>
      </c>
      <c r="S168" t="s">
        <v>147</v>
      </c>
      <c r="T168" t="s">
        <v>148</v>
      </c>
      <c r="U168" t="s">
        <v>149</v>
      </c>
      <c r="V168" t="s">
        <v>133</v>
      </c>
      <c r="W168" t="s">
        <v>170</v>
      </c>
      <c r="X168" t="s">
        <v>133</v>
      </c>
      <c r="Z168">
        <v>5</v>
      </c>
      <c r="AA168">
        <v>4</v>
      </c>
      <c r="AB168">
        <v>5</v>
      </c>
      <c r="AD168">
        <v>0</v>
      </c>
      <c r="AE168">
        <v>0</v>
      </c>
      <c r="AF168" t="s">
        <v>133</v>
      </c>
      <c r="AG168" t="s">
        <v>130</v>
      </c>
      <c r="AH168" t="s">
        <v>319</v>
      </c>
      <c r="AI168" s="4">
        <v>28</v>
      </c>
      <c r="AJ168" s="4">
        <v>118</v>
      </c>
      <c r="AK168" s="4">
        <v>0</v>
      </c>
      <c r="AL168" s="4">
        <v>146</v>
      </c>
      <c r="AM168" t="s">
        <v>360</v>
      </c>
    </row>
    <row r="169" spans="1:39" x14ac:dyDescent="0.3">
      <c r="A169" t="s">
        <v>127</v>
      </c>
      <c r="B169">
        <v>28</v>
      </c>
      <c r="C169">
        <v>2039</v>
      </c>
      <c r="D169" t="s">
        <v>161</v>
      </c>
      <c r="E169">
        <v>3</v>
      </c>
      <c r="F169" t="s">
        <v>169</v>
      </c>
      <c r="G169" t="s">
        <v>130</v>
      </c>
      <c r="H169" t="s">
        <v>131</v>
      </c>
      <c r="I169">
        <v>8</v>
      </c>
      <c r="J169">
        <v>1</v>
      </c>
      <c r="K169">
        <v>1</v>
      </c>
      <c r="L169" t="s">
        <v>132</v>
      </c>
      <c r="N169" t="s">
        <v>133</v>
      </c>
      <c r="O169">
        <v>2</v>
      </c>
      <c r="P169">
        <v>2</v>
      </c>
      <c r="Q169" t="s">
        <v>134</v>
      </c>
      <c r="R169" t="s">
        <v>135</v>
      </c>
      <c r="T169" t="s">
        <v>136</v>
      </c>
      <c r="U169" t="s">
        <v>137</v>
      </c>
      <c r="V169" t="s">
        <v>170</v>
      </c>
      <c r="W169" t="s">
        <v>139</v>
      </c>
      <c r="X169" t="s">
        <v>361</v>
      </c>
      <c r="Y169" t="s">
        <v>362</v>
      </c>
      <c r="Z169">
        <v>1</v>
      </c>
      <c r="AA169">
        <v>1</v>
      </c>
      <c r="AB169">
        <v>2</v>
      </c>
      <c r="AD169">
        <v>1</v>
      </c>
      <c r="AE169">
        <v>0</v>
      </c>
      <c r="AF169" t="s">
        <v>133</v>
      </c>
      <c r="AG169" t="s">
        <v>139</v>
      </c>
      <c r="AH169" t="s">
        <v>363</v>
      </c>
      <c r="AI169" s="4">
        <v>1</v>
      </c>
      <c r="AJ169" s="4">
        <v>2</v>
      </c>
      <c r="AK169" s="4">
        <v>0</v>
      </c>
      <c r="AL169" s="4">
        <v>3</v>
      </c>
      <c r="AM169" t="s">
        <v>364</v>
      </c>
    </row>
    <row r="170" spans="1:39" x14ac:dyDescent="0.3">
      <c r="A170" t="s">
        <v>127</v>
      </c>
      <c r="B170">
        <v>29</v>
      </c>
      <c r="C170">
        <v>4143</v>
      </c>
      <c r="D170" t="s">
        <v>128</v>
      </c>
      <c r="E170">
        <v>1</v>
      </c>
      <c r="F170" t="s">
        <v>129</v>
      </c>
      <c r="G170" t="s">
        <v>130</v>
      </c>
      <c r="H170" t="s">
        <v>153</v>
      </c>
      <c r="I170">
        <v>7</v>
      </c>
      <c r="J170">
        <v>23</v>
      </c>
      <c r="K170">
        <v>2</v>
      </c>
      <c r="L170" t="s">
        <v>165</v>
      </c>
      <c r="M170" t="s">
        <v>166</v>
      </c>
      <c r="N170" t="s">
        <v>133</v>
      </c>
      <c r="O170">
        <v>65</v>
      </c>
      <c r="P170">
        <v>5</v>
      </c>
      <c r="Q170" t="s">
        <v>145</v>
      </c>
      <c r="R170" t="s">
        <v>146</v>
      </c>
      <c r="S170" t="s">
        <v>147</v>
      </c>
      <c r="T170" t="s">
        <v>148</v>
      </c>
      <c r="U170" t="s">
        <v>149</v>
      </c>
      <c r="V170" t="s">
        <v>133</v>
      </c>
      <c r="W170" t="s">
        <v>139</v>
      </c>
      <c r="X170" t="s">
        <v>133</v>
      </c>
      <c r="Z170">
        <v>4</v>
      </c>
      <c r="AA170">
        <v>4</v>
      </c>
      <c r="AB170">
        <v>5</v>
      </c>
      <c r="AD170">
        <v>0</v>
      </c>
      <c r="AE170">
        <v>0</v>
      </c>
      <c r="AF170" t="s">
        <v>133</v>
      </c>
      <c r="AG170" t="s">
        <v>130</v>
      </c>
      <c r="AH170" t="s">
        <v>254</v>
      </c>
      <c r="AI170" s="4">
        <v>23</v>
      </c>
      <c r="AJ170" s="4">
        <v>65</v>
      </c>
      <c r="AK170" s="4">
        <v>0</v>
      </c>
      <c r="AL170" s="4">
        <v>88</v>
      </c>
      <c r="AM170" t="s">
        <v>365</v>
      </c>
    </row>
    <row r="171" spans="1:39" x14ac:dyDescent="0.3">
      <c r="A171" t="s">
        <v>127</v>
      </c>
      <c r="B171">
        <v>29</v>
      </c>
      <c r="C171">
        <v>8719</v>
      </c>
      <c r="D171" t="s">
        <v>128</v>
      </c>
      <c r="E171">
        <v>2</v>
      </c>
      <c r="F171" t="s">
        <v>143</v>
      </c>
      <c r="G171" t="s">
        <v>130</v>
      </c>
      <c r="H171" t="s">
        <v>131</v>
      </c>
      <c r="I171">
        <v>5</v>
      </c>
      <c r="J171">
        <v>6</v>
      </c>
      <c r="K171">
        <v>3</v>
      </c>
      <c r="L171" t="s">
        <v>174</v>
      </c>
      <c r="M171" t="s">
        <v>180</v>
      </c>
      <c r="N171" t="s">
        <v>133</v>
      </c>
      <c r="O171">
        <v>2</v>
      </c>
      <c r="P171">
        <v>1</v>
      </c>
      <c r="Q171" t="s">
        <v>134</v>
      </c>
      <c r="R171" t="s">
        <v>135</v>
      </c>
      <c r="T171" t="s">
        <v>191</v>
      </c>
      <c r="U171" t="s">
        <v>137</v>
      </c>
      <c r="V171" t="s">
        <v>170</v>
      </c>
      <c r="W171" t="s">
        <v>139</v>
      </c>
      <c r="X171" t="s">
        <v>133</v>
      </c>
      <c r="Z171">
        <v>1</v>
      </c>
      <c r="AA171">
        <v>1</v>
      </c>
      <c r="AB171">
        <v>2</v>
      </c>
      <c r="AD171">
        <v>0</v>
      </c>
      <c r="AE171">
        <v>0</v>
      </c>
      <c r="AF171" t="s">
        <v>133</v>
      </c>
      <c r="AG171" t="s">
        <v>139</v>
      </c>
      <c r="AH171" t="s">
        <v>185</v>
      </c>
      <c r="AI171" s="4">
        <v>6</v>
      </c>
      <c r="AJ171" s="4">
        <v>2</v>
      </c>
      <c r="AK171" s="4">
        <v>0</v>
      </c>
      <c r="AL171" s="4">
        <v>8</v>
      </c>
      <c r="AM171" t="s">
        <v>366</v>
      </c>
    </row>
    <row r="172" spans="1:39" x14ac:dyDescent="0.3">
      <c r="A172" t="s">
        <v>127</v>
      </c>
      <c r="B172">
        <v>29</v>
      </c>
      <c r="C172">
        <v>3488</v>
      </c>
      <c r="D172" t="s">
        <v>128</v>
      </c>
      <c r="E172">
        <v>3</v>
      </c>
      <c r="F172" t="s">
        <v>152</v>
      </c>
      <c r="G172" t="s">
        <v>130</v>
      </c>
      <c r="H172" t="s">
        <v>144</v>
      </c>
      <c r="I172">
        <v>8</v>
      </c>
      <c r="J172">
        <v>0</v>
      </c>
      <c r="K172">
        <v>0</v>
      </c>
      <c r="L172" t="s">
        <v>132</v>
      </c>
      <c r="N172" t="s">
        <v>133</v>
      </c>
      <c r="O172">
        <v>22</v>
      </c>
      <c r="P172">
        <v>16</v>
      </c>
      <c r="Q172" t="s">
        <v>154</v>
      </c>
      <c r="R172" t="s">
        <v>135</v>
      </c>
      <c r="S172" t="s">
        <v>178</v>
      </c>
      <c r="T172" t="s">
        <v>157</v>
      </c>
      <c r="U172" t="s">
        <v>187</v>
      </c>
      <c r="V172" t="s">
        <v>133</v>
      </c>
      <c r="W172" t="s">
        <v>139</v>
      </c>
      <c r="X172" t="s">
        <v>133</v>
      </c>
      <c r="Z172">
        <v>2</v>
      </c>
      <c r="AA172">
        <v>3</v>
      </c>
      <c r="AB172">
        <v>2</v>
      </c>
      <c r="AD172">
        <v>0</v>
      </c>
      <c r="AE172">
        <v>0</v>
      </c>
      <c r="AF172" t="s">
        <v>133</v>
      </c>
      <c r="AG172" t="s">
        <v>139</v>
      </c>
      <c r="AI172" s="4">
        <v>0</v>
      </c>
      <c r="AJ172" s="4">
        <v>22</v>
      </c>
      <c r="AK172" s="4">
        <v>0</v>
      </c>
      <c r="AL172" s="4">
        <v>22</v>
      </c>
      <c r="AM172" t="s">
        <v>367</v>
      </c>
    </row>
    <row r="173" spans="1:39" x14ac:dyDescent="0.3">
      <c r="A173" t="s">
        <v>127</v>
      </c>
      <c r="B173">
        <v>29</v>
      </c>
      <c r="C173">
        <v>6651</v>
      </c>
      <c r="D173" t="s">
        <v>161</v>
      </c>
      <c r="E173">
        <v>1</v>
      </c>
      <c r="F173" t="s">
        <v>162</v>
      </c>
      <c r="G173" t="s">
        <v>130</v>
      </c>
      <c r="H173" t="s">
        <v>144</v>
      </c>
      <c r="I173">
        <v>8</v>
      </c>
      <c r="J173">
        <v>7</v>
      </c>
      <c r="K173">
        <v>3</v>
      </c>
      <c r="L173" t="s">
        <v>132</v>
      </c>
      <c r="N173" t="s">
        <v>133</v>
      </c>
      <c r="O173">
        <v>11</v>
      </c>
      <c r="P173">
        <v>4</v>
      </c>
      <c r="Q173" t="s">
        <v>154</v>
      </c>
      <c r="R173" t="s">
        <v>135</v>
      </c>
      <c r="T173" t="s">
        <v>157</v>
      </c>
      <c r="U173" t="s">
        <v>187</v>
      </c>
      <c r="V173" t="s">
        <v>133</v>
      </c>
      <c r="W173" t="s">
        <v>139</v>
      </c>
      <c r="X173" t="s">
        <v>133</v>
      </c>
      <c r="Z173">
        <v>1</v>
      </c>
      <c r="AA173">
        <v>2</v>
      </c>
      <c r="AB173">
        <v>2</v>
      </c>
      <c r="AD173">
        <v>0</v>
      </c>
      <c r="AE173">
        <v>0</v>
      </c>
      <c r="AF173" t="s">
        <v>133</v>
      </c>
      <c r="AG173" t="s">
        <v>139</v>
      </c>
      <c r="AI173" s="4">
        <v>7</v>
      </c>
      <c r="AJ173" s="4">
        <v>11</v>
      </c>
      <c r="AK173" s="4">
        <v>0</v>
      </c>
      <c r="AL173" s="4">
        <v>18</v>
      </c>
      <c r="AM173" t="s">
        <v>368</v>
      </c>
    </row>
    <row r="174" spans="1:39" x14ac:dyDescent="0.3">
      <c r="A174" t="s">
        <v>127</v>
      </c>
      <c r="B174">
        <v>29</v>
      </c>
      <c r="C174">
        <v>4787</v>
      </c>
      <c r="D174" t="s">
        <v>161</v>
      </c>
      <c r="E174">
        <v>2</v>
      </c>
      <c r="F174" t="s">
        <v>164</v>
      </c>
      <c r="G174" t="s">
        <v>130</v>
      </c>
      <c r="H174" t="s">
        <v>153</v>
      </c>
      <c r="I174">
        <v>7</v>
      </c>
      <c r="J174">
        <v>0</v>
      </c>
      <c r="K174">
        <v>0</v>
      </c>
      <c r="L174" t="s">
        <v>132</v>
      </c>
      <c r="N174" t="s">
        <v>133</v>
      </c>
      <c r="O174">
        <v>12</v>
      </c>
      <c r="P174">
        <v>6</v>
      </c>
      <c r="Q174" t="s">
        <v>154</v>
      </c>
      <c r="R174" t="s">
        <v>155</v>
      </c>
      <c r="S174" t="s">
        <v>156</v>
      </c>
      <c r="T174" t="s">
        <v>157</v>
      </c>
      <c r="U174" t="s">
        <v>187</v>
      </c>
      <c r="V174" t="s">
        <v>133</v>
      </c>
      <c r="W174" t="s">
        <v>139</v>
      </c>
      <c r="X174" t="s">
        <v>133</v>
      </c>
      <c r="Z174">
        <v>3</v>
      </c>
      <c r="AA174">
        <v>2</v>
      </c>
      <c r="AB174">
        <v>3</v>
      </c>
      <c r="AD174">
        <v>0</v>
      </c>
      <c r="AE174">
        <v>0</v>
      </c>
      <c r="AF174" t="s">
        <v>133</v>
      </c>
      <c r="AG174" t="s">
        <v>130</v>
      </c>
      <c r="AI174" s="4">
        <v>0</v>
      </c>
      <c r="AJ174" s="4">
        <v>12</v>
      </c>
      <c r="AK174" s="4">
        <v>0</v>
      </c>
      <c r="AL174" s="4">
        <v>12</v>
      </c>
      <c r="AM174" t="s">
        <v>369</v>
      </c>
    </row>
    <row r="175" spans="1:39" x14ac:dyDescent="0.3">
      <c r="A175" t="s">
        <v>127</v>
      </c>
      <c r="B175">
        <v>29</v>
      </c>
      <c r="C175">
        <v>3067</v>
      </c>
      <c r="D175" t="s">
        <v>161</v>
      </c>
      <c r="E175">
        <v>3</v>
      </c>
      <c r="F175" t="s">
        <v>169</v>
      </c>
      <c r="G175" t="s">
        <v>130</v>
      </c>
      <c r="H175" t="s">
        <v>153</v>
      </c>
      <c r="I175">
        <v>8</v>
      </c>
      <c r="J175">
        <v>2</v>
      </c>
      <c r="K175">
        <v>1</v>
      </c>
      <c r="L175" t="s">
        <v>132</v>
      </c>
      <c r="N175" t="s">
        <v>133</v>
      </c>
      <c r="O175">
        <v>12</v>
      </c>
      <c r="P175">
        <v>3</v>
      </c>
      <c r="Q175" t="s">
        <v>145</v>
      </c>
      <c r="R175" t="s">
        <v>155</v>
      </c>
      <c r="S175" t="s">
        <v>178</v>
      </c>
      <c r="T175" t="s">
        <v>157</v>
      </c>
      <c r="U175" t="s">
        <v>158</v>
      </c>
      <c r="V175" t="s">
        <v>133</v>
      </c>
      <c r="W175" t="s">
        <v>139</v>
      </c>
      <c r="X175" t="s">
        <v>133</v>
      </c>
      <c r="Z175">
        <v>5</v>
      </c>
      <c r="AA175">
        <v>3</v>
      </c>
      <c r="AB175">
        <v>5</v>
      </c>
      <c r="AD175">
        <v>0</v>
      </c>
      <c r="AE175">
        <v>0</v>
      </c>
      <c r="AF175" t="s">
        <v>133</v>
      </c>
      <c r="AG175" t="s">
        <v>139</v>
      </c>
      <c r="AI175" s="4">
        <v>2</v>
      </c>
      <c r="AJ175" s="4">
        <v>12</v>
      </c>
      <c r="AK175" s="4">
        <v>0</v>
      </c>
      <c r="AL175" s="4">
        <v>14</v>
      </c>
      <c r="AM175" t="s">
        <v>370</v>
      </c>
    </row>
    <row r="176" spans="1:39" x14ac:dyDescent="0.3">
      <c r="A176" t="s">
        <v>127</v>
      </c>
      <c r="B176">
        <v>30</v>
      </c>
      <c r="C176">
        <v>2022</v>
      </c>
      <c r="D176" t="s">
        <v>128</v>
      </c>
      <c r="E176">
        <v>1</v>
      </c>
      <c r="F176" t="s">
        <v>129</v>
      </c>
      <c r="G176" t="s">
        <v>130</v>
      </c>
      <c r="H176" t="s">
        <v>131</v>
      </c>
      <c r="I176">
        <v>8</v>
      </c>
      <c r="J176">
        <v>2</v>
      </c>
      <c r="K176">
        <v>0</v>
      </c>
      <c r="L176" t="s">
        <v>132</v>
      </c>
      <c r="N176" t="s">
        <v>133</v>
      </c>
      <c r="O176">
        <v>40</v>
      </c>
      <c r="P176">
        <v>9</v>
      </c>
      <c r="Q176" t="s">
        <v>154</v>
      </c>
      <c r="R176" t="s">
        <v>155</v>
      </c>
      <c r="S176" t="s">
        <v>156</v>
      </c>
      <c r="T176" t="s">
        <v>157</v>
      </c>
      <c r="U176" t="s">
        <v>158</v>
      </c>
      <c r="V176" t="s">
        <v>133</v>
      </c>
      <c r="W176" t="s">
        <v>139</v>
      </c>
      <c r="X176" t="s">
        <v>133</v>
      </c>
      <c r="Z176">
        <v>1</v>
      </c>
      <c r="AA176">
        <v>2</v>
      </c>
      <c r="AB176">
        <v>4</v>
      </c>
      <c r="AD176">
        <v>0</v>
      </c>
      <c r="AE176">
        <v>0</v>
      </c>
      <c r="AF176" t="s">
        <v>133</v>
      </c>
      <c r="AG176" t="s">
        <v>140</v>
      </c>
      <c r="AI176" s="4">
        <v>2</v>
      </c>
      <c r="AJ176" s="4">
        <v>40</v>
      </c>
      <c r="AK176" s="4">
        <v>0</v>
      </c>
      <c r="AL176" s="4">
        <v>42</v>
      </c>
      <c r="AM176" t="s">
        <v>371</v>
      </c>
    </row>
    <row r="177" spans="1:39" x14ac:dyDescent="0.3">
      <c r="A177" t="s">
        <v>127</v>
      </c>
      <c r="B177">
        <v>30</v>
      </c>
      <c r="C177">
        <v>4096</v>
      </c>
      <c r="D177" t="s">
        <v>128</v>
      </c>
      <c r="E177">
        <v>2</v>
      </c>
      <c r="F177" t="s">
        <v>143</v>
      </c>
      <c r="G177" t="s">
        <v>130</v>
      </c>
      <c r="H177" t="s">
        <v>131</v>
      </c>
      <c r="I177">
        <v>8</v>
      </c>
      <c r="J177">
        <v>8</v>
      </c>
      <c r="K177">
        <v>2</v>
      </c>
      <c r="L177" t="s">
        <v>132</v>
      </c>
      <c r="N177" t="s">
        <v>133</v>
      </c>
      <c r="O177">
        <v>70</v>
      </c>
      <c r="P177">
        <v>16</v>
      </c>
      <c r="Q177" t="s">
        <v>145</v>
      </c>
      <c r="R177" t="s">
        <v>155</v>
      </c>
      <c r="S177" t="s">
        <v>147</v>
      </c>
      <c r="T177" t="s">
        <v>148</v>
      </c>
      <c r="U177" t="s">
        <v>158</v>
      </c>
      <c r="V177" t="s">
        <v>133</v>
      </c>
      <c r="W177" t="s">
        <v>139</v>
      </c>
      <c r="X177" t="s">
        <v>133</v>
      </c>
      <c r="Z177">
        <v>3</v>
      </c>
      <c r="AA177">
        <v>4</v>
      </c>
      <c r="AB177">
        <v>3</v>
      </c>
      <c r="AD177">
        <v>0</v>
      </c>
      <c r="AE177">
        <v>0</v>
      </c>
      <c r="AF177" t="s">
        <v>133</v>
      </c>
      <c r="AG177" t="s">
        <v>130</v>
      </c>
      <c r="AH177" t="s">
        <v>175</v>
      </c>
      <c r="AI177" s="4">
        <v>8</v>
      </c>
      <c r="AJ177" s="4">
        <v>70</v>
      </c>
      <c r="AK177" s="4">
        <v>0</v>
      </c>
      <c r="AL177" s="4">
        <v>78</v>
      </c>
      <c r="AM177" t="s">
        <v>372</v>
      </c>
    </row>
    <row r="178" spans="1:39" x14ac:dyDescent="0.3">
      <c r="A178" t="s">
        <v>127</v>
      </c>
      <c r="B178">
        <v>30</v>
      </c>
      <c r="C178">
        <v>8020</v>
      </c>
      <c r="D178" t="s">
        <v>128</v>
      </c>
      <c r="E178">
        <v>3</v>
      </c>
      <c r="F178" t="s">
        <v>152</v>
      </c>
      <c r="G178" t="s">
        <v>130</v>
      </c>
      <c r="H178" t="s">
        <v>131</v>
      </c>
      <c r="I178">
        <v>8</v>
      </c>
      <c r="J178">
        <v>21</v>
      </c>
      <c r="K178">
        <v>5</v>
      </c>
      <c r="L178" t="s">
        <v>165</v>
      </c>
      <c r="M178" t="s">
        <v>166</v>
      </c>
      <c r="N178" t="s">
        <v>133</v>
      </c>
      <c r="O178">
        <v>93</v>
      </c>
      <c r="P178">
        <v>24</v>
      </c>
      <c r="Q178" t="s">
        <v>145</v>
      </c>
      <c r="R178" t="s">
        <v>146</v>
      </c>
      <c r="S178" t="s">
        <v>147</v>
      </c>
      <c r="T178" t="s">
        <v>148</v>
      </c>
      <c r="U178" t="s">
        <v>149</v>
      </c>
      <c r="V178" t="s">
        <v>133</v>
      </c>
      <c r="W178" t="s">
        <v>181</v>
      </c>
      <c r="X178" t="s">
        <v>133</v>
      </c>
      <c r="Z178">
        <v>5</v>
      </c>
      <c r="AA178">
        <v>3</v>
      </c>
      <c r="AB178">
        <v>5</v>
      </c>
      <c r="AC178" t="s">
        <v>233</v>
      </c>
      <c r="AD178">
        <v>1</v>
      </c>
      <c r="AE178">
        <v>0</v>
      </c>
      <c r="AF178" t="s">
        <v>133</v>
      </c>
      <c r="AG178" t="s">
        <v>130</v>
      </c>
      <c r="AH178" t="s">
        <v>218</v>
      </c>
      <c r="AI178" s="4">
        <v>21</v>
      </c>
      <c r="AJ178" s="4">
        <v>93</v>
      </c>
      <c r="AK178" s="4">
        <v>0</v>
      </c>
      <c r="AL178" s="4">
        <v>114</v>
      </c>
      <c r="AM178" t="s">
        <v>373</v>
      </c>
    </row>
    <row r="179" spans="1:39" x14ac:dyDescent="0.3">
      <c r="A179" t="s">
        <v>127</v>
      </c>
      <c r="B179">
        <v>30</v>
      </c>
      <c r="C179">
        <v>7848</v>
      </c>
      <c r="D179" t="s">
        <v>161</v>
      </c>
      <c r="E179">
        <v>1</v>
      </c>
      <c r="F179" t="s">
        <v>162</v>
      </c>
      <c r="G179" t="s">
        <v>130</v>
      </c>
      <c r="H179" t="s">
        <v>144</v>
      </c>
      <c r="I179">
        <v>8</v>
      </c>
      <c r="J179">
        <v>5</v>
      </c>
      <c r="K179">
        <v>2</v>
      </c>
      <c r="L179" t="s">
        <v>132</v>
      </c>
      <c r="N179" t="s">
        <v>133</v>
      </c>
      <c r="O179">
        <v>26</v>
      </c>
      <c r="P179">
        <v>12</v>
      </c>
      <c r="Q179" t="s">
        <v>145</v>
      </c>
      <c r="R179" t="s">
        <v>155</v>
      </c>
      <c r="S179" t="s">
        <v>156</v>
      </c>
      <c r="T179" t="s">
        <v>157</v>
      </c>
      <c r="U179" t="s">
        <v>158</v>
      </c>
      <c r="V179" t="s">
        <v>133</v>
      </c>
      <c r="W179" t="s">
        <v>139</v>
      </c>
      <c r="X179" t="s">
        <v>133</v>
      </c>
      <c r="Z179">
        <v>4</v>
      </c>
      <c r="AA179">
        <v>2</v>
      </c>
      <c r="AB179">
        <v>4</v>
      </c>
      <c r="AD179">
        <v>0</v>
      </c>
      <c r="AE179">
        <v>0</v>
      </c>
      <c r="AF179" t="s">
        <v>133</v>
      </c>
      <c r="AG179" t="s">
        <v>140</v>
      </c>
      <c r="AI179" s="4">
        <v>5</v>
      </c>
      <c r="AJ179" s="4">
        <v>26</v>
      </c>
      <c r="AK179" s="4">
        <v>0</v>
      </c>
      <c r="AL179" s="4">
        <v>31</v>
      </c>
      <c r="AM179" t="s">
        <v>374</v>
      </c>
    </row>
    <row r="180" spans="1:39" x14ac:dyDescent="0.3">
      <c r="A180" t="s">
        <v>127</v>
      </c>
      <c r="B180">
        <v>30</v>
      </c>
      <c r="C180">
        <v>1736</v>
      </c>
      <c r="D180" t="s">
        <v>161</v>
      </c>
      <c r="E180">
        <v>2</v>
      </c>
      <c r="F180" t="s">
        <v>164</v>
      </c>
      <c r="G180" t="s">
        <v>130</v>
      </c>
      <c r="H180" t="s">
        <v>144</v>
      </c>
      <c r="I180">
        <v>5</v>
      </c>
      <c r="J180">
        <v>7</v>
      </c>
      <c r="K180">
        <v>3</v>
      </c>
      <c r="L180" t="s">
        <v>174</v>
      </c>
      <c r="M180" t="s">
        <v>180</v>
      </c>
      <c r="N180" t="s">
        <v>133</v>
      </c>
      <c r="O180">
        <v>11</v>
      </c>
      <c r="P180">
        <v>5</v>
      </c>
      <c r="Q180" t="s">
        <v>154</v>
      </c>
      <c r="R180" t="s">
        <v>135</v>
      </c>
      <c r="S180" t="s">
        <v>156</v>
      </c>
      <c r="T180" t="s">
        <v>157</v>
      </c>
      <c r="U180" t="s">
        <v>187</v>
      </c>
      <c r="V180" t="s">
        <v>133</v>
      </c>
      <c r="W180" t="s">
        <v>139</v>
      </c>
      <c r="X180" t="s">
        <v>133</v>
      </c>
      <c r="Z180">
        <v>2</v>
      </c>
      <c r="AA180">
        <v>3</v>
      </c>
      <c r="AB180">
        <v>4</v>
      </c>
      <c r="AD180">
        <v>0</v>
      </c>
      <c r="AE180">
        <v>0</v>
      </c>
      <c r="AF180" t="s">
        <v>133</v>
      </c>
      <c r="AG180" t="s">
        <v>139</v>
      </c>
      <c r="AI180" s="4">
        <v>7</v>
      </c>
      <c r="AJ180" s="4">
        <v>11</v>
      </c>
      <c r="AK180" s="4">
        <v>0</v>
      </c>
      <c r="AL180" s="4">
        <v>18</v>
      </c>
      <c r="AM180" t="s">
        <v>375</v>
      </c>
    </row>
    <row r="181" spans="1:39" x14ac:dyDescent="0.3">
      <c r="A181" t="s">
        <v>127</v>
      </c>
      <c r="B181">
        <v>30</v>
      </c>
      <c r="C181">
        <v>4645</v>
      </c>
      <c r="D181" t="s">
        <v>161</v>
      </c>
      <c r="E181">
        <v>3</v>
      </c>
      <c r="F181" t="s">
        <v>169</v>
      </c>
      <c r="G181" t="s">
        <v>130</v>
      </c>
      <c r="H181" t="s">
        <v>153</v>
      </c>
      <c r="I181">
        <v>8</v>
      </c>
      <c r="J181">
        <v>5</v>
      </c>
      <c r="K181">
        <v>1</v>
      </c>
      <c r="L181" t="s">
        <v>132</v>
      </c>
      <c r="N181" t="s">
        <v>133</v>
      </c>
      <c r="O181">
        <v>30</v>
      </c>
      <c r="P181">
        <v>8</v>
      </c>
      <c r="Q181" t="s">
        <v>154</v>
      </c>
      <c r="R181" t="s">
        <v>155</v>
      </c>
      <c r="S181" t="s">
        <v>156</v>
      </c>
      <c r="T181" t="s">
        <v>157</v>
      </c>
      <c r="U181" t="s">
        <v>158</v>
      </c>
      <c r="V181" t="s">
        <v>133</v>
      </c>
      <c r="W181" t="s">
        <v>139</v>
      </c>
      <c r="X181" t="s">
        <v>133</v>
      </c>
      <c r="Z181">
        <v>2</v>
      </c>
      <c r="AA181">
        <v>3</v>
      </c>
      <c r="AB181">
        <v>3</v>
      </c>
      <c r="AD181">
        <v>0</v>
      </c>
      <c r="AE181">
        <v>0</v>
      </c>
      <c r="AF181" t="s">
        <v>133</v>
      </c>
      <c r="AG181" t="s">
        <v>140</v>
      </c>
      <c r="AI181" s="4">
        <v>5</v>
      </c>
      <c r="AJ181" s="4">
        <v>30</v>
      </c>
      <c r="AK181" s="4">
        <v>0</v>
      </c>
      <c r="AL181" s="4">
        <v>35</v>
      </c>
      <c r="AM181" t="s">
        <v>376</v>
      </c>
    </row>
    <row r="182" spans="1:39" x14ac:dyDescent="0.3">
      <c r="A182" t="s">
        <v>127</v>
      </c>
      <c r="B182">
        <v>31</v>
      </c>
      <c r="C182">
        <v>7417</v>
      </c>
      <c r="D182" t="s">
        <v>128</v>
      </c>
      <c r="E182">
        <v>1</v>
      </c>
      <c r="F182" t="s">
        <v>129</v>
      </c>
      <c r="G182" t="s">
        <v>130</v>
      </c>
      <c r="H182" t="s">
        <v>144</v>
      </c>
      <c r="I182">
        <v>8</v>
      </c>
      <c r="J182">
        <v>3</v>
      </c>
      <c r="K182">
        <v>2</v>
      </c>
      <c r="L182" t="s">
        <v>165</v>
      </c>
      <c r="N182" t="s">
        <v>133</v>
      </c>
      <c r="O182">
        <v>9</v>
      </c>
      <c r="P182">
        <v>5</v>
      </c>
      <c r="Q182" t="s">
        <v>134</v>
      </c>
      <c r="R182" t="s">
        <v>135</v>
      </c>
      <c r="T182" t="s">
        <v>136</v>
      </c>
      <c r="U182" t="s">
        <v>137</v>
      </c>
      <c r="V182" t="s">
        <v>133</v>
      </c>
      <c r="W182" t="s">
        <v>139</v>
      </c>
      <c r="X182" t="s">
        <v>133</v>
      </c>
      <c r="Z182">
        <v>1</v>
      </c>
      <c r="AA182">
        <v>2</v>
      </c>
      <c r="AB182">
        <v>2</v>
      </c>
      <c r="AD182">
        <v>0</v>
      </c>
      <c r="AE182">
        <v>0</v>
      </c>
      <c r="AF182" t="s">
        <v>133</v>
      </c>
      <c r="AG182" t="s">
        <v>139</v>
      </c>
      <c r="AH182" t="s">
        <v>185</v>
      </c>
      <c r="AI182" s="4">
        <v>3</v>
      </c>
      <c r="AJ182" s="4">
        <v>9</v>
      </c>
      <c r="AK182" s="4">
        <v>0</v>
      </c>
      <c r="AL182" s="4">
        <v>12</v>
      </c>
      <c r="AM182" t="s">
        <v>377</v>
      </c>
    </row>
    <row r="183" spans="1:39" x14ac:dyDescent="0.3">
      <c r="A183" t="s">
        <v>127</v>
      </c>
      <c r="B183">
        <v>31</v>
      </c>
      <c r="C183">
        <v>2861</v>
      </c>
      <c r="D183" t="s">
        <v>128</v>
      </c>
      <c r="E183">
        <v>2</v>
      </c>
      <c r="F183" t="s">
        <v>143</v>
      </c>
      <c r="G183" t="s">
        <v>130</v>
      </c>
      <c r="H183" t="s">
        <v>144</v>
      </c>
      <c r="I183">
        <v>8</v>
      </c>
      <c r="J183">
        <v>18</v>
      </c>
      <c r="K183">
        <v>3</v>
      </c>
      <c r="L183" t="s">
        <v>165</v>
      </c>
      <c r="M183" t="s">
        <v>166</v>
      </c>
      <c r="N183" t="s">
        <v>133</v>
      </c>
      <c r="O183">
        <v>39</v>
      </c>
      <c r="P183">
        <v>6</v>
      </c>
      <c r="Q183" t="s">
        <v>145</v>
      </c>
      <c r="R183" t="s">
        <v>146</v>
      </c>
      <c r="S183" t="s">
        <v>147</v>
      </c>
      <c r="T183" t="s">
        <v>148</v>
      </c>
      <c r="U183" t="s">
        <v>149</v>
      </c>
      <c r="V183" t="s">
        <v>133</v>
      </c>
      <c r="W183" t="s">
        <v>139</v>
      </c>
      <c r="X183" t="s">
        <v>133</v>
      </c>
      <c r="Z183">
        <v>5</v>
      </c>
      <c r="AA183">
        <v>4</v>
      </c>
      <c r="AB183">
        <v>5</v>
      </c>
      <c r="AD183">
        <v>0</v>
      </c>
      <c r="AE183">
        <v>0</v>
      </c>
      <c r="AF183" t="s">
        <v>133</v>
      </c>
      <c r="AG183" t="s">
        <v>130</v>
      </c>
      <c r="AH183" t="s">
        <v>277</v>
      </c>
      <c r="AI183" s="4">
        <v>18</v>
      </c>
      <c r="AJ183" s="4">
        <v>39</v>
      </c>
      <c r="AK183" s="4">
        <v>0</v>
      </c>
      <c r="AL183" s="4">
        <v>57</v>
      </c>
      <c r="AM183" t="s">
        <v>378</v>
      </c>
    </row>
    <row r="184" spans="1:39" x14ac:dyDescent="0.3">
      <c r="A184" t="s">
        <v>127</v>
      </c>
      <c r="B184">
        <v>31</v>
      </c>
      <c r="C184">
        <v>1756</v>
      </c>
      <c r="D184" t="s">
        <v>128</v>
      </c>
      <c r="E184">
        <v>3</v>
      </c>
      <c r="F184" t="s">
        <v>152</v>
      </c>
      <c r="G184" t="s">
        <v>130</v>
      </c>
      <c r="H184" t="s">
        <v>131</v>
      </c>
      <c r="I184">
        <v>8</v>
      </c>
      <c r="J184">
        <v>32</v>
      </c>
      <c r="K184">
        <v>4</v>
      </c>
      <c r="L184" t="s">
        <v>165</v>
      </c>
      <c r="M184" t="s">
        <v>180</v>
      </c>
      <c r="N184" t="s">
        <v>133</v>
      </c>
      <c r="O184">
        <v>155</v>
      </c>
      <c r="P184">
        <v>18</v>
      </c>
      <c r="Q184" t="s">
        <v>145</v>
      </c>
      <c r="R184" t="s">
        <v>146</v>
      </c>
      <c r="S184" t="s">
        <v>147</v>
      </c>
      <c r="T184" t="s">
        <v>148</v>
      </c>
      <c r="U184" t="s">
        <v>149</v>
      </c>
      <c r="V184" t="s">
        <v>133</v>
      </c>
      <c r="W184" t="s">
        <v>139</v>
      </c>
      <c r="X184" t="s">
        <v>133</v>
      </c>
      <c r="Z184">
        <v>4</v>
      </c>
      <c r="AA184">
        <v>5</v>
      </c>
      <c r="AB184">
        <v>4</v>
      </c>
      <c r="AD184">
        <v>0</v>
      </c>
      <c r="AE184">
        <v>0</v>
      </c>
      <c r="AF184" t="s">
        <v>133</v>
      </c>
      <c r="AG184" t="s">
        <v>130</v>
      </c>
      <c r="AH184" t="s">
        <v>319</v>
      </c>
      <c r="AI184" s="4">
        <v>32</v>
      </c>
      <c r="AJ184" s="4">
        <v>155</v>
      </c>
      <c r="AK184" s="4">
        <v>0</v>
      </c>
      <c r="AL184" s="4">
        <v>187</v>
      </c>
      <c r="AM184" t="s">
        <v>379</v>
      </c>
    </row>
    <row r="185" spans="1:39" x14ac:dyDescent="0.3">
      <c r="A185" t="s">
        <v>127</v>
      </c>
      <c r="B185">
        <v>31</v>
      </c>
      <c r="C185">
        <v>4156</v>
      </c>
      <c r="D185" t="s">
        <v>161</v>
      </c>
      <c r="E185">
        <v>1</v>
      </c>
      <c r="F185" t="s">
        <v>162</v>
      </c>
      <c r="G185" t="s">
        <v>130</v>
      </c>
      <c r="H185" t="s">
        <v>131</v>
      </c>
      <c r="I185">
        <v>8</v>
      </c>
      <c r="J185">
        <v>2</v>
      </c>
      <c r="K185">
        <v>1</v>
      </c>
      <c r="L185" t="s">
        <v>132</v>
      </c>
      <c r="N185" t="s">
        <v>133</v>
      </c>
      <c r="O185">
        <v>3</v>
      </c>
      <c r="P185">
        <v>1</v>
      </c>
      <c r="Q185" t="s">
        <v>134</v>
      </c>
      <c r="R185" t="s">
        <v>135</v>
      </c>
      <c r="T185" t="s">
        <v>136</v>
      </c>
      <c r="U185" t="s">
        <v>137</v>
      </c>
      <c r="V185" t="s">
        <v>133</v>
      </c>
      <c r="W185" t="s">
        <v>139</v>
      </c>
      <c r="X185" t="s">
        <v>133</v>
      </c>
      <c r="Z185">
        <v>1</v>
      </c>
      <c r="AA185">
        <v>1</v>
      </c>
      <c r="AB185">
        <v>3</v>
      </c>
      <c r="AD185">
        <v>1</v>
      </c>
      <c r="AE185">
        <v>0</v>
      </c>
      <c r="AF185" t="s">
        <v>133</v>
      </c>
      <c r="AG185" t="s">
        <v>139</v>
      </c>
      <c r="AH185" t="s">
        <v>185</v>
      </c>
      <c r="AI185" s="4">
        <v>2</v>
      </c>
      <c r="AJ185" s="4">
        <v>3</v>
      </c>
      <c r="AK185" s="4">
        <v>0</v>
      </c>
      <c r="AL185" s="4">
        <v>5</v>
      </c>
      <c r="AM185" t="s">
        <v>380</v>
      </c>
    </row>
    <row r="186" spans="1:39" x14ac:dyDescent="0.3">
      <c r="A186" t="s">
        <v>127</v>
      </c>
      <c r="B186">
        <v>31</v>
      </c>
      <c r="C186">
        <v>7472</v>
      </c>
      <c r="D186" t="s">
        <v>161</v>
      </c>
      <c r="E186">
        <v>2</v>
      </c>
      <c r="F186" t="s">
        <v>164</v>
      </c>
      <c r="G186" t="s">
        <v>130</v>
      </c>
      <c r="H186" t="s">
        <v>131</v>
      </c>
      <c r="I186">
        <v>8</v>
      </c>
      <c r="J186">
        <v>5</v>
      </c>
      <c r="K186">
        <v>4</v>
      </c>
      <c r="L186" t="s">
        <v>132</v>
      </c>
      <c r="N186" t="s">
        <v>133</v>
      </c>
      <c r="O186">
        <v>7</v>
      </c>
      <c r="P186">
        <v>6</v>
      </c>
      <c r="Q186" t="s">
        <v>134</v>
      </c>
      <c r="R186" t="s">
        <v>135</v>
      </c>
      <c r="T186" t="s">
        <v>203</v>
      </c>
      <c r="U186" t="s">
        <v>137</v>
      </c>
      <c r="V186" t="s">
        <v>133</v>
      </c>
      <c r="W186" t="s">
        <v>139</v>
      </c>
      <c r="X186" t="s">
        <v>133</v>
      </c>
      <c r="Z186">
        <v>1</v>
      </c>
      <c r="AA186">
        <v>1</v>
      </c>
      <c r="AB186">
        <v>3</v>
      </c>
      <c r="AD186">
        <v>0</v>
      </c>
      <c r="AE186">
        <v>0</v>
      </c>
      <c r="AF186" t="s">
        <v>133</v>
      </c>
      <c r="AG186" t="s">
        <v>139</v>
      </c>
      <c r="AH186" t="s">
        <v>185</v>
      </c>
      <c r="AI186" s="4">
        <v>5</v>
      </c>
      <c r="AJ186" s="4">
        <v>7</v>
      </c>
      <c r="AK186" s="4">
        <v>0</v>
      </c>
      <c r="AL186" s="4">
        <v>12</v>
      </c>
      <c r="AM186" t="s">
        <v>381</v>
      </c>
    </row>
    <row r="187" spans="1:39" x14ac:dyDescent="0.3">
      <c r="A187" t="s">
        <v>127</v>
      </c>
      <c r="B187">
        <v>31</v>
      </c>
      <c r="C187">
        <v>6237</v>
      </c>
      <c r="D187" t="s">
        <v>161</v>
      </c>
      <c r="E187">
        <v>3</v>
      </c>
      <c r="F187" t="s">
        <v>169</v>
      </c>
      <c r="G187" t="s">
        <v>130</v>
      </c>
      <c r="H187" t="s">
        <v>144</v>
      </c>
      <c r="I187">
        <v>8</v>
      </c>
      <c r="J187">
        <v>2</v>
      </c>
      <c r="K187">
        <v>0</v>
      </c>
      <c r="L187" t="s">
        <v>132</v>
      </c>
      <c r="N187" t="s">
        <v>133</v>
      </c>
      <c r="O187">
        <v>106</v>
      </c>
      <c r="P187">
        <v>15</v>
      </c>
      <c r="Q187" t="s">
        <v>145</v>
      </c>
      <c r="R187" t="s">
        <v>146</v>
      </c>
      <c r="S187" t="s">
        <v>147</v>
      </c>
      <c r="T187" t="s">
        <v>148</v>
      </c>
      <c r="U187" t="s">
        <v>149</v>
      </c>
      <c r="V187" t="s">
        <v>133</v>
      </c>
      <c r="W187" t="s">
        <v>139</v>
      </c>
      <c r="X187" t="s">
        <v>133</v>
      </c>
      <c r="Z187">
        <v>5</v>
      </c>
      <c r="AA187">
        <v>5</v>
      </c>
      <c r="AB187">
        <v>5</v>
      </c>
      <c r="AD187">
        <v>0</v>
      </c>
      <c r="AE187">
        <v>0</v>
      </c>
      <c r="AF187" t="s">
        <v>133</v>
      </c>
      <c r="AG187" t="s">
        <v>130</v>
      </c>
      <c r="AH187" t="s">
        <v>319</v>
      </c>
      <c r="AI187" s="4">
        <v>2</v>
      </c>
      <c r="AJ187" s="4">
        <v>106</v>
      </c>
      <c r="AK187" s="4">
        <v>0</v>
      </c>
      <c r="AL187" s="4">
        <v>108</v>
      </c>
      <c r="AM187" t="s">
        <v>382</v>
      </c>
    </row>
    <row r="188" spans="1:39" x14ac:dyDescent="0.3">
      <c r="A188" t="s">
        <v>127</v>
      </c>
      <c r="B188">
        <v>32</v>
      </c>
      <c r="C188">
        <v>1625</v>
      </c>
      <c r="D188" t="s">
        <v>128</v>
      </c>
      <c r="E188">
        <v>1</v>
      </c>
      <c r="F188" t="s">
        <v>383</v>
      </c>
      <c r="G188" t="s">
        <v>130</v>
      </c>
      <c r="H188" t="s">
        <v>153</v>
      </c>
      <c r="I188">
        <v>8</v>
      </c>
      <c r="J188">
        <v>36</v>
      </c>
      <c r="K188">
        <v>10</v>
      </c>
      <c r="L188" t="s">
        <v>165</v>
      </c>
      <c r="M188" t="s">
        <v>166</v>
      </c>
      <c r="N188" t="s">
        <v>133</v>
      </c>
      <c r="O188">
        <v>58</v>
      </c>
      <c r="P188">
        <v>16</v>
      </c>
      <c r="Q188" t="s">
        <v>145</v>
      </c>
      <c r="R188" t="s">
        <v>146</v>
      </c>
      <c r="S188" t="s">
        <v>147</v>
      </c>
      <c r="T188" t="s">
        <v>148</v>
      </c>
      <c r="U188" t="s">
        <v>149</v>
      </c>
      <c r="V188" t="s">
        <v>170</v>
      </c>
      <c r="W188" t="s">
        <v>181</v>
      </c>
      <c r="X188" t="s">
        <v>133</v>
      </c>
      <c r="Z188">
        <v>3</v>
      </c>
      <c r="AA188">
        <v>4</v>
      </c>
      <c r="AB188">
        <v>4</v>
      </c>
      <c r="AD188">
        <v>0</v>
      </c>
      <c r="AE188">
        <v>0</v>
      </c>
      <c r="AF188" t="s">
        <v>133</v>
      </c>
      <c r="AG188" t="s">
        <v>130</v>
      </c>
      <c r="AH188" t="s">
        <v>254</v>
      </c>
      <c r="AI188" s="4">
        <v>36</v>
      </c>
      <c r="AJ188" s="4">
        <v>58</v>
      </c>
      <c r="AK188" s="4">
        <v>0</v>
      </c>
      <c r="AL188" s="4">
        <v>94</v>
      </c>
      <c r="AM188" t="s">
        <v>384</v>
      </c>
    </row>
    <row r="189" spans="1:39" x14ac:dyDescent="0.3">
      <c r="A189" t="s">
        <v>127</v>
      </c>
      <c r="B189">
        <v>32</v>
      </c>
      <c r="C189">
        <v>9082</v>
      </c>
      <c r="D189" t="s">
        <v>128</v>
      </c>
      <c r="E189">
        <v>2</v>
      </c>
      <c r="F189" t="s">
        <v>385</v>
      </c>
      <c r="G189" t="s">
        <v>130</v>
      </c>
      <c r="H189" t="s">
        <v>131</v>
      </c>
      <c r="I189">
        <v>8</v>
      </c>
      <c r="J189">
        <v>11</v>
      </c>
      <c r="K189">
        <v>1</v>
      </c>
      <c r="L189" t="s">
        <v>174</v>
      </c>
      <c r="M189" t="s">
        <v>166</v>
      </c>
      <c r="N189" t="s">
        <v>133</v>
      </c>
      <c r="O189">
        <v>60</v>
      </c>
      <c r="P189">
        <v>3</v>
      </c>
      <c r="Q189" t="s">
        <v>145</v>
      </c>
      <c r="R189" t="s">
        <v>146</v>
      </c>
      <c r="S189" t="s">
        <v>147</v>
      </c>
      <c r="T189" t="s">
        <v>148</v>
      </c>
      <c r="U189" t="s">
        <v>158</v>
      </c>
      <c r="V189" t="s">
        <v>133</v>
      </c>
      <c r="W189" t="s">
        <v>139</v>
      </c>
      <c r="X189" t="s">
        <v>133</v>
      </c>
      <c r="Z189">
        <v>5</v>
      </c>
      <c r="AA189">
        <v>3</v>
      </c>
      <c r="AB189">
        <v>4</v>
      </c>
      <c r="AD189">
        <v>0</v>
      </c>
      <c r="AE189">
        <v>0</v>
      </c>
      <c r="AF189" t="s">
        <v>133</v>
      </c>
      <c r="AG189" t="s">
        <v>130</v>
      </c>
      <c r="AH189" t="s">
        <v>254</v>
      </c>
      <c r="AI189" s="4">
        <v>11</v>
      </c>
      <c r="AJ189" s="4">
        <v>60</v>
      </c>
      <c r="AK189" s="4">
        <v>0</v>
      </c>
      <c r="AL189" s="4">
        <v>71</v>
      </c>
      <c r="AM189" t="s">
        <v>386</v>
      </c>
    </row>
    <row r="190" spans="1:39" x14ac:dyDescent="0.3">
      <c r="A190" t="s">
        <v>127</v>
      </c>
      <c r="B190">
        <v>32</v>
      </c>
      <c r="C190">
        <v>2039</v>
      </c>
      <c r="D190" t="s">
        <v>128</v>
      </c>
      <c r="E190">
        <v>3</v>
      </c>
      <c r="F190" t="s">
        <v>387</v>
      </c>
      <c r="G190" t="s">
        <v>130</v>
      </c>
      <c r="H190" t="s">
        <v>131</v>
      </c>
      <c r="I190">
        <v>8</v>
      </c>
      <c r="J190">
        <v>1</v>
      </c>
      <c r="K190">
        <v>1</v>
      </c>
      <c r="L190" t="s">
        <v>132</v>
      </c>
      <c r="N190" t="s">
        <v>133</v>
      </c>
      <c r="O190">
        <v>2</v>
      </c>
      <c r="P190">
        <v>2</v>
      </c>
      <c r="Q190" t="s">
        <v>134</v>
      </c>
      <c r="R190" t="s">
        <v>135</v>
      </c>
      <c r="T190" t="s">
        <v>136</v>
      </c>
      <c r="U190" t="s">
        <v>137</v>
      </c>
      <c r="V190" t="s">
        <v>138</v>
      </c>
      <c r="W190" t="s">
        <v>139</v>
      </c>
      <c r="X190" t="s">
        <v>133</v>
      </c>
      <c r="Z190">
        <v>1</v>
      </c>
      <c r="AA190">
        <v>1</v>
      </c>
      <c r="AB190">
        <v>3</v>
      </c>
      <c r="AD190">
        <v>1</v>
      </c>
      <c r="AE190">
        <v>0</v>
      </c>
      <c r="AF190" t="s">
        <v>133</v>
      </c>
      <c r="AG190" t="s">
        <v>140</v>
      </c>
      <c r="AH190" t="s">
        <v>141</v>
      </c>
      <c r="AI190" s="4">
        <v>1</v>
      </c>
      <c r="AJ190" s="4">
        <v>2</v>
      </c>
      <c r="AK190" s="4">
        <v>0</v>
      </c>
      <c r="AL190" s="4">
        <v>3</v>
      </c>
      <c r="AM190" t="s">
        <v>388</v>
      </c>
    </row>
    <row r="191" spans="1:39" x14ac:dyDescent="0.3">
      <c r="A191" t="s">
        <v>127</v>
      </c>
      <c r="B191">
        <v>32</v>
      </c>
      <c r="C191">
        <v>3284</v>
      </c>
      <c r="D191" t="s">
        <v>161</v>
      </c>
      <c r="E191">
        <v>1</v>
      </c>
      <c r="F191" t="s">
        <v>389</v>
      </c>
      <c r="G191" t="s">
        <v>130</v>
      </c>
      <c r="H191" t="s">
        <v>144</v>
      </c>
      <c r="I191">
        <v>8</v>
      </c>
      <c r="J191">
        <v>8</v>
      </c>
      <c r="K191">
        <v>4</v>
      </c>
      <c r="L191" t="s">
        <v>132</v>
      </c>
      <c r="N191" t="s">
        <v>133</v>
      </c>
      <c r="O191">
        <v>22</v>
      </c>
      <c r="P191">
        <v>11</v>
      </c>
      <c r="Q191" t="s">
        <v>134</v>
      </c>
      <c r="R191" t="s">
        <v>135</v>
      </c>
      <c r="T191" t="s">
        <v>136</v>
      </c>
      <c r="U191" t="s">
        <v>137</v>
      </c>
      <c r="V191" t="s">
        <v>138</v>
      </c>
      <c r="W191" t="s">
        <v>139</v>
      </c>
      <c r="X191" t="s">
        <v>133</v>
      </c>
      <c r="Z191">
        <v>2</v>
      </c>
      <c r="AA191">
        <v>3</v>
      </c>
      <c r="AB191">
        <v>3</v>
      </c>
      <c r="AD191">
        <v>0</v>
      </c>
      <c r="AE191">
        <v>0</v>
      </c>
      <c r="AF191" t="s">
        <v>133</v>
      </c>
      <c r="AG191" t="s">
        <v>140</v>
      </c>
      <c r="AH191" t="s">
        <v>201</v>
      </c>
      <c r="AI191" s="4">
        <v>8</v>
      </c>
      <c r="AJ191" s="4">
        <v>22</v>
      </c>
      <c r="AK191" s="4">
        <v>0</v>
      </c>
      <c r="AL191" s="4">
        <v>30</v>
      </c>
      <c r="AM191" t="s">
        <v>390</v>
      </c>
    </row>
    <row r="192" spans="1:39" x14ac:dyDescent="0.3">
      <c r="A192" t="s">
        <v>127</v>
      </c>
      <c r="B192">
        <v>32</v>
      </c>
      <c r="C192">
        <v>8029</v>
      </c>
      <c r="D192" t="s">
        <v>161</v>
      </c>
      <c r="E192">
        <v>2</v>
      </c>
      <c r="F192" t="s">
        <v>391</v>
      </c>
      <c r="G192" t="s">
        <v>130</v>
      </c>
      <c r="H192" t="s">
        <v>131</v>
      </c>
      <c r="I192">
        <v>5</v>
      </c>
      <c r="J192">
        <v>11</v>
      </c>
      <c r="K192">
        <v>9</v>
      </c>
      <c r="L192" t="s">
        <v>174</v>
      </c>
      <c r="M192" t="s">
        <v>180</v>
      </c>
      <c r="N192" t="s">
        <v>133</v>
      </c>
      <c r="O192">
        <v>13</v>
      </c>
      <c r="P192">
        <v>11</v>
      </c>
      <c r="Q192" t="s">
        <v>134</v>
      </c>
      <c r="R192" t="s">
        <v>135</v>
      </c>
      <c r="T192" t="s">
        <v>203</v>
      </c>
      <c r="U192" t="s">
        <v>137</v>
      </c>
      <c r="V192" t="s">
        <v>138</v>
      </c>
      <c r="W192" t="s">
        <v>139</v>
      </c>
      <c r="X192" t="s">
        <v>133</v>
      </c>
      <c r="Z192">
        <v>3</v>
      </c>
      <c r="AA192">
        <v>3</v>
      </c>
      <c r="AB192">
        <v>4</v>
      </c>
      <c r="AD192">
        <v>1</v>
      </c>
      <c r="AE192">
        <v>0</v>
      </c>
      <c r="AF192" t="s">
        <v>133</v>
      </c>
      <c r="AG192" t="s">
        <v>140</v>
      </c>
      <c r="AH192" t="s">
        <v>201</v>
      </c>
      <c r="AI192" s="4">
        <v>11</v>
      </c>
      <c r="AJ192" s="4">
        <v>13</v>
      </c>
      <c r="AK192" s="4">
        <v>0</v>
      </c>
      <c r="AL192" s="4">
        <v>24</v>
      </c>
      <c r="AM192" t="s">
        <v>386</v>
      </c>
    </row>
    <row r="193" spans="1:39" x14ac:dyDescent="0.3">
      <c r="A193" t="s">
        <v>127</v>
      </c>
      <c r="B193">
        <v>32</v>
      </c>
      <c r="C193">
        <v>8096</v>
      </c>
      <c r="D193" t="s">
        <v>161</v>
      </c>
      <c r="E193">
        <v>3</v>
      </c>
      <c r="F193" t="s">
        <v>392</v>
      </c>
      <c r="G193" t="s">
        <v>130</v>
      </c>
      <c r="H193" t="s">
        <v>144</v>
      </c>
      <c r="I193">
        <v>8</v>
      </c>
      <c r="J193">
        <v>17</v>
      </c>
      <c r="K193">
        <v>7</v>
      </c>
      <c r="L193" t="s">
        <v>165</v>
      </c>
      <c r="M193" t="s">
        <v>180</v>
      </c>
      <c r="N193" t="s">
        <v>133</v>
      </c>
      <c r="O193">
        <v>56</v>
      </c>
      <c r="P193">
        <v>23</v>
      </c>
      <c r="Q193" t="s">
        <v>154</v>
      </c>
      <c r="R193" t="s">
        <v>155</v>
      </c>
      <c r="S193" t="s">
        <v>156</v>
      </c>
      <c r="T193" t="s">
        <v>157</v>
      </c>
      <c r="U193" t="s">
        <v>187</v>
      </c>
      <c r="V193" t="s">
        <v>133</v>
      </c>
      <c r="W193" t="s">
        <v>139</v>
      </c>
      <c r="X193" t="s">
        <v>133</v>
      </c>
      <c r="Z193">
        <v>2</v>
      </c>
      <c r="AA193">
        <v>3</v>
      </c>
      <c r="AB193">
        <v>2</v>
      </c>
      <c r="AD193">
        <v>0</v>
      </c>
      <c r="AE193">
        <v>1</v>
      </c>
      <c r="AF193" t="s">
        <v>133</v>
      </c>
      <c r="AG193" t="s">
        <v>139</v>
      </c>
      <c r="AH193" t="s">
        <v>175</v>
      </c>
      <c r="AI193" s="4">
        <v>17</v>
      </c>
      <c r="AJ193" s="4">
        <v>56</v>
      </c>
      <c r="AK193" s="4">
        <v>0</v>
      </c>
      <c r="AL193" s="4">
        <v>73</v>
      </c>
      <c r="AM193" t="s">
        <v>393</v>
      </c>
    </row>
    <row r="194" spans="1:39" x14ac:dyDescent="0.3">
      <c r="A194" t="s">
        <v>127</v>
      </c>
      <c r="B194">
        <v>33</v>
      </c>
      <c r="C194">
        <v>2481</v>
      </c>
      <c r="D194" t="s">
        <v>128</v>
      </c>
      <c r="E194">
        <v>1</v>
      </c>
      <c r="F194" t="s">
        <v>383</v>
      </c>
      <c r="G194" t="s">
        <v>130</v>
      </c>
      <c r="H194" t="s">
        <v>131</v>
      </c>
      <c r="I194">
        <v>8</v>
      </c>
      <c r="J194">
        <v>85</v>
      </c>
      <c r="K194">
        <v>24</v>
      </c>
      <c r="L194" t="s">
        <v>165</v>
      </c>
      <c r="M194" t="s">
        <v>166</v>
      </c>
      <c r="N194" t="s">
        <v>133</v>
      </c>
      <c r="O194">
        <v>247</v>
      </c>
      <c r="P194">
        <v>70</v>
      </c>
      <c r="Q194" t="s">
        <v>145</v>
      </c>
      <c r="R194" t="s">
        <v>146</v>
      </c>
      <c r="S194" t="s">
        <v>147</v>
      </c>
      <c r="T194" t="s">
        <v>148</v>
      </c>
      <c r="U194" t="s">
        <v>149</v>
      </c>
      <c r="V194" t="s">
        <v>133</v>
      </c>
      <c r="W194" t="s">
        <v>139</v>
      </c>
      <c r="X194" t="s">
        <v>133</v>
      </c>
      <c r="Z194">
        <v>5</v>
      </c>
      <c r="AA194">
        <v>5</v>
      </c>
      <c r="AB194">
        <v>4</v>
      </c>
      <c r="AD194">
        <v>2</v>
      </c>
      <c r="AE194">
        <v>0</v>
      </c>
      <c r="AF194" t="s">
        <v>133</v>
      </c>
      <c r="AG194" t="s">
        <v>130</v>
      </c>
      <c r="AH194" t="s">
        <v>218</v>
      </c>
      <c r="AI194" s="4">
        <v>85</v>
      </c>
      <c r="AJ194" s="4">
        <v>247</v>
      </c>
      <c r="AK194" s="4">
        <v>0</v>
      </c>
      <c r="AL194" s="4">
        <v>332</v>
      </c>
      <c r="AM194" t="s">
        <v>394</v>
      </c>
    </row>
    <row r="195" spans="1:39" x14ac:dyDescent="0.3">
      <c r="A195" t="s">
        <v>127</v>
      </c>
      <c r="B195">
        <v>33</v>
      </c>
      <c r="C195">
        <v>3488</v>
      </c>
      <c r="D195" t="s">
        <v>128</v>
      </c>
      <c r="E195">
        <v>2</v>
      </c>
      <c r="F195" t="s">
        <v>385</v>
      </c>
      <c r="G195" t="s">
        <v>130</v>
      </c>
      <c r="H195" t="s">
        <v>144</v>
      </c>
      <c r="I195">
        <v>8</v>
      </c>
      <c r="J195">
        <v>0</v>
      </c>
      <c r="K195">
        <v>0</v>
      </c>
      <c r="L195" t="s">
        <v>132</v>
      </c>
      <c r="N195" t="s">
        <v>133</v>
      </c>
      <c r="O195">
        <v>42</v>
      </c>
      <c r="P195">
        <v>24</v>
      </c>
      <c r="Q195" t="s">
        <v>154</v>
      </c>
      <c r="R195" t="s">
        <v>135</v>
      </c>
      <c r="S195" t="s">
        <v>178</v>
      </c>
      <c r="T195" t="s">
        <v>157</v>
      </c>
      <c r="U195" t="s">
        <v>187</v>
      </c>
      <c r="V195" t="s">
        <v>133</v>
      </c>
      <c r="W195" t="s">
        <v>139</v>
      </c>
      <c r="X195" t="s">
        <v>133</v>
      </c>
      <c r="Z195">
        <v>2</v>
      </c>
      <c r="AA195">
        <v>3</v>
      </c>
      <c r="AB195">
        <v>2</v>
      </c>
      <c r="AD195">
        <v>0</v>
      </c>
      <c r="AE195">
        <v>0</v>
      </c>
      <c r="AF195" t="s">
        <v>133</v>
      </c>
      <c r="AG195" t="s">
        <v>139</v>
      </c>
      <c r="AI195" s="4">
        <v>0</v>
      </c>
      <c r="AJ195" s="4">
        <v>42</v>
      </c>
      <c r="AK195" s="4">
        <v>0</v>
      </c>
      <c r="AL195" s="4">
        <v>42</v>
      </c>
      <c r="AM195" t="s">
        <v>395</v>
      </c>
    </row>
    <row r="196" spans="1:39" x14ac:dyDescent="0.3">
      <c r="A196" t="s">
        <v>127</v>
      </c>
      <c r="B196">
        <v>33</v>
      </c>
      <c r="C196">
        <v>2022</v>
      </c>
      <c r="D196" t="s">
        <v>128</v>
      </c>
      <c r="E196">
        <v>3</v>
      </c>
      <c r="F196" t="s">
        <v>387</v>
      </c>
      <c r="G196" t="s">
        <v>130</v>
      </c>
      <c r="H196" t="s">
        <v>131</v>
      </c>
      <c r="I196">
        <v>8</v>
      </c>
      <c r="J196">
        <v>4</v>
      </c>
      <c r="K196">
        <v>0</v>
      </c>
      <c r="L196" t="s">
        <v>132</v>
      </c>
      <c r="N196" t="s">
        <v>133</v>
      </c>
      <c r="O196">
        <v>73</v>
      </c>
      <c r="P196">
        <v>8</v>
      </c>
      <c r="Q196" t="s">
        <v>154</v>
      </c>
      <c r="R196" t="s">
        <v>155</v>
      </c>
      <c r="S196" t="s">
        <v>156</v>
      </c>
      <c r="T196" t="s">
        <v>157</v>
      </c>
      <c r="U196" t="s">
        <v>158</v>
      </c>
      <c r="V196" t="s">
        <v>133</v>
      </c>
      <c r="W196" t="s">
        <v>139</v>
      </c>
      <c r="X196" t="s">
        <v>133</v>
      </c>
      <c r="Z196">
        <v>3</v>
      </c>
      <c r="AA196">
        <v>1</v>
      </c>
      <c r="AB196">
        <v>4</v>
      </c>
      <c r="AD196">
        <v>0</v>
      </c>
      <c r="AE196">
        <v>0</v>
      </c>
      <c r="AF196" t="s">
        <v>133</v>
      </c>
      <c r="AG196" t="s">
        <v>139</v>
      </c>
      <c r="AH196" t="s">
        <v>175</v>
      </c>
      <c r="AI196" s="4">
        <v>4</v>
      </c>
      <c r="AJ196" s="4">
        <v>73</v>
      </c>
      <c r="AK196" s="4">
        <v>0</v>
      </c>
      <c r="AL196" s="4">
        <v>77</v>
      </c>
      <c r="AM196" t="s">
        <v>396</v>
      </c>
    </row>
    <row r="197" spans="1:39" x14ac:dyDescent="0.3">
      <c r="A197" t="s">
        <v>127</v>
      </c>
      <c r="B197">
        <v>33</v>
      </c>
      <c r="C197">
        <v>8020</v>
      </c>
      <c r="D197" t="s">
        <v>161</v>
      </c>
      <c r="E197">
        <v>1</v>
      </c>
      <c r="F197" t="s">
        <v>389</v>
      </c>
      <c r="G197" t="s">
        <v>130</v>
      </c>
      <c r="H197" t="s">
        <v>131</v>
      </c>
      <c r="I197">
        <v>8</v>
      </c>
      <c r="J197">
        <v>18</v>
      </c>
      <c r="K197">
        <v>2</v>
      </c>
      <c r="L197" t="s">
        <v>174</v>
      </c>
      <c r="M197" t="s">
        <v>180</v>
      </c>
      <c r="N197" t="s">
        <v>133</v>
      </c>
      <c r="O197">
        <v>51</v>
      </c>
      <c r="P197">
        <v>6</v>
      </c>
      <c r="Q197" t="s">
        <v>145</v>
      </c>
      <c r="R197" t="s">
        <v>146</v>
      </c>
      <c r="S197" t="s">
        <v>147</v>
      </c>
      <c r="T197" t="s">
        <v>148</v>
      </c>
      <c r="U197" t="s">
        <v>149</v>
      </c>
      <c r="V197" t="s">
        <v>133</v>
      </c>
      <c r="W197" t="s">
        <v>139</v>
      </c>
      <c r="X197" t="s">
        <v>133</v>
      </c>
      <c r="Z197">
        <v>4</v>
      </c>
      <c r="AA197">
        <v>5</v>
      </c>
      <c r="AB197">
        <v>5</v>
      </c>
      <c r="AD197">
        <v>0</v>
      </c>
      <c r="AE197">
        <v>0</v>
      </c>
      <c r="AF197" t="s">
        <v>133</v>
      </c>
      <c r="AG197" t="s">
        <v>130</v>
      </c>
      <c r="AH197" t="s">
        <v>175</v>
      </c>
      <c r="AI197" s="4">
        <v>18</v>
      </c>
      <c r="AJ197" s="4">
        <v>51</v>
      </c>
      <c r="AK197" s="4">
        <v>0</v>
      </c>
      <c r="AL197" s="4">
        <v>69</v>
      </c>
      <c r="AM197" t="s">
        <v>397</v>
      </c>
    </row>
    <row r="198" spans="1:39" x14ac:dyDescent="0.3">
      <c r="A198" t="s">
        <v>127</v>
      </c>
      <c r="B198">
        <v>33</v>
      </c>
      <c r="C198">
        <v>1736</v>
      </c>
      <c r="D198" t="s">
        <v>161</v>
      </c>
      <c r="E198">
        <v>2</v>
      </c>
      <c r="F198" t="s">
        <v>391</v>
      </c>
      <c r="G198" t="s">
        <v>130</v>
      </c>
      <c r="H198" t="s">
        <v>144</v>
      </c>
      <c r="I198">
        <v>5</v>
      </c>
      <c r="J198">
        <v>3</v>
      </c>
      <c r="K198">
        <v>2</v>
      </c>
      <c r="L198" t="s">
        <v>132</v>
      </c>
      <c r="N198" t="s">
        <v>133</v>
      </c>
      <c r="O198">
        <v>22</v>
      </c>
      <c r="P198">
        <v>12</v>
      </c>
      <c r="Q198" t="s">
        <v>154</v>
      </c>
      <c r="R198" t="s">
        <v>135</v>
      </c>
      <c r="S198" t="s">
        <v>156</v>
      </c>
      <c r="T198" t="s">
        <v>157</v>
      </c>
      <c r="U198" t="s">
        <v>187</v>
      </c>
      <c r="V198" t="s">
        <v>133</v>
      </c>
      <c r="W198" t="s">
        <v>139</v>
      </c>
      <c r="X198" t="s">
        <v>133</v>
      </c>
      <c r="Z198">
        <v>1</v>
      </c>
      <c r="AA198">
        <v>1</v>
      </c>
      <c r="AB198">
        <v>3</v>
      </c>
      <c r="AD198">
        <v>0</v>
      </c>
      <c r="AE198">
        <v>0</v>
      </c>
      <c r="AF198" t="s">
        <v>133</v>
      </c>
      <c r="AG198" t="s">
        <v>140</v>
      </c>
      <c r="AI198" s="4">
        <v>3</v>
      </c>
      <c r="AJ198" s="4">
        <v>22</v>
      </c>
      <c r="AK198" s="4">
        <v>0</v>
      </c>
      <c r="AL198" s="4">
        <v>25</v>
      </c>
      <c r="AM198" t="s">
        <v>398</v>
      </c>
    </row>
    <row r="199" spans="1:39" x14ac:dyDescent="0.3">
      <c r="A199" t="s">
        <v>127</v>
      </c>
      <c r="B199">
        <v>33</v>
      </c>
      <c r="C199">
        <v>4787</v>
      </c>
      <c r="D199" t="s">
        <v>161</v>
      </c>
      <c r="E199">
        <v>3</v>
      </c>
      <c r="F199" t="s">
        <v>392</v>
      </c>
      <c r="G199" t="s">
        <v>130</v>
      </c>
      <c r="H199" t="s">
        <v>153</v>
      </c>
      <c r="I199">
        <v>7</v>
      </c>
      <c r="J199">
        <v>1</v>
      </c>
      <c r="K199">
        <v>0</v>
      </c>
      <c r="L199" t="s">
        <v>132</v>
      </c>
      <c r="N199" t="s">
        <v>133</v>
      </c>
      <c r="O199">
        <v>36</v>
      </c>
      <c r="P199">
        <v>14</v>
      </c>
      <c r="Q199" t="s">
        <v>154</v>
      </c>
      <c r="R199" t="s">
        <v>155</v>
      </c>
      <c r="S199" t="s">
        <v>156</v>
      </c>
      <c r="T199" t="s">
        <v>157</v>
      </c>
      <c r="U199" t="s">
        <v>187</v>
      </c>
      <c r="V199" t="s">
        <v>170</v>
      </c>
      <c r="W199" t="s">
        <v>139</v>
      </c>
      <c r="X199" t="s">
        <v>133</v>
      </c>
      <c r="Z199">
        <v>1</v>
      </c>
      <c r="AA199">
        <v>3</v>
      </c>
      <c r="AB199">
        <v>3</v>
      </c>
      <c r="AD199">
        <v>0</v>
      </c>
      <c r="AE199">
        <v>0</v>
      </c>
      <c r="AF199" t="s">
        <v>133</v>
      </c>
      <c r="AG199" t="s">
        <v>140</v>
      </c>
      <c r="AI199" s="4">
        <v>1</v>
      </c>
      <c r="AJ199" s="4">
        <v>36</v>
      </c>
      <c r="AK199" s="4">
        <v>0</v>
      </c>
      <c r="AL199" s="4">
        <v>37</v>
      </c>
      <c r="AM199" t="s">
        <v>399</v>
      </c>
    </row>
    <row r="200" spans="1:39" x14ac:dyDescent="0.3">
      <c r="A200" t="s">
        <v>127</v>
      </c>
      <c r="B200">
        <v>34</v>
      </c>
      <c r="C200">
        <v>2040</v>
      </c>
      <c r="D200" t="s">
        <v>128</v>
      </c>
      <c r="E200">
        <v>1</v>
      </c>
      <c r="F200" t="s">
        <v>383</v>
      </c>
      <c r="G200" t="s">
        <v>130</v>
      </c>
      <c r="H200" t="s">
        <v>144</v>
      </c>
      <c r="I200">
        <v>5</v>
      </c>
      <c r="J200">
        <v>20</v>
      </c>
      <c r="K200">
        <v>5</v>
      </c>
      <c r="L200" t="s">
        <v>174</v>
      </c>
      <c r="M200" t="s">
        <v>166</v>
      </c>
      <c r="N200" t="s">
        <v>133</v>
      </c>
      <c r="O200">
        <v>72</v>
      </c>
      <c r="P200">
        <v>16</v>
      </c>
      <c r="Q200" t="s">
        <v>145</v>
      </c>
      <c r="R200" t="s">
        <v>146</v>
      </c>
      <c r="S200" t="s">
        <v>147</v>
      </c>
      <c r="T200" t="s">
        <v>148</v>
      </c>
      <c r="U200" t="s">
        <v>149</v>
      </c>
      <c r="V200" t="s">
        <v>133</v>
      </c>
      <c r="W200" t="s">
        <v>170</v>
      </c>
      <c r="X200" t="s">
        <v>133</v>
      </c>
      <c r="Z200">
        <v>5</v>
      </c>
      <c r="AA200">
        <v>4</v>
      </c>
      <c r="AB200">
        <v>4</v>
      </c>
      <c r="AD200">
        <v>0</v>
      </c>
      <c r="AE200">
        <v>0</v>
      </c>
      <c r="AF200" t="s">
        <v>133</v>
      </c>
      <c r="AG200" t="s">
        <v>130</v>
      </c>
      <c r="AH200" t="s">
        <v>175</v>
      </c>
      <c r="AI200" s="4">
        <v>20</v>
      </c>
      <c r="AJ200" s="4">
        <v>72</v>
      </c>
      <c r="AK200" s="4">
        <v>0</v>
      </c>
      <c r="AL200" s="4">
        <v>92</v>
      </c>
      <c r="AM200" t="s">
        <v>400</v>
      </c>
    </row>
    <row r="201" spans="1:39" x14ac:dyDescent="0.3">
      <c r="A201" t="s">
        <v>127</v>
      </c>
      <c r="B201">
        <v>34</v>
      </c>
      <c r="C201">
        <v>648</v>
      </c>
      <c r="D201" t="s">
        <v>128</v>
      </c>
      <c r="E201">
        <v>2</v>
      </c>
      <c r="F201" t="s">
        <v>385</v>
      </c>
      <c r="G201" t="s">
        <v>130</v>
      </c>
      <c r="H201" t="s">
        <v>131</v>
      </c>
      <c r="I201">
        <v>8</v>
      </c>
      <c r="J201">
        <v>4</v>
      </c>
      <c r="K201">
        <v>3</v>
      </c>
      <c r="L201" t="s">
        <v>132</v>
      </c>
      <c r="N201" t="s">
        <v>133</v>
      </c>
      <c r="O201">
        <v>14</v>
      </c>
      <c r="P201">
        <v>10</v>
      </c>
      <c r="Q201" t="s">
        <v>154</v>
      </c>
      <c r="R201" t="s">
        <v>135</v>
      </c>
      <c r="T201" t="s">
        <v>191</v>
      </c>
      <c r="U201" t="s">
        <v>187</v>
      </c>
      <c r="V201" t="s">
        <v>138</v>
      </c>
      <c r="W201" t="s">
        <v>139</v>
      </c>
      <c r="X201" t="s">
        <v>133</v>
      </c>
      <c r="Z201">
        <v>2</v>
      </c>
      <c r="AA201">
        <v>2</v>
      </c>
      <c r="AB201">
        <v>2</v>
      </c>
      <c r="AD201">
        <v>0</v>
      </c>
      <c r="AE201">
        <v>0</v>
      </c>
      <c r="AF201" t="s">
        <v>133</v>
      </c>
      <c r="AG201" t="s">
        <v>139</v>
      </c>
      <c r="AH201" t="s">
        <v>201</v>
      </c>
      <c r="AI201" s="4">
        <v>4</v>
      </c>
      <c r="AJ201" s="4">
        <v>14</v>
      </c>
      <c r="AK201" s="4">
        <v>0</v>
      </c>
      <c r="AL201" s="4">
        <v>18</v>
      </c>
      <c r="AM201" t="s">
        <v>401</v>
      </c>
    </row>
    <row r="202" spans="1:39" x14ac:dyDescent="0.3">
      <c r="A202" t="s">
        <v>127</v>
      </c>
      <c r="B202">
        <v>34</v>
      </c>
      <c r="C202">
        <v>6237</v>
      </c>
      <c r="D202" t="s">
        <v>128</v>
      </c>
      <c r="E202">
        <v>3</v>
      </c>
      <c r="F202" t="s">
        <v>387</v>
      </c>
      <c r="G202" t="s">
        <v>130</v>
      </c>
      <c r="H202" t="s">
        <v>144</v>
      </c>
      <c r="I202">
        <v>8</v>
      </c>
      <c r="J202">
        <v>1</v>
      </c>
      <c r="K202">
        <v>0</v>
      </c>
      <c r="L202" t="s">
        <v>132</v>
      </c>
      <c r="N202" t="s">
        <v>133</v>
      </c>
      <c r="O202">
        <v>84</v>
      </c>
      <c r="P202">
        <v>34</v>
      </c>
      <c r="Q202" t="s">
        <v>145</v>
      </c>
      <c r="R202" t="s">
        <v>146</v>
      </c>
      <c r="S202" t="s">
        <v>147</v>
      </c>
      <c r="T202" t="s">
        <v>148</v>
      </c>
      <c r="U202" t="s">
        <v>149</v>
      </c>
      <c r="V202" t="s">
        <v>133</v>
      </c>
      <c r="W202" t="s">
        <v>139</v>
      </c>
      <c r="X202" t="s">
        <v>133</v>
      </c>
      <c r="Z202">
        <v>5</v>
      </c>
      <c r="AA202">
        <v>3</v>
      </c>
      <c r="AB202">
        <v>3</v>
      </c>
      <c r="AD202">
        <v>0</v>
      </c>
      <c r="AE202">
        <v>0</v>
      </c>
      <c r="AF202" t="s">
        <v>133</v>
      </c>
      <c r="AG202" t="s">
        <v>130</v>
      </c>
      <c r="AH202" t="s">
        <v>254</v>
      </c>
      <c r="AI202" s="4">
        <v>1</v>
      </c>
      <c r="AJ202" s="4">
        <v>84</v>
      </c>
      <c r="AK202" s="4">
        <v>0</v>
      </c>
      <c r="AL202" s="4">
        <v>85</v>
      </c>
      <c r="AM202" t="s">
        <v>402</v>
      </c>
    </row>
    <row r="203" spans="1:39" x14ac:dyDescent="0.3">
      <c r="A203" t="s">
        <v>127</v>
      </c>
      <c r="B203">
        <v>34</v>
      </c>
      <c r="C203">
        <v>4143</v>
      </c>
      <c r="D203" t="s">
        <v>161</v>
      </c>
      <c r="E203">
        <v>1</v>
      </c>
      <c r="F203" t="s">
        <v>389</v>
      </c>
      <c r="G203" t="s">
        <v>130</v>
      </c>
      <c r="H203" t="s">
        <v>153</v>
      </c>
      <c r="I203">
        <v>7</v>
      </c>
      <c r="J203">
        <v>48</v>
      </c>
      <c r="K203">
        <v>10</v>
      </c>
      <c r="L203" t="s">
        <v>165</v>
      </c>
      <c r="M203" t="s">
        <v>166</v>
      </c>
      <c r="N203" t="s">
        <v>133</v>
      </c>
      <c r="O203">
        <v>149</v>
      </c>
      <c r="P203">
        <v>32</v>
      </c>
      <c r="Q203" t="s">
        <v>145</v>
      </c>
      <c r="R203" t="s">
        <v>146</v>
      </c>
      <c r="S203" t="s">
        <v>147</v>
      </c>
      <c r="T203" t="s">
        <v>148</v>
      </c>
      <c r="U203" t="s">
        <v>149</v>
      </c>
      <c r="V203" t="s">
        <v>133</v>
      </c>
      <c r="W203" t="s">
        <v>139</v>
      </c>
      <c r="X203" t="s">
        <v>133</v>
      </c>
      <c r="Z203">
        <v>5</v>
      </c>
      <c r="AA203">
        <v>5</v>
      </c>
      <c r="AB203">
        <v>3</v>
      </c>
      <c r="AD203">
        <v>0</v>
      </c>
      <c r="AE203">
        <v>0</v>
      </c>
      <c r="AF203" t="s">
        <v>133</v>
      </c>
      <c r="AG203" t="s">
        <v>130</v>
      </c>
      <c r="AH203" t="s">
        <v>218</v>
      </c>
      <c r="AI203" s="4">
        <v>48</v>
      </c>
      <c r="AJ203" s="4">
        <v>149</v>
      </c>
      <c r="AK203" s="4">
        <v>0</v>
      </c>
      <c r="AL203" s="4">
        <v>197</v>
      </c>
      <c r="AM203" t="s">
        <v>403</v>
      </c>
    </row>
    <row r="204" spans="1:39" x14ac:dyDescent="0.3">
      <c r="A204" t="s">
        <v>127</v>
      </c>
      <c r="B204">
        <v>34</v>
      </c>
      <c r="C204">
        <v>4645</v>
      </c>
      <c r="D204" t="s">
        <v>161</v>
      </c>
      <c r="E204">
        <v>2</v>
      </c>
      <c r="F204" t="s">
        <v>391</v>
      </c>
      <c r="G204" t="s">
        <v>130</v>
      </c>
      <c r="H204" t="s">
        <v>153</v>
      </c>
      <c r="I204">
        <v>8</v>
      </c>
      <c r="J204">
        <v>2</v>
      </c>
      <c r="K204">
        <v>0</v>
      </c>
      <c r="L204" t="s">
        <v>132</v>
      </c>
      <c r="N204" t="s">
        <v>133</v>
      </c>
      <c r="O204">
        <v>66</v>
      </c>
      <c r="P204">
        <v>16</v>
      </c>
      <c r="Q204" t="s">
        <v>154</v>
      </c>
      <c r="R204" t="s">
        <v>155</v>
      </c>
      <c r="S204" t="s">
        <v>156</v>
      </c>
      <c r="T204" t="s">
        <v>157</v>
      </c>
      <c r="U204" t="s">
        <v>158</v>
      </c>
      <c r="V204" t="s">
        <v>133</v>
      </c>
      <c r="W204" t="s">
        <v>139</v>
      </c>
      <c r="X204" t="s">
        <v>133</v>
      </c>
      <c r="Z204">
        <v>4</v>
      </c>
      <c r="AA204">
        <v>3</v>
      </c>
      <c r="AB204">
        <v>3</v>
      </c>
      <c r="AD204">
        <v>1</v>
      </c>
      <c r="AE204">
        <v>0</v>
      </c>
      <c r="AF204" t="s">
        <v>133</v>
      </c>
      <c r="AG204" t="s">
        <v>140</v>
      </c>
      <c r="AH204" t="s">
        <v>175</v>
      </c>
      <c r="AI204" s="4">
        <v>2</v>
      </c>
      <c r="AJ204" s="4">
        <v>66</v>
      </c>
      <c r="AK204" s="4">
        <v>0</v>
      </c>
      <c r="AL204" s="4">
        <v>68</v>
      </c>
      <c r="AM204" t="s">
        <v>404</v>
      </c>
    </row>
    <row r="205" spans="1:39" x14ac:dyDescent="0.3">
      <c r="A205" t="s">
        <v>127</v>
      </c>
      <c r="B205">
        <v>34</v>
      </c>
      <c r="C205">
        <v>7417</v>
      </c>
      <c r="D205" t="s">
        <v>161</v>
      </c>
      <c r="E205">
        <v>3</v>
      </c>
      <c r="F205" t="s">
        <v>392</v>
      </c>
      <c r="G205" t="s">
        <v>130</v>
      </c>
      <c r="H205" t="s">
        <v>144</v>
      </c>
      <c r="I205">
        <v>8</v>
      </c>
      <c r="J205">
        <v>9</v>
      </c>
      <c r="K205">
        <v>5</v>
      </c>
      <c r="L205" t="s">
        <v>165</v>
      </c>
      <c r="M205" t="s">
        <v>180</v>
      </c>
      <c r="N205" t="s">
        <v>133</v>
      </c>
      <c r="O205">
        <v>14</v>
      </c>
      <c r="P205">
        <v>7</v>
      </c>
      <c r="Q205" t="s">
        <v>134</v>
      </c>
      <c r="R205" t="s">
        <v>135</v>
      </c>
      <c r="T205" t="s">
        <v>136</v>
      </c>
      <c r="U205" t="s">
        <v>137</v>
      </c>
      <c r="V205" t="s">
        <v>170</v>
      </c>
      <c r="W205" t="s">
        <v>139</v>
      </c>
      <c r="X205" t="s">
        <v>133</v>
      </c>
      <c r="Z205">
        <v>1</v>
      </c>
      <c r="AA205">
        <v>3</v>
      </c>
      <c r="AB205">
        <v>2</v>
      </c>
      <c r="AD205">
        <v>0</v>
      </c>
      <c r="AE205">
        <v>0</v>
      </c>
      <c r="AF205" t="s">
        <v>133</v>
      </c>
      <c r="AG205" t="s">
        <v>139</v>
      </c>
      <c r="AI205" s="4">
        <v>9</v>
      </c>
      <c r="AJ205" s="4">
        <v>14</v>
      </c>
      <c r="AK205" s="4">
        <v>0</v>
      </c>
      <c r="AL205" s="4">
        <v>23</v>
      </c>
      <c r="AM205" t="s">
        <v>402</v>
      </c>
    </row>
    <row r="206" spans="1:39" x14ac:dyDescent="0.3">
      <c r="A206" t="s">
        <v>127</v>
      </c>
      <c r="B206">
        <v>35</v>
      </c>
      <c r="C206">
        <v>5442</v>
      </c>
      <c r="D206" t="s">
        <v>128</v>
      </c>
      <c r="E206">
        <v>1</v>
      </c>
      <c r="F206" t="s">
        <v>383</v>
      </c>
      <c r="G206" t="s">
        <v>130</v>
      </c>
      <c r="H206" t="s">
        <v>153</v>
      </c>
      <c r="I206">
        <v>8</v>
      </c>
      <c r="J206">
        <v>2</v>
      </c>
      <c r="K206">
        <v>1</v>
      </c>
      <c r="L206" t="s">
        <v>132</v>
      </c>
      <c r="N206" t="s">
        <v>133</v>
      </c>
      <c r="O206">
        <v>20</v>
      </c>
      <c r="P206">
        <v>9</v>
      </c>
      <c r="Q206" t="s">
        <v>154</v>
      </c>
      <c r="R206" t="s">
        <v>155</v>
      </c>
      <c r="S206" t="s">
        <v>156</v>
      </c>
      <c r="T206" t="s">
        <v>157</v>
      </c>
      <c r="U206" t="s">
        <v>187</v>
      </c>
      <c r="V206" t="s">
        <v>133</v>
      </c>
      <c r="W206" t="s">
        <v>139</v>
      </c>
      <c r="X206" t="s">
        <v>133</v>
      </c>
      <c r="Z206">
        <v>3</v>
      </c>
      <c r="AA206">
        <v>3</v>
      </c>
      <c r="AB206">
        <v>2</v>
      </c>
      <c r="AC206" t="s">
        <v>159</v>
      </c>
      <c r="AD206">
        <v>1</v>
      </c>
      <c r="AE206">
        <v>0</v>
      </c>
      <c r="AF206" t="s">
        <v>133</v>
      </c>
      <c r="AG206" t="s">
        <v>140</v>
      </c>
      <c r="AI206" s="4">
        <v>2</v>
      </c>
      <c r="AJ206" s="4">
        <v>20</v>
      </c>
      <c r="AK206" s="4">
        <v>0</v>
      </c>
      <c r="AL206" s="4">
        <v>22</v>
      </c>
      <c r="AM206" t="s">
        <v>405</v>
      </c>
    </row>
    <row r="207" spans="1:39" x14ac:dyDescent="0.3">
      <c r="A207" t="s">
        <v>127</v>
      </c>
      <c r="B207">
        <v>35</v>
      </c>
      <c r="C207">
        <v>3067</v>
      </c>
      <c r="D207" t="s">
        <v>128</v>
      </c>
      <c r="E207">
        <v>2</v>
      </c>
      <c r="F207" t="s">
        <v>385</v>
      </c>
      <c r="G207" t="s">
        <v>130</v>
      </c>
      <c r="H207" t="s">
        <v>153</v>
      </c>
      <c r="I207">
        <v>8</v>
      </c>
      <c r="J207">
        <v>6</v>
      </c>
      <c r="K207">
        <v>1</v>
      </c>
      <c r="L207" t="s">
        <v>132</v>
      </c>
      <c r="N207" t="s">
        <v>133</v>
      </c>
      <c r="O207">
        <v>55</v>
      </c>
      <c r="P207">
        <v>7</v>
      </c>
      <c r="Q207" t="s">
        <v>145</v>
      </c>
      <c r="R207" t="s">
        <v>155</v>
      </c>
      <c r="S207" t="s">
        <v>178</v>
      </c>
      <c r="T207" t="s">
        <v>157</v>
      </c>
      <c r="U207" t="s">
        <v>158</v>
      </c>
      <c r="V207" t="s">
        <v>133</v>
      </c>
      <c r="W207" t="s">
        <v>139</v>
      </c>
      <c r="X207" t="s">
        <v>133</v>
      </c>
      <c r="Z207">
        <v>3</v>
      </c>
      <c r="AA207">
        <v>4</v>
      </c>
      <c r="AB207">
        <v>5</v>
      </c>
      <c r="AC207" t="s">
        <v>272</v>
      </c>
      <c r="AD207">
        <v>0</v>
      </c>
      <c r="AE207">
        <v>0</v>
      </c>
      <c r="AF207" t="s">
        <v>133</v>
      </c>
      <c r="AG207" t="s">
        <v>130</v>
      </c>
      <c r="AH207" t="s">
        <v>175</v>
      </c>
      <c r="AI207" s="4">
        <v>6</v>
      </c>
      <c r="AJ207" s="4">
        <v>55</v>
      </c>
      <c r="AK207" s="4">
        <v>0</v>
      </c>
      <c r="AL207" s="4">
        <v>61</v>
      </c>
      <c r="AM207" t="s">
        <v>406</v>
      </c>
    </row>
    <row r="208" spans="1:39" x14ac:dyDescent="0.3">
      <c r="A208" t="s">
        <v>127</v>
      </c>
      <c r="B208">
        <v>35</v>
      </c>
      <c r="C208">
        <v>4423</v>
      </c>
      <c r="D208" t="s">
        <v>128</v>
      </c>
      <c r="E208">
        <v>3</v>
      </c>
      <c r="F208" t="s">
        <v>387</v>
      </c>
      <c r="G208" t="s">
        <v>130</v>
      </c>
      <c r="H208" t="s">
        <v>144</v>
      </c>
      <c r="I208">
        <v>8</v>
      </c>
      <c r="J208">
        <v>1</v>
      </c>
      <c r="K208">
        <v>0</v>
      </c>
      <c r="L208" t="s">
        <v>132</v>
      </c>
      <c r="N208" t="s">
        <v>133</v>
      </c>
      <c r="O208">
        <v>72</v>
      </c>
      <c r="P208">
        <v>32</v>
      </c>
      <c r="Q208" t="s">
        <v>145</v>
      </c>
      <c r="R208" t="s">
        <v>155</v>
      </c>
      <c r="S208" t="s">
        <v>147</v>
      </c>
      <c r="T208" t="s">
        <v>148</v>
      </c>
      <c r="U208" t="s">
        <v>158</v>
      </c>
      <c r="V208" t="s">
        <v>133</v>
      </c>
      <c r="W208" t="s">
        <v>139</v>
      </c>
      <c r="X208" t="s">
        <v>195</v>
      </c>
      <c r="Y208" t="s">
        <v>323</v>
      </c>
      <c r="Z208">
        <v>4</v>
      </c>
      <c r="AA208">
        <v>4</v>
      </c>
      <c r="AB208">
        <v>4</v>
      </c>
      <c r="AD208">
        <v>0</v>
      </c>
      <c r="AE208">
        <v>0</v>
      </c>
      <c r="AF208" t="s">
        <v>133</v>
      </c>
      <c r="AG208" t="s">
        <v>140</v>
      </c>
      <c r="AH208" t="s">
        <v>407</v>
      </c>
      <c r="AI208" s="4">
        <v>1</v>
      </c>
      <c r="AJ208" s="4">
        <v>72</v>
      </c>
      <c r="AK208" s="4">
        <v>10</v>
      </c>
      <c r="AL208" s="4">
        <v>83</v>
      </c>
      <c r="AM208" t="s">
        <v>408</v>
      </c>
    </row>
    <row r="209" spans="1:39" x14ac:dyDescent="0.3">
      <c r="A209" t="s">
        <v>127</v>
      </c>
      <c r="B209">
        <v>35</v>
      </c>
      <c r="C209">
        <v>4096</v>
      </c>
      <c r="D209" t="s">
        <v>161</v>
      </c>
      <c r="E209">
        <v>1</v>
      </c>
      <c r="F209" t="s">
        <v>389</v>
      </c>
      <c r="G209" t="s">
        <v>130</v>
      </c>
      <c r="H209" t="s">
        <v>131</v>
      </c>
      <c r="I209">
        <v>8</v>
      </c>
      <c r="J209">
        <v>9</v>
      </c>
      <c r="K209">
        <v>2</v>
      </c>
      <c r="L209" t="s">
        <v>174</v>
      </c>
      <c r="M209" t="s">
        <v>180</v>
      </c>
      <c r="N209" t="s">
        <v>133</v>
      </c>
      <c r="O209">
        <v>73</v>
      </c>
      <c r="P209">
        <v>13</v>
      </c>
      <c r="Q209" t="s">
        <v>145</v>
      </c>
      <c r="R209" t="s">
        <v>155</v>
      </c>
      <c r="S209" t="s">
        <v>147</v>
      </c>
      <c r="T209" t="s">
        <v>148</v>
      </c>
      <c r="U209" t="s">
        <v>158</v>
      </c>
      <c r="V209" t="s">
        <v>133</v>
      </c>
      <c r="W209" t="s">
        <v>139</v>
      </c>
      <c r="X209" t="s">
        <v>133</v>
      </c>
      <c r="Z209">
        <v>3</v>
      </c>
      <c r="AA209">
        <v>2</v>
      </c>
      <c r="AB209">
        <v>5</v>
      </c>
      <c r="AD209">
        <v>0</v>
      </c>
      <c r="AE209">
        <v>0</v>
      </c>
      <c r="AF209" t="s">
        <v>133</v>
      </c>
      <c r="AG209" t="s">
        <v>140</v>
      </c>
      <c r="AH209" t="s">
        <v>171</v>
      </c>
      <c r="AI209" s="4">
        <v>9</v>
      </c>
      <c r="AJ209" s="4">
        <v>73</v>
      </c>
      <c r="AK209" s="4">
        <v>0</v>
      </c>
      <c r="AL209" s="4">
        <v>82</v>
      </c>
      <c r="AM209" t="s">
        <v>409</v>
      </c>
    </row>
    <row r="210" spans="1:39" x14ac:dyDescent="0.3">
      <c r="A210" t="s">
        <v>127</v>
      </c>
      <c r="B210">
        <v>35</v>
      </c>
      <c r="C210">
        <v>6651</v>
      </c>
      <c r="D210" t="s">
        <v>161</v>
      </c>
      <c r="E210">
        <v>2</v>
      </c>
      <c r="F210" t="s">
        <v>391</v>
      </c>
      <c r="G210" t="s">
        <v>130</v>
      </c>
      <c r="H210" t="s">
        <v>144</v>
      </c>
      <c r="I210">
        <v>8</v>
      </c>
      <c r="J210">
        <v>10</v>
      </c>
      <c r="K210">
        <v>4</v>
      </c>
      <c r="L210" t="s">
        <v>165</v>
      </c>
      <c r="M210" t="s">
        <v>166</v>
      </c>
      <c r="N210" t="s">
        <v>133</v>
      </c>
      <c r="O210">
        <v>11</v>
      </c>
      <c r="P210">
        <v>4</v>
      </c>
      <c r="Q210" t="s">
        <v>154</v>
      </c>
      <c r="R210" t="s">
        <v>135</v>
      </c>
      <c r="T210" t="s">
        <v>157</v>
      </c>
      <c r="U210" t="s">
        <v>187</v>
      </c>
      <c r="V210" t="s">
        <v>170</v>
      </c>
      <c r="W210" t="s">
        <v>139</v>
      </c>
      <c r="X210" t="s">
        <v>133</v>
      </c>
      <c r="Z210">
        <v>2</v>
      </c>
      <c r="AA210">
        <v>2</v>
      </c>
      <c r="AB210">
        <v>4</v>
      </c>
      <c r="AD210">
        <v>0</v>
      </c>
      <c r="AE210">
        <v>0</v>
      </c>
      <c r="AF210" t="s">
        <v>133</v>
      </c>
      <c r="AG210" t="s">
        <v>139</v>
      </c>
      <c r="AI210" s="4">
        <v>10</v>
      </c>
      <c r="AJ210" s="4">
        <v>11</v>
      </c>
      <c r="AK210" s="4">
        <v>0</v>
      </c>
      <c r="AL210" s="4">
        <v>21</v>
      </c>
      <c r="AM210" t="s">
        <v>410</v>
      </c>
    </row>
    <row r="211" spans="1:39" x14ac:dyDescent="0.3">
      <c r="A211" t="s">
        <v>127</v>
      </c>
      <c r="B211">
        <v>35</v>
      </c>
      <c r="C211">
        <v>1756</v>
      </c>
      <c r="D211" t="s">
        <v>161</v>
      </c>
      <c r="E211">
        <v>3</v>
      </c>
      <c r="F211" t="s">
        <v>392</v>
      </c>
      <c r="G211" t="s">
        <v>130</v>
      </c>
      <c r="H211" t="s">
        <v>131</v>
      </c>
      <c r="I211">
        <v>8</v>
      </c>
      <c r="J211">
        <v>16</v>
      </c>
      <c r="K211">
        <v>3</v>
      </c>
      <c r="L211" t="s">
        <v>174</v>
      </c>
      <c r="M211" t="s">
        <v>180</v>
      </c>
      <c r="N211" t="s">
        <v>133</v>
      </c>
      <c r="O211">
        <v>156</v>
      </c>
      <c r="P211">
        <v>29</v>
      </c>
      <c r="Q211" t="s">
        <v>145</v>
      </c>
      <c r="R211" t="s">
        <v>146</v>
      </c>
      <c r="S211" t="s">
        <v>147</v>
      </c>
      <c r="T211" t="s">
        <v>148</v>
      </c>
      <c r="U211" t="s">
        <v>149</v>
      </c>
      <c r="V211" t="s">
        <v>133</v>
      </c>
      <c r="W211" t="s">
        <v>139</v>
      </c>
      <c r="X211" t="s">
        <v>133</v>
      </c>
      <c r="Z211">
        <v>4</v>
      </c>
      <c r="AA211">
        <v>5</v>
      </c>
      <c r="AB211">
        <v>4</v>
      </c>
      <c r="AD211">
        <v>0</v>
      </c>
      <c r="AE211">
        <v>0</v>
      </c>
      <c r="AF211" t="s">
        <v>133</v>
      </c>
      <c r="AG211" t="s">
        <v>130</v>
      </c>
      <c r="AH211" t="s">
        <v>319</v>
      </c>
      <c r="AI211" s="4">
        <v>16</v>
      </c>
      <c r="AJ211" s="4">
        <v>156</v>
      </c>
      <c r="AK211" s="4">
        <v>0</v>
      </c>
      <c r="AL211" s="4">
        <v>172</v>
      </c>
      <c r="AM211" t="s">
        <v>411</v>
      </c>
    </row>
    <row r="212" spans="1:39" x14ac:dyDescent="0.3">
      <c r="A212" t="s">
        <v>127</v>
      </c>
      <c r="B212">
        <v>36</v>
      </c>
      <c r="C212">
        <v>4655</v>
      </c>
      <c r="D212" t="s">
        <v>128</v>
      </c>
      <c r="E212">
        <v>1</v>
      </c>
      <c r="F212" t="s">
        <v>383</v>
      </c>
      <c r="G212" t="s">
        <v>130</v>
      </c>
      <c r="H212" t="s">
        <v>131</v>
      </c>
      <c r="I212">
        <v>8</v>
      </c>
      <c r="J212">
        <v>35</v>
      </c>
      <c r="K212">
        <v>8</v>
      </c>
      <c r="L212" t="s">
        <v>174</v>
      </c>
      <c r="M212" t="s">
        <v>180</v>
      </c>
      <c r="N212" t="s">
        <v>133</v>
      </c>
      <c r="O212">
        <v>24</v>
      </c>
      <c r="P212">
        <v>6</v>
      </c>
      <c r="Q212" t="s">
        <v>145</v>
      </c>
      <c r="R212" t="s">
        <v>155</v>
      </c>
      <c r="S212" t="s">
        <v>147</v>
      </c>
      <c r="T212" t="s">
        <v>148</v>
      </c>
      <c r="U212" t="s">
        <v>158</v>
      </c>
      <c r="V212" t="s">
        <v>133</v>
      </c>
      <c r="W212" t="s">
        <v>139</v>
      </c>
      <c r="X212" t="s">
        <v>133</v>
      </c>
      <c r="Z212">
        <v>4</v>
      </c>
      <c r="AA212">
        <v>3</v>
      </c>
      <c r="AB212">
        <v>4</v>
      </c>
      <c r="AC212" t="s">
        <v>258</v>
      </c>
      <c r="AD212">
        <v>0</v>
      </c>
      <c r="AE212">
        <v>0</v>
      </c>
      <c r="AF212" t="s">
        <v>133</v>
      </c>
      <c r="AG212" t="s">
        <v>140</v>
      </c>
      <c r="AH212" t="s">
        <v>183</v>
      </c>
      <c r="AI212" s="4">
        <v>35</v>
      </c>
      <c r="AJ212" s="4">
        <v>24</v>
      </c>
      <c r="AK212" s="4">
        <v>0</v>
      </c>
      <c r="AL212" s="4">
        <v>59</v>
      </c>
      <c r="AM212" t="s">
        <v>412</v>
      </c>
    </row>
    <row r="213" spans="1:39" x14ac:dyDescent="0.3">
      <c r="A213" t="s">
        <v>127</v>
      </c>
      <c r="B213">
        <v>36</v>
      </c>
      <c r="C213">
        <v>4156</v>
      </c>
      <c r="D213" t="s">
        <v>128</v>
      </c>
      <c r="E213">
        <v>2</v>
      </c>
      <c r="F213" t="s">
        <v>385</v>
      </c>
      <c r="G213" t="s">
        <v>130</v>
      </c>
      <c r="H213" t="s">
        <v>131</v>
      </c>
      <c r="I213">
        <v>8</v>
      </c>
      <c r="J213">
        <v>3</v>
      </c>
      <c r="K213">
        <v>1</v>
      </c>
      <c r="L213" t="s">
        <v>132</v>
      </c>
      <c r="N213" t="s">
        <v>133</v>
      </c>
      <c r="O213">
        <v>12</v>
      </c>
      <c r="P213">
        <v>5</v>
      </c>
      <c r="Q213" t="s">
        <v>134</v>
      </c>
      <c r="R213" t="s">
        <v>135</v>
      </c>
      <c r="T213" t="s">
        <v>136</v>
      </c>
      <c r="U213" t="s">
        <v>137</v>
      </c>
      <c r="V213" t="s">
        <v>133</v>
      </c>
      <c r="W213" t="s">
        <v>139</v>
      </c>
      <c r="X213" t="s">
        <v>133</v>
      </c>
      <c r="Z213">
        <v>1</v>
      </c>
      <c r="AA213">
        <v>1</v>
      </c>
      <c r="AB213">
        <v>4</v>
      </c>
      <c r="AC213" t="s">
        <v>159</v>
      </c>
      <c r="AD213">
        <v>0</v>
      </c>
      <c r="AE213">
        <v>0</v>
      </c>
      <c r="AF213" t="s">
        <v>133</v>
      </c>
      <c r="AG213" t="s">
        <v>139</v>
      </c>
      <c r="AI213" s="4">
        <v>3</v>
      </c>
      <c r="AJ213" s="4">
        <v>12</v>
      </c>
      <c r="AK213" s="4">
        <v>0</v>
      </c>
      <c r="AL213" s="4">
        <v>15</v>
      </c>
      <c r="AM213" t="s">
        <v>413</v>
      </c>
    </row>
    <row r="214" spans="1:39" x14ac:dyDescent="0.3">
      <c r="A214" t="s">
        <v>127</v>
      </c>
      <c r="B214">
        <v>36</v>
      </c>
      <c r="C214">
        <v>7848</v>
      </c>
      <c r="D214" t="s">
        <v>128</v>
      </c>
      <c r="E214">
        <v>3</v>
      </c>
      <c r="F214" t="s">
        <v>387</v>
      </c>
      <c r="G214" t="s">
        <v>130</v>
      </c>
      <c r="H214" t="s">
        <v>144</v>
      </c>
      <c r="I214">
        <v>8</v>
      </c>
      <c r="J214">
        <v>6</v>
      </c>
      <c r="K214">
        <v>2</v>
      </c>
      <c r="L214" t="s">
        <v>132</v>
      </c>
      <c r="N214" t="s">
        <v>133</v>
      </c>
      <c r="O214">
        <v>97</v>
      </c>
      <c r="P214">
        <v>31</v>
      </c>
      <c r="Q214" t="s">
        <v>145</v>
      </c>
      <c r="R214" t="s">
        <v>155</v>
      </c>
      <c r="S214" t="s">
        <v>156</v>
      </c>
      <c r="T214" t="s">
        <v>157</v>
      </c>
      <c r="U214" t="s">
        <v>158</v>
      </c>
      <c r="V214" t="s">
        <v>133</v>
      </c>
      <c r="W214" t="s">
        <v>139</v>
      </c>
      <c r="X214" t="s">
        <v>133</v>
      </c>
      <c r="Z214">
        <v>3</v>
      </c>
      <c r="AA214">
        <v>4</v>
      </c>
      <c r="AB214">
        <v>4</v>
      </c>
      <c r="AD214">
        <v>0</v>
      </c>
      <c r="AE214">
        <v>0</v>
      </c>
      <c r="AF214" t="s">
        <v>133</v>
      </c>
      <c r="AG214" t="s">
        <v>130</v>
      </c>
      <c r="AH214" t="s">
        <v>319</v>
      </c>
      <c r="AI214" s="4">
        <v>6</v>
      </c>
      <c r="AJ214" s="4">
        <v>97</v>
      </c>
      <c r="AK214" s="4">
        <v>0</v>
      </c>
      <c r="AL214" s="4">
        <v>103</v>
      </c>
      <c r="AM214" t="s">
        <v>414</v>
      </c>
    </row>
    <row r="215" spans="1:39" x14ac:dyDescent="0.3">
      <c r="A215" t="s">
        <v>127</v>
      </c>
      <c r="B215">
        <v>36</v>
      </c>
      <c r="C215">
        <v>4213</v>
      </c>
      <c r="D215" t="s">
        <v>161</v>
      </c>
      <c r="E215">
        <v>1</v>
      </c>
      <c r="F215" t="s">
        <v>389</v>
      </c>
      <c r="G215" t="s">
        <v>130</v>
      </c>
      <c r="H215" t="s">
        <v>153</v>
      </c>
      <c r="I215">
        <v>8</v>
      </c>
      <c r="J215">
        <v>2</v>
      </c>
      <c r="K215">
        <v>0</v>
      </c>
      <c r="L215" t="s">
        <v>132</v>
      </c>
      <c r="N215" t="s">
        <v>133</v>
      </c>
      <c r="O215">
        <v>50</v>
      </c>
      <c r="P215">
        <v>9</v>
      </c>
      <c r="Q215" t="s">
        <v>145</v>
      </c>
      <c r="R215" t="s">
        <v>155</v>
      </c>
      <c r="S215" t="s">
        <v>178</v>
      </c>
      <c r="T215" t="s">
        <v>157</v>
      </c>
      <c r="U215" t="s">
        <v>158</v>
      </c>
      <c r="V215" t="s">
        <v>133</v>
      </c>
      <c r="W215" t="s">
        <v>139</v>
      </c>
      <c r="X215" t="s">
        <v>133</v>
      </c>
      <c r="Z215">
        <v>4</v>
      </c>
      <c r="AA215">
        <v>3</v>
      </c>
      <c r="AB215">
        <v>3</v>
      </c>
      <c r="AD215">
        <v>2</v>
      </c>
      <c r="AE215">
        <v>0</v>
      </c>
      <c r="AF215" t="s">
        <v>133</v>
      </c>
      <c r="AG215" t="s">
        <v>140</v>
      </c>
      <c r="AH215" t="s">
        <v>175</v>
      </c>
      <c r="AI215" s="4">
        <v>2</v>
      </c>
      <c r="AJ215" s="4">
        <v>50</v>
      </c>
      <c r="AK215" s="4">
        <v>0</v>
      </c>
      <c r="AL215" s="4">
        <v>52</v>
      </c>
      <c r="AM215" t="s">
        <v>415</v>
      </c>
    </row>
    <row r="216" spans="1:39" x14ac:dyDescent="0.3">
      <c r="A216" t="s">
        <v>127</v>
      </c>
      <c r="B216">
        <v>36</v>
      </c>
      <c r="C216">
        <v>2861</v>
      </c>
      <c r="D216" t="s">
        <v>161</v>
      </c>
      <c r="E216">
        <v>2</v>
      </c>
      <c r="F216" t="s">
        <v>391</v>
      </c>
      <c r="G216" t="s">
        <v>130</v>
      </c>
      <c r="H216" t="s">
        <v>144</v>
      </c>
      <c r="I216">
        <v>8</v>
      </c>
      <c r="J216">
        <v>16</v>
      </c>
      <c r="K216">
        <v>4</v>
      </c>
      <c r="L216" t="s">
        <v>165</v>
      </c>
      <c r="M216" t="s">
        <v>166</v>
      </c>
      <c r="N216" t="s">
        <v>133</v>
      </c>
      <c r="O216">
        <v>73</v>
      </c>
      <c r="P216">
        <v>19</v>
      </c>
      <c r="Q216" t="s">
        <v>145</v>
      </c>
      <c r="R216" t="s">
        <v>146</v>
      </c>
      <c r="S216" t="s">
        <v>147</v>
      </c>
      <c r="T216" t="s">
        <v>148</v>
      </c>
      <c r="U216" t="s">
        <v>149</v>
      </c>
      <c r="V216" t="s">
        <v>133</v>
      </c>
      <c r="W216" t="s">
        <v>139</v>
      </c>
      <c r="X216" t="s">
        <v>133</v>
      </c>
      <c r="Z216">
        <v>5</v>
      </c>
      <c r="AA216">
        <v>5</v>
      </c>
      <c r="AB216">
        <v>4</v>
      </c>
      <c r="AC216" t="s">
        <v>233</v>
      </c>
      <c r="AD216">
        <v>1</v>
      </c>
      <c r="AE216">
        <v>0</v>
      </c>
      <c r="AF216" t="s">
        <v>133</v>
      </c>
      <c r="AG216" t="s">
        <v>130</v>
      </c>
      <c r="AH216" t="s">
        <v>167</v>
      </c>
      <c r="AI216" s="4">
        <v>16</v>
      </c>
      <c r="AJ216" s="4">
        <v>73</v>
      </c>
      <c r="AK216" s="4">
        <v>0</v>
      </c>
      <c r="AL216" s="4">
        <v>89</v>
      </c>
      <c r="AM216" t="s">
        <v>416</v>
      </c>
    </row>
    <row r="217" spans="1:39" x14ac:dyDescent="0.3">
      <c r="A217" t="s">
        <v>127</v>
      </c>
      <c r="B217">
        <v>36</v>
      </c>
      <c r="C217">
        <v>8719</v>
      </c>
      <c r="D217" t="s">
        <v>161</v>
      </c>
      <c r="E217">
        <v>3</v>
      </c>
      <c r="F217" t="s">
        <v>392</v>
      </c>
      <c r="G217" t="s">
        <v>130</v>
      </c>
      <c r="H217" t="s">
        <v>131</v>
      </c>
      <c r="I217">
        <v>5</v>
      </c>
      <c r="J217">
        <v>7</v>
      </c>
      <c r="K217">
        <v>4</v>
      </c>
      <c r="L217" t="s">
        <v>174</v>
      </c>
      <c r="M217" t="s">
        <v>166</v>
      </c>
      <c r="N217" t="s">
        <v>133</v>
      </c>
      <c r="O217">
        <v>4</v>
      </c>
      <c r="P217">
        <v>2</v>
      </c>
      <c r="Q217" t="s">
        <v>134</v>
      </c>
      <c r="R217" t="s">
        <v>135</v>
      </c>
      <c r="T217" t="s">
        <v>191</v>
      </c>
      <c r="U217" t="s">
        <v>137</v>
      </c>
      <c r="V217" t="s">
        <v>138</v>
      </c>
      <c r="W217" t="s">
        <v>139</v>
      </c>
      <c r="X217" t="s">
        <v>133</v>
      </c>
      <c r="Z217">
        <v>1</v>
      </c>
      <c r="AA217">
        <v>1</v>
      </c>
      <c r="AB217">
        <v>4</v>
      </c>
      <c r="AD217">
        <v>1</v>
      </c>
      <c r="AE217">
        <v>0</v>
      </c>
      <c r="AF217" t="s">
        <v>133</v>
      </c>
      <c r="AG217" t="s">
        <v>140</v>
      </c>
      <c r="AH217" t="s">
        <v>141</v>
      </c>
      <c r="AI217" s="4">
        <v>7</v>
      </c>
      <c r="AJ217" s="4">
        <v>4</v>
      </c>
      <c r="AK217" s="4">
        <v>0</v>
      </c>
      <c r="AL217" s="4">
        <v>11</v>
      </c>
      <c r="AM217" t="s">
        <v>417</v>
      </c>
    </row>
    <row r="218" spans="1:39" x14ac:dyDescent="0.3">
      <c r="A218" t="s">
        <v>127</v>
      </c>
      <c r="B218">
        <v>37</v>
      </c>
      <c r="C218">
        <v>2040</v>
      </c>
      <c r="D218" t="s">
        <v>128</v>
      </c>
      <c r="E218">
        <v>1</v>
      </c>
      <c r="F218" t="s">
        <v>383</v>
      </c>
      <c r="G218" t="s">
        <v>130</v>
      </c>
      <c r="H218" t="s">
        <v>144</v>
      </c>
      <c r="I218">
        <v>5</v>
      </c>
      <c r="J218">
        <v>23</v>
      </c>
      <c r="K218">
        <v>7</v>
      </c>
      <c r="L218" t="s">
        <v>165</v>
      </c>
      <c r="M218" t="s">
        <v>180</v>
      </c>
      <c r="N218" t="s">
        <v>133</v>
      </c>
      <c r="O218">
        <v>126</v>
      </c>
      <c r="P218">
        <v>38</v>
      </c>
      <c r="Q218" t="s">
        <v>145</v>
      </c>
      <c r="R218" t="s">
        <v>146</v>
      </c>
      <c r="S218" t="s">
        <v>147</v>
      </c>
      <c r="T218" t="s">
        <v>148</v>
      </c>
      <c r="U218" t="s">
        <v>149</v>
      </c>
      <c r="V218" t="s">
        <v>133</v>
      </c>
      <c r="W218" t="s">
        <v>170</v>
      </c>
      <c r="X218" t="s">
        <v>133</v>
      </c>
      <c r="Z218">
        <v>4</v>
      </c>
      <c r="AA218">
        <v>5</v>
      </c>
      <c r="AB218">
        <v>4</v>
      </c>
      <c r="AD218">
        <v>0</v>
      </c>
      <c r="AE218">
        <v>0</v>
      </c>
      <c r="AF218" t="s">
        <v>133</v>
      </c>
      <c r="AG218" t="s">
        <v>130</v>
      </c>
      <c r="AH218" t="s">
        <v>220</v>
      </c>
      <c r="AI218" s="4">
        <v>23</v>
      </c>
      <c r="AJ218" s="4">
        <v>126</v>
      </c>
      <c r="AK218" s="4">
        <v>0</v>
      </c>
      <c r="AL218" s="4">
        <v>149</v>
      </c>
      <c r="AM218" t="s">
        <v>418</v>
      </c>
    </row>
    <row r="219" spans="1:39" x14ac:dyDescent="0.3">
      <c r="A219" t="s">
        <v>127</v>
      </c>
      <c r="B219">
        <v>37</v>
      </c>
      <c r="C219">
        <v>7417</v>
      </c>
      <c r="D219" t="s">
        <v>128</v>
      </c>
      <c r="E219">
        <v>2</v>
      </c>
      <c r="F219" t="s">
        <v>385</v>
      </c>
      <c r="G219" t="s">
        <v>130</v>
      </c>
      <c r="H219" t="s">
        <v>144</v>
      </c>
      <c r="I219">
        <v>8</v>
      </c>
      <c r="J219">
        <v>9</v>
      </c>
      <c r="K219">
        <v>5</v>
      </c>
      <c r="L219" t="s">
        <v>174</v>
      </c>
      <c r="M219" t="s">
        <v>180</v>
      </c>
      <c r="N219" t="s">
        <v>133</v>
      </c>
      <c r="O219">
        <v>10</v>
      </c>
      <c r="P219">
        <v>5</v>
      </c>
      <c r="Q219" t="s">
        <v>134</v>
      </c>
      <c r="R219" t="s">
        <v>135</v>
      </c>
      <c r="T219" t="s">
        <v>136</v>
      </c>
      <c r="U219" t="s">
        <v>137</v>
      </c>
      <c r="V219" t="s">
        <v>133</v>
      </c>
      <c r="W219" t="s">
        <v>139</v>
      </c>
      <c r="X219" t="s">
        <v>133</v>
      </c>
      <c r="Z219">
        <v>2</v>
      </c>
      <c r="AA219">
        <v>1</v>
      </c>
      <c r="AB219">
        <v>2</v>
      </c>
      <c r="AC219" t="s">
        <v>233</v>
      </c>
      <c r="AD219">
        <v>0</v>
      </c>
      <c r="AE219">
        <v>0</v>
      </c>
      <c r="AF219" t="s">
        <v>133</v>
      </c>
      <c r="AG219" t="s">
        <v>139</v>
      </c>
      <c r="AI219" s="4">
        <v>9</v>
      </c>
      <c r="AJ219" s="4">
        <v>10</v>
      </c>
      <c r="AK219" s="4">
        <v>0</v>
      </c>
      <c r="AL219" s="4">
        <v>19</v>
      </c>
      <c r="AM219" t="s">
        <v>419</v>
      </c>
    </row>
    <row r="220" spans="1:39" x14ac:dyDescent="0.3">
      <c r="A220" t="s">
        <v>127</v>
      </c>
      <c r="B220">
        <v>37</v>
      </c>
      <c r="C220">
        <v>1736</v>
      </c>
      <c r="D220" t="s">
        <v>128</v>
      </c>
      <c r="E220">
        <v>3</v>
      </c>
      <c r="F220" t="s">
        <v>387</v>
      </c>
      <c r="G220" t="s">
        <v>130</v>
      </c>
      <c r="H220" t="s">
        <v>144</v>
      </c>
      <c r="I220">
        <v>5</v>
      </c>
      <c r="J220">
        <v>4</v>
      </c>
      <c r="K220">
        <v>2</v>
      </c>
      <c r="L220" t="s">
        <v>132</v>
      </c>
      <c r="N220" t="s">
        <v>133</v>
      </c>
      <c r="O220">
        <v>31</v>
      </c>
      <c r="P220">
        <v>16</v>
      </c>
      <c r="Q220" t="s">
        <v>154</v>
      </c>
      <c r="R220" t="s">
        <v>135</v>
      </c>
      <c r="S220" t="s">
        <v>156</v>
      </c>
      <c r="T220" t="s">
        <v>157</v>
      </c>
      <c r="U220" t="s">
        <v>187</v>
      </c>
      <c r="V220" t="s">
        <v>170</v>
      </c>
      <c r="W220" t="s">
        <v>139</v>
      </c>
      <c r="X220" t="s">
        <v>133</v>
      </c>
      <c r="Z220">
        <v>4</v>
      </c>
      <c r="AA220">
        <v>2</v>
      </c>
      <c r="AB220">
        <v>3</v>
      </c>
      <c r="AD220">
        <v>0</v>
      </c>
      <c r="AE220">
        <v>0</v>
      </c>
      <c r="AF220" t="s">
        <v>133</v>
      </c>
      <c r="AG220" t="s">
        <v>140</v>
      </c>
      <c r="AI220" s="4">
        <v>4</v>
      </c>
      <c r="AJ220" s="4">
        <v>31</v>
      </c>
      <c r="AK220" s="4">
        <v>0</v>
      </c>
      <c r="AL220" s="4">
        <v>35</v>
      </c>
      <c r="AM220" t="s">
        <v>420</v>
      </c>
    </row>
    <row r="221" spans="1:39" x14ac:dyDescent="0.3">
      <c r="A221" t="s">
        <v>127</v>
      </c>
      <c r="B221">
        <v>37</v>
      </c>
      <c r="C221">
        <v>7472</v>
      </c>
      <c r="D221" t="s">
        <v>161</v>
      </c>
      <c r="E221">
        <v>1</v>
      </c>
      <c r="F221" t="s">
        <v>389</v>
      </c>
      <c r="G221" t="s">
        <v>130</v>
      </c>
      <c r="H221" t="s">
        <v>131</v>
      </c>
      <c r="I221">
        <v>8</v>
      </c>
      <c r="J221">
        <v>6</v>
      </c>
      <c r="K221">
        <v>5</v>
      </c>
      <c r="L221" t="s">
        <v>132</v>
      </c>
      <c r="N221" t="s">
        <v>133</v>
      </c>
      <c r="O221">
        <v>6</v>
      </c>
      <c r="P221">
        <v>5</v>
      </c>
      <c r="Q221" t="s">
        <v>134</v>
      </c>
      <c r="R221" t="s">
        <v>135</v>
      </c>
      <c r="T221" t="s">
        <v>203</v>
      </c>
      <c r="U221" t="s">
        <v>137</v>
      </c>
      <c r="V221" t="s">
        <v>133</v>
      </c>
      <c r="W221" t="s">
        <v>139</v>
      </c>
      <c r="X221" t="s">
        <v>133</v>
      </c>
      <c r="Z221">
        <v>1</v>
      </c>
      <c r="AA221">
        <v>1</v>
      </c>
      <c r="AB221">
        <v>2</v>
      </c>
      <c r="AD221">
        <v>2</v>
      </c>
      <c r="AE221">
        <v>0</v>
      </c>
      <c r="AF221" t="s">
        <v>133</v>
      </c>
      <c r="AG221" t="s">
        <v>139</v>
      </c>
      <c r="AH221" t="s">
        <v>185</v>
      </c>
      <c r="AI221" s="4">
        <v>6</v>
      </c>
      <c r="AJ221" s="4">
        <v>6</v>
      </c>
      <c r="AK221" s="4">
        <v>0</v>
      </c>
      <c r="AL221" s="4">
        <v>12</v>
      </c>
      <c r="AM221" t="s">
        <v>421</v>
      </c>
    </row>
    <row r="222" spans="1:39" x14ac:dyDescent="0.3">
      <c r="A222" t="s">
        <v>127</v>
      </c>
      <c r="B222">
        <v>37</v>
      </c>
      <c r="C222">
        <v>9082</v>
      </c>
      <c r="D222" t="s">
        <v>161</v>
      </c>
      <c r="E222">
        <v>2</v>
      </c>
      <c r="F222" t="s">
        <v>391</v>
      </c>
      <c r="G222" t="s">
        <v>130</v>
      </c>
      <c r="H222" t="s">
        <v>131</v>
      </c>
      <c r="I222">
        <v>8</v>
      </c>
      <c r="J222">
        <v>6</v>
      </c>
      <c r="K222">
        <v>0</v>
      </c>
      <c r="L222" t="s">
        <v>132</v>
      </c>
      <c r="N222" t="s">
        <v>133</v>
      </c>
      <c r="O222">
        <v>106</v>
      </c>
      <c r="P222">
        <v>7</v>
      </c>
      <c r="Q222" t="s">
        <v>145</v>
      </c>
      <c r="R222" t="s">
        <v>146</v>
      </c>
      <c r="S222" t="s">
        <v>147</v>
      </c>
      <c r="T222" t="s">
        <v>148</v>
      </c>
      <c r="U222" t="s">
        <v>158</v>
      </c>
      <c r="V222" t="s">
        <v>133</v>
      </c>
      <c r="W222" t="s">
        <v>139</v>
      </c>
      <c r="X222" t="s">
        <v>133</v>
      </c>
      <c r="Z222">
        <v>5</v>
      </c>
      <c r="AA222">
        <v>5</v>
      </c>
      <c r="AB222">
        <v>5</v>
      </c>
      <c r="AD222">
        <v>1</v>
      </c>
      <c r="AE222">
        <v>0</v>
      </c>
      <c r="AF222" t="s">
        <v>133</v>
      </c>
      <c r="AG222" t="s">
        <v>130</v>
      </c>
      <c r="AH222" t="s">
        <v>227</v>
      </c>
      <c r="AI222" s="4">
        <v>6</v>
      </c>
      <c r="AJ222" s="4">
        <v>106</v>
      </c>
      <c r="AK222" s="4">
        <v>0</v>
      </c>
      <c r="AL222" s="4">
        <v>112</v>
      </c>
      <c r="AM222" t="s">
        <v>422</v>
      </c>
    </row>
    <row r="223" spans="1:39" x14ac:dyDescent="0.3">
      <c r="A223" t="s">
        <v>127</v>
      </c>
      <c r="B223">
        <v>37</v>
      </c>
      <c r="C223">
        <v>8096</v>
      </c>
      <c r="D223" t="s">
        <v>161</v>
      </c>
      <c r="E223">
        <v>3</v>
      </c>
      <c r="F223" t="s">
        <v>392</v>
      </c>
      <c r="G223" t="s">
        <v>130</v>
      </c>
      <c r="H223" t="s">
        <v>144</v>
      </c>
      <c r="I223">
        <v>8</v>
      </c>
      <c r="J223">
        <v>12</v>
      </c>
      <c r="K223">
        <v>7</v>
      </c>
      <c r="L223" t="s">
        <v>165</v>
      </c>
      <c r="M223" t="s">
        <v>180</v>
      </c>
      <c r="N223" t="s">
        <v>133</v>
      </c>
      <c r="O223">
        <v>78</v>
      </c>
      <c r="P223">
        <v>44</v>
      </c>
      <c r="Q223" t="s">
        <v>154</v>
      </c>
      <c r="R223" t="s">
        <v>155</v>
      </c>
      <c r="S223" t="s">
        <v>156</v>
      </c>
      <c r="T223" t="s">
        <v>157</v>
      </c>
      <c r="U223" t="s">
        <v>187</v>
      </c>
      <c r="V223" t="s">
        <v>133</v>
      </c>
      <c r="W223" t="s">
        <v>139</v>
      </c>
      <c r="X223" t="s">
        <v>133</v>
      </c>
      <c r="Z223">
        <v>4</v>
      </c>
      <c r="AA223">
        <v>2</v>
      </c>
      <c r="AB223">
        <v>2</v>
      </c>
      <c r="AD223">
        <v>0</v>
      </c>
      <c r="AE223">
        <v>0</v>
      </c>
      <c r="AF223" t="s">
        <v>133</v>
      </c>
      <c r="AG223" t="s">
        <v>139</v>
      </c>
      <c r="AH223" t="s">
        <v>175</v>
      </c>
      <c r="AI223" s="4">
        <v>12</v>
      </c>
      <c r="AJ223" s="4">
        <v>78</v>
      </c>
      <c r="AK223" s="4">
        <v>0</v>
      </c>
      <c r="AL223" s="4">
        <v>90</v>
      </c>
      <c r="AM223" t="s">
        <v>423</v>
      </c>
    </row>
    <row r="224" spans="1:39" x14ac:dyDescent="0.3">
      <c r="A224" t="s">
        <v>127</v>
      </c>
      <c r="B224">
        <v>38</v>
      </c>
      <c r="C224">
        <v>5442</v>
      </c>
      <c r="D224" t="s">
        <v>128</v>
      </c>
      <c r="E224">
        <v>1</v>
      </c>
      <c r="F224" t="s">
        <v>383</v>
      </c>
      <c r="G224" t="s">
        <v>130</v>
      </c>
      <c r="H224" t="s">
        <v>153</v>
      </c>
      <c r="I224">
        <v>8</v>
      </c>
      <c r="J224">
        <v>1</v>
      </c>
      <c r="K224">
        <v>1</v>
      </c>
      <c r="L224" t="s">
        <v>132</v>
      </c>
      <c r="N224" t="s">
        <v>133</v>
      </c>
      <c r="O224">
        <v>17</v>
      </c>
      <c r="P224">
        <v>9</v>
      </c>
      <c r="Q224" t="s">
        <v>154</v>
      </c>
      <c r="R224" t="s">
        <v>155</v>
      </c>
      <c r="S224" t="s">
        <v>156</v>
      </c>
      <c r="T224" t="s">
        <v>157</v>
      </c>
      <c r="U224" t="s">
        <v>187</v>
      </c>
      <c r="V224" t="s">
        <v>133</v>
      </c>
      <c r="W224" t="s">
        <v>139</v>
      </c>
      <c r="X224" t="s">
        <v>133</v>
      </c>
      <c r="Z224">
        <v>2</v>
      </c>
      <c r="AA224">
        <v>1</v>
      </c>
      <c r="AB224">
        <v>3</v>
      </c>
      <c r="AD224">
        <v>0</v>
      </c>
      <c r="AE224">
        <v>0</v>
      </c>
      <c r="AF224" t="s">
        <v>133</v>
      </c>
      <c r="AG224" t="s">
        <v>130</v>
      </c>
      <c r="AI224" s="4">
        <v>1</v>
      </c>
      <c r="AJ224" s="4">
        <v>17</v>
      </c>
      <c r="AK224" s="4">
        <v>0</v>
      </c>
      <c r="AL224" s="4">
        <v>18</v>
      </c>
      <c r="AM224" t="s">
        <v>424</v>
      </c>
    </row>
    <row r="225" spans="1:39" x14ac:dyDescent="0.3">
      <c r="A225" t="s">
        <v>127</v>
      </c>
      <c r="B225">
        <v>38</v>
      </c>
      <c r="C225">
        <v>1625</v>
      </c>
      <c r="D225" t="s">
        <v>128</v>
      </c>
      <c r="E225">
        <v>2</v>
      </c>
      <c r="F225" t="s">
        <v>385</v>
      </c>
      <c r="G225" t="s">
        <v>130</v>
      </c>
      <c r="H225" t="s">
        <v>153</v>
      </c>
      <c r="I225">
        <v>8</v>
      </c>
      <c r="J225">
        <v>16</v>
      </c>
      <c r="K225">
        <v>4</v>
      </c>
      <c r="L225" t="s">
        <v>174</v>
      </c>
      <c r="M225" t="s">
        <v>166</v>
      </c>
      <c r="N225" t="s">
        <v>133</v>
      </c>
      <c r="O225">
        <v>119</v>
      </c>
      <c r="P225">
        <v>28</v>
      </c>
      <c r="Q225" t="s">
        <v>145</v>
      </c>
      <c r="R225" t="s">
        <v>146</v>
      </c>
      <c r="S225" t="s">
        <v>147</v>
      </c>
      <c r="T225" t="s">
        <v>148</v>
      </c>
      <c r="U225" t="s">
        <v>149</v>
      </c>
      <c r="V225" t="s">
        <v>133</v>
      </c>
      <c r="W225" t="s">
        <v>139</v>
      </c>
      <c r="X225" t="s">
        <v>133</v>
      </c>
      <c r="Z225">
        <v>5</v>
      </c>
      <c r="AA225">
        <v>5</v>
      </c>
      <c r="AB225">
        <v>4</v>
      </c>
      <c r="AD225">
        <v>0</v>
      </c>
      <c r="AE225">
        <v>0</v>
      </c>
      <c r="AF225" t="s">
        <v>133</v>
      </c>
      <c r="AG225" t="s">
        <v>130</v>
      </c>
      <c r="AH225" t="s">
        <v>220</v>
      </c>
      <c r="AI225" s="4">
        <v>16</v>
      </c>
      <c r="AJ225" s="4">
        <v>119</v>
      </c>
      <c r="AK225" s="4">
        <v>0</v>
      </c>
      <c r="AL225" s="4">
        <v>135</v>
      </c>
      <c r="AM225" t="s">
        <v>425</v>
      </c>
    </row>
    <row r="226" spans="1:39" x14ac:dyDescent="0.3">
      <c r="A226" t="s">
        <v>127</v>
      </c>
      <c r="B226">
        <v>38</v>
      </c>
      <c r="C226">
        <v>8020</v>
      </c>
      <c r="D226" t="s">
        <v>128</v>
      </c>
      <c r="E226">
        <v>3</v>
      </c>
      <c r="F226" t="s">
        <v>387</v>
      </c>
      <c r="G226" t="s">
        <v>130</v>
      </c>
      <c r="H226" t="s">
        <v>131</v>
      </c>
      <c r="I226">
        <v>8</v>
      </c>
      <c r="J226">
        <v>29</v>
      </c>
      <c r="K226">
        <v>2</v>
      </c>
      <c r="L226" t="s">
        <v>174</v>
      </c>
      <c r="M226" t="s">
        <v>180</v>
      </c>
      <c r="N226" t="s">
        <v>133</v>
      </c>
      <c r="O226">
        <v>50</v>
      </c>
      <c r="P226">
        <v>4</v>
      </c>
      <c r="Q226" t="s">
        <v>145</v>
      </c>
      <c r="R226" t="s">
        <v>146</v>
      </c>
      <c r="S226" t="s">
        <v>147</v>
      </c>
      <c r="T226" t="s">
        <v>148</v>
      </c>
      <c r="U226" t="s">
        <v>149</v>
      </c>
      <c r="V226" t="s">
        <v>133</v>
      </c>
      <c r="W226" t="s">
        <v>181</v>
      </c>
      <c r="X226" t="s">
        <v>133</v>
      </c>
      <c r="Z226">
        <v>3</v>
      </c>
      <c r="AA226">
        <v>5</v>
      </c>
      <c r="AB226">
        <v>5</v>
      </c>
      <c r="AD226">
        <v>1</v>
      </c>
      <c r="AE226">
        <v>0</v>
      </c>
      <c r="AF226" t="s">
        <v>133</v>
      </c>
      <c r="AG226" t="s">
        <v>130</v>
      </c>
      <c r="AH226" t="s">
        <v>175</v>
      </c>
      <c r="AI226" s="4">
        <v>29</v>
      </c>
      <c r="AJ226" s="4">
        <v>50</v>
      </c>
      <c r="AK226" s="4">
        <v>0</v>
      </c>
      <c r="AL226" s="4">
        <v>79</v>
      </c>
      <c r="AM226" t="s">
        <v>426</v>
      </c>
    </row>
    <row r="227" spans="1:39" x14ac:dyDescent="0.3">
      <c r="A227" t="s">
        <v>127</v>
      </c>
      <c r="B227">
        <v>38</v>
      </c>
      <c r="C227">
        <v>4787</v>
      </c>
      <c r="D227" t="s">
        <v>161</v>
      </c>
      <c r="E227">
        <v>1</v>
      </c>
      <c r="F227" t="s">
        <v>389</v>
      </c>
      <c r="G227" t="s">
        <v>130</v>
      </c>
      <c r="H227" t="s">
        <v>153</v>
      </c>
      <c r="I227">
        <v>7</v>
      </c>
      <c r="J227">
        <v>1</v>
      </c>
      <c r="K227">
        <v>0</v>
      </c>
      <c r="L227" t="s">
        <v>132</v>
      </c>
      <c r="N227" t="s">
        <v>133</v>
      </c>
      <c r="O227">
        <v>27</v>
      </c>
      <c r="P227">
        <v>10</v>
      </c>
      <c r="Q227" t="s">
        <v>154</v>
      </c>
      <c r="R227" t="s">
        <v>155</v>
      </c>
      <c r="S227" t="s">
        <v>156</v>
      </c>
      <c r="T227" t="s">
        <v>157</v>
      </c>
      <c r="U227" t="s">
        <v>187</v>
      </c>
      <c r="V227" t="s">
        <v>133</v>
      </c>
      <c r="W227" t="s">
        <v>139</v>
      </c>
      <c r="X227" t="s">
        <v>133</v>
      </c>
      <c r="Z227">
        <v>2</v>
      </c>
      <c r="AA227">
        <v>2</v>
      </c>
      <c r="AB227">
        <v>5</v>
      </c>
      <c r="AD227">
        <v>0</v>
      </c>
      <c r="AE227">
        <v>0</v>
      </c>
      <c r="AF227" t="s">
        <v>133</v>
      </c>
      <c r="AG227" t="s">
        <v>139</v>
      </c>
      <c r="AI227" s="4">
        <v>1</v>
      </c>
      <c r="AJ227" s="4">
        <v>27</v>
      </c>
      <c r="AK227" s="4">
        <v>0</v>
      </c>
      <c r="AL227" s="4">
        <v>28</v>
      </c>
      <c r="AM227" t="s">
        <v>427</v>
      </c>
    </row>
    <row r="228" spans="1:39" x14ac:dyDescent="0.3">
      <c r="A228" t="s">
        <v>127</v>
      </c>
      <c r="B228">
        <v>38</v>
      </c>
      <c r="C228">
        <v>1756</v>
      </c>
      <c r="D228" t="s">
        <v>161</v>
      </c>
      <c r="E228">
        <v>2</v>
      </c>
      <c r="F228" t="s">
        <v>391</v>
      </c>
      <c r="G228" t="s">
        <v>130</v>
      </c>
      <c r="H228" t="s">
        <v>131</v>
      </c>
      <c r="I228">
        <v>8</v>
      </c>
      <c r="J228">
        <v>16</v>
      </c>
      <c r="K228">
        <v>3</v>
      </c>
      <c r="L228" t="s">
        <v>174</v>
      </c>
      <c r="M228" t="s">
        <v>166</v>
      </c>
      <c r="N228" t="s">
        <v>133</v>
      </c>
      <c r="O228">
        <v>59</v>
      </c>
      <c r="P228">
        <v>12</v>
      </c>
      <c r="Q228" t="s">
        <v>145</v>
      </c>
      <c r="R228" t="s">
        <v>146</v>
      </c>
      <c r="S228" t="s">
        <v>147</v>
      </c>
      <c r="T228" t="s">
        <v>148</v>
      </c>
      <c r="U228" t="s">
        <v>149</v>
      </c>
      <c r="V228" t="s">
        <v>133</v>
      </c>
      <c r="W228" t="s">
        <v>139</v>
      </c>
      <c r="X228" t="s">
        <v>133</v>
      </c>
      <c r="Z228">
        <v>4</v>
      </c>
      <c r="AA228">
        <v>3</v>
      </c>
      <c r="AB228">
        <v>5</v>
      </c>
      <c r="AC228" t="s">
        <v>258</v>
      </c>
      <c r="AD228">
        <v>0</v>
      </c>
      <c r="AE228">
        <v>0</v>
      </c>
      <c r="AF228" t="s">
        <v>133</v>
      </c>
      <c r="AG228" t="s">
        <v>130</v>
      </c>
      <c r="AH228" t="s">
        <v>428</v>
      </c>
      <c r="AI228" s="4">
        <v>16</v>
      </c>
      <c r="AJ228" s="4">
        <v>59</v>
      </c>
      <c r="AK228" s="4">
        <v>0</v>
      </c>
      <c r="AL228" s="4">
        <v>75</v>
      </c>
      <c r="AM228" t="s">
        <v>429</v>
      </c>
    </row>
    <row r="229" spans="1:39" x14ac:dyDescent="0.3">
      <c r="A229" t="s">
        <v>127</v>
      </c>
      <c r="B229">
        <v>38</v>
      </c>
      <c r="C229">
        <v>4143</v>
      </c>
      <c r="D229" t="s">
        <v>161</v>
      </c>
      <c r="E229">
        <v>3</v>
      </c>
      <c r="F229" t="s">
        <v>392</v>
      </c>
      <c r="G229" t="s">
        <v>130</v>
      </c>
      <c r="H229" t="s">
        <v>153</v>
      </c>
      <c r="I229">
        <v>7</v>
      </c>
      <c r="J229">
        <v>24</v>
      </c>
      <c r="K229">
        <v>5</v>
      </c>
      <c r="L229" t="s">
        <v>174</v>
      </c>
      <c r="M229" t="s">
        <v>180</v>
      </c>
      <c r="N229" t="s">
        <v>133</v>
      </c>
      <c r="O229">
        <v>256</v>
      </c>
      <c r="P229">
        <v>58</v>
      </c>
      <c r="Q229" t="s">
        <v>145</v>
      </c>
      <c r="R229" t="s">
        <v>146</v>
      </c>
      <c r="S229" t="s">
        <v>147</v>
      </c>
      <c r="T229" t="s">
        <v>148</v>
      </c>
      <c r="U229" t="s">
        <v>149</v>
      </c>
      <c r="V229" t="s">
        <v>133</v>
      </c>
      <c r="W229" t="s">
        <v>139</v>
      </c>
      <c r="X229" t="s">
        <v>133</v>
      </c>
      <c r="Z229">
        <v>4</v>
      </c>
      <c r="AA229">
        <v>5</v>
      </c>
      <c r="AB229">
        <v>3</v>
      </c>
      <c r="AC229" t="s">
        <v>159</v>
      </c>
      <c r="AD229">
        <v>1</v>
      </c>
      <c r="AE229">
        <v>0</v>
      </c>
      <c r="AF229" t="s">
        <v>133</v>
      </c>
      <c r="AG229" t="s">
        <v>130</v>
      </c>
      <c r="AH229" t="s">
        <v>227</v>
      </c>
      <c r="AI229" s="4">
        <v>24</v>
      </c>
      <c r="AJ229" s="4">
        <v>256</v>
      </c>
      <c r="AK229" s="4">
        <v>0</v>
      </c>
      <c r="AL229" s="4">
        <v>280</v>
      </c>
      <c r="AM229" t="s">
        <v>430</v>
      </c>
    </row>
    <row r="230" spans="1:39" x14ac:dyDescent="0.3">
      <c r="A230" t="s">
        <v>127</v>
      </c>
      <c r="B230">
        <v>39</v>
      </c>
      <c r="C230">
        <v>648</v>
      </c>
      <c r="D230" t="s">
        <v>128</v>
      </c>
      <c r="E230">
        <v>1</v>
      </c>
      <c r="F230" t="s">
        <v>383</v>
      </c>
      <c r="G230" t="s">
        <v>130</v>
      </c>
      <c r="H230" t="s">
        <v>131</v>
      </c>
      <c r="I230">
        <v>8</v>
      </c>
      <c r="J230">
        <v>12</v>
      </c>
      <c r="K230">
        <v>7</v>
      </c>
      <c r="L230" t="s">
        <v>174</v>
      </c>
      <c r="M230" t="s">
        <v>166</v>
      </c>
      <c r="N230" t="s">
        <v>133</v>
      </c>
      <c r="O230">
        <v>25</v>
      </c>
      <c r="P230">
        <v>14</v>
      </c>
      <c r="Q230" t="s">
        <v>154</v>
      </c>
      <c r="R230" t="s">
        <v>135</v>
      </c>
      <c r="T230" t="s">
        <v>191</v>
      </c>
      <c r="U230" t="s">
        <v>187</v>
      </c>
      <c r="V230" t="s">
        <v>138</v>
      </c>
      <c r="W230" t="s">
        <v>139</v>
      </c>
      <c r="X230" t="s">
        <v>133</v>
      </c>
      <c r="Z230">
        <v>2</v>
      </c>
      <c r="AA230">
        <v>2</v>
      </c>
      <c r="AB230">
        <v>2</v>
      </c>
      <c r="AD230">
        <v>0</v>
      </c>
      <c r="AE230">
        <v>0</v>
      </c>
      <c r="AF230" t="s">
        <v>133</v>
      </c>
      <c r="AG230" t="s">
        <v>139</v>
      </c>
      <c r="AH230" t="s">
        <v>201</v>
      </c>
      <c r="AI230" s="4">
        <v>12</v>
      </c>
      <c r="AJ230" s="4">
        <v>25</v>
      </c>
      <c r="AK230" s="4">
        <v>0</v>
      </c>
      <c r="AL230" s="4">
        <v>37</v>
      </c>
      <c r="AM230" t="s">
        <v>431</v>
      </c>
    </row>
    <row r="231" spans="1:39" x14ac:dyDescent="0.3">
      <c r="A231" t="s">
        <v>127</v>
      </c>
      <c r="B231">
        <v>39</v>
      </c>
      <c r="C231">
        <v>2481</v>
      </c>
      <c r="D231" t="s">
        <v>128</v>
      </c>
      <c r="E231">
        <v>2</v>
      </c>
      <c r="F231" t="s">
        <v>385</v>
      </c>
      <c r="G231" t="s">
        <v>130</v>
      </c>
      <c r="H231" t="s">
        <v>131</v>
      </c>
      <c r="I231">
        <v>8</v>
      </c>
      <c r="J231">
        <v>84</v>
      </c>
      <c r="K231">
        <v>22</v>
      </c>
      <c r="L231" t="s">
        <v>174</v>
      </c>
      <c r="M231" t="s">
        <v>180</v>
      </c>
      <c r="N231" t="s">
        <v>133</v>
      </c>
      <c r="O231">
        <v>249</v>
      </c>
      <c r="P231">
        <v>65</v>
      </c>
      <c r="Q231" t="s">
        <v>145</v>
      </c>
      <c r="R231" t="s">
        <v>146</v>
      </c>
      <c r="S231" t="s">
        <v>147</v>
      </c>
      <c r="T231" t="s">
        <v>148</v>
      </c>
      <c r="U231" t="s">
        <v>149</v>
      </c>
      <c r="V231" t="s">
        <v>133</v>
      </c>
      <c r="W231" t="s">
        <v>170</v>
      </c>
      <c r="X231" t="s">
        <v>133</v>
      </c>
      <c r="Z231">
        <v>5</v>
      </c>
      <c r="AA231">
        <v>5</v>
      </c>
      <c r="AB231">
        <v>3</v>
      </c>
      <c r="AC231" t="s">
        <v>159</v>
      </c>
      <c r="AD231">
        <v>1</v>
      </c>
      <c r="AE231">
        <v>0</v>
      </c>
      <c r="AF231" t="s">
        <v>133</v>
      </c>
      <c r="AG231" t="s">
        <v>130</v>
      </c>
      <c r="AH231" t="s">
        <v>319</v>
      </c>
      <c r="AI231" s="4">
        <v>84</v>
      </c>
      <c r="AJ231" s="4">
        <v>249</v>
      </c>
      <c r="AK231" s="4">
        <v>0</v>
      </c>
      <c r="AL231" s="4">
        <v>333</v>
      </c>
      <c r="AM231" t="s">
        <v>432</v>
      </c>
    </row>
    <row r="232" spans="1:39" x14ac:dyDescent="0.3">
      <c r="A232" t="s">
        <v>127</v>
      </c>
      <c r="B232">
        <v>39</v>
      </c>
      <c r="C232">
        <v>3067</v>
      </c>
      <c r="D232" t="s">
        <v>128</v>
      </c>
      <c r="E232">
        <v>3</v>
      </c>
      <c r="F232" t="s">
        <v>387</v>
      </c>
      <c r="G232" t="s">
        <v>130</v>
      </c>
      <c r="H232" t="s">
        <v>153</v>
      </c>
      <c r="I232">
        <v>8</v>
      </c>
      <c r="J232">
        <v>4</v>
      </c>
      <c r="K232">
        <v>0</v>
      </c>
      <c r="L232" t="s">
        <v>132</v>
      </c>
      <c r="N232" t="s">
        <v>133</v>
      </c>
      <c r="O232">
        <v>52</v>
      </c>
      <c r="P232">
        <v>6</v>
      </c>
      <c r="Q232" t="s">
        <v>145</v>
      </c>
      <c r="R232" t="s">
        <v>155</v>
      </c>
      <c r="S232" t="s">
        <v>178</v>
      </c>
      <c r="T232" t="s">
        <v>157</v>
      </c>
      <c r="U232" t="s">
        <v>158</v>
      </c>
      <c r="V232" t="s">
        <v>133</v>
      </c>
      <c r="W232" t="s">
        <v>139</v>
      </c>
      <c r="X232" t="s">
        <v>133</v>
      </c>
      <c r="Z232">
        <v>5</v>
      </c>
      <c r="AA232">
        <v>3</v>
      </c>
      <c r="AB232">
        <v>4</v>
      </c>
      <c r="AD232">
        <v>0</v>
      </c>
      <c r="AE232">
        <v>0</v>
      </c>
      <c r="AF232" t="s">
        <v>133</v>
      </c>
      <c r="AG232" t="s">
        <v>139</v>
      </c>
      <c r="AH232" t="s">
        <v>175</v>
      </c>
      <c r="AI232" s="4">
        <v>4</v>
      </c>
      <c r="AJ232" s="4">
        <v>52</v>
      </c>
      <c r="AK232" s="4">
        <v>0</v>
      </c>
      <c r="AL232" s="4">
        <v>56</v>
      </c>
      <c r="AM232" t="s">
        <v>433</v>
      </c>
    </row>
    <row r="233" spans="1:39" x14ac:dyDescent="0.3">
      <c r="A233" t="s">
        <v>127</v>
      </c>
      <c r="B233">
        <v>39</v>
      </c>
      <c r="C233">
        <v>2022</v>
      </c>
      <c r="D233" t="s">
        <v>161</v>
      </c>
      <c r="E233">
        <v>1</v>
      </c>
      <c r="F233" t="s">
        <v>389</v>
      </c>
      <c r="G233" t="s">
        <v>130</v>
      </c>
      <c r="H233" t="s">
        <v>131</v>
      </c>
      <c r="I233">
        <v>8</v>
      </c>
      <c r="J233">
        <v>2</v>
      </c>
      <c r="K233">
        <v>0</v>
      </c>
      <c r="L233" t="s">
        <v>132</v>
      </c>
      <c r="N233" t="s">
        <v>133</v>
      </c>
      <c r="O233">
        <v>30</v>
      </c>
      <c r="P233">
        <v>5</v>
      </c>
      <c r="Q233" t="s">
        <v>154</v>
      </c>
      <c r="R233" t="s">
        <v>155</v>
      </c>
      <c r="S233" t="s">
        <v>156</v>
      </c>
      <c r="T233" t="s">
        <v>157</v>
      </c>
      <c r="U233" t="s">
        <v>158</v>
      </c>
      <c r="V233" t="s">
        <v>170</v>
      </c>
      <c r="W233" t="s">
        <v>139</v>
      </c>
      <c r="X233" t="s">
        <v>133</v>
      </c>
      <c r="Z233">
        <v>3</v>
      </c>
      <c r="AA233">
        <v>2</v>
      </c>
      <c r="AB233">
        <v>4</v>
      </c>
      <c r="AD233">
        <v>0</v>
      </c>
      <c r="AE233">
        <v>0</v>
      </c>
      <c r="AF233" t="s">
        <v>133</v>
      </c>
      <c r="AG233" t="s">
        <v>130</v>
      </c>
      <c r="AI233" s="4">
        <v>2</v>
      </c>
      <c r="AJ233" s="4">
        <v>30</v>
      </c>
      <c r="AK233" s="4">
        <v>0</v>
      </c>
      <c r="AL233" s="4">
        <v>32</v>
      </c>
      <c r="AM233" t="s">
        <v>434</v>
      </c>
    </row>
    <row r="234" spans="1:39" x14ac:dyDescent="0.3">
      <c r="A234" t="s">
        <v>127</v>
      </c>
      <c r="B234">
        <v>39</v>
      </c>
      <c r="C234">
        <v>6237</v>
      </c>
      <c r="D234" t="s">
        <v>161</v>
      </c>
      <c r="E234">
        <v>2</v>
      </c>
      <c r="F234" t="s">
        <v>391</v>
      </c>
      <c r="G234" t="s">
        <v>130</v>
      </c>
      <c r="H234" t="s">
        <v>144</v>
      </c>
      <c r="I234">
        <v>8</v>
      </c>
      <c r="J234">
        <v>1</v>
      </c>
      <c r="K234">
        <v>0</v>
      </c>
      <c r="L234" t="s">
        <v>132</v>
      </c>
      <c r="N234" t="s">
        <v>133</v>
      </c>
      <c r="O234">
        <v>117</v>
      </c>
      <c r="P234">
        <v>24</v>
      </c>
      <c r="Q234" t="s">
        <v>145</v>
      </c>
      <c r="R234" t="s">
        <v>146</v>
      </c>
      <c r="S234" t="s">
        <v>147</v>
      </c>
      <c r="T234" t="s">
        <v>148</v>
      </c>
      <c r="U234" t="s">
        <v>149</v>
      </c>
      <c r="V234" t="s">
        <v>133</v>
      </c>
      <c r="W234" t="s">
        <v>139</v>
      </c>
      <c r="X234" t="s">
        <v>133</v>
      </c>
      <c r="Z234">
        <v>3</v>
      </c>
      <c r="AA234">
        <v>4</v>
      </c>
      <c r="AB234">
        <v>4</v>
      </c>
      <c r="AD234">
        <v>0</v>
      </c>
      <c r="AE234">
        <v>0</v>
      </c>
      <c r="AF234" t="s">
        <v>133</v>
      </c>
      <c r="AG234" t="s">
        <v>130</v>
      </c>
      <c r="AH234" t="s">
        <v>319</v>
      </c>
      <c r="AI234" s="4">
        <v>1</v>
      </c>
      <c r="AJ234" s="4">
        <v>117</v>
      </c>
      <c r="AK234" s="4">
        <v>0</v>
      </c>
      <c r="AL234" s="4">
        <v>118</v>
      </c>
      <c r="AM234" t="s">
        <v>435</v>
      </c>
    </row>
    <row r="235" spans="1:39" x14ac:dyDescent="0.3">
      <c r="A235" t="s">
        <v>127</v>
      </c>
      <c r="B235">
        <v>39</v>
      </c>
      <c r="C235">
        <v>2861</v>
      </c>
      <c r="D235" t="s">
        <v>161</v>
      </c>
      <c r="E235">
        <v>3</v>
      </c>
      <c r="F235" t="s">
        <v>392</v>
      </c>
      <c r="G235" t="s">
        <v>130</v>
      </c>
      <c r="H235" t="s">
        <v>144</v>
      </c>
      <c r="I235">
        <v>8</v>
      </c>
      <c r="J235">
        <v>10</v>
      </c>
      <c r="K235">
        <v>2</v>
      </c>
      <c r="L235" t="s">
        <v>165</v>
      </c>
      <c r="M235" t="s">
        <v>166</v>
      </c>
      <c r="N235" t="s">
        <v>133</v>
      </c>
      <c r="O235">
        <v>47</v>
      </c>
      <c r="P235">
        <v>9</v>
      </c>
      <c r="Q235" t="s">
        <v>145</v>
      </c>
      <c r="R235" t="s">
        <v>146</v>
      </c>
      <c r="S235" t="s">
        <v>147</v>
      </c>
      <c r="T235" t="s">
        <v>148</v>
      </c>
      <c r="U235" t="s">
        <v>149</v>
      </c>
      <c r="V235" t="s">
        <v>133</v>
      </c>
      <c r="W235" t="s">
        <v>170</v>
      </c>
      <c r="X235" t="s">
        <v>133</v>
      </c>
      <c r="Z235">
        <v>5</v>
      </c>
      <c r="AA235">
        <v>4</v>
      </c>
      <c r="AB235">
        <v>4</v>
      </c>
      <c r="AD235">
        <v>0</v>
      </c>
      <c r="AE235">
        <v>0</v>
      </c>
      <c r="AF235" t="s">
        <v>133</v>
      </c>
      <c r="AG235" t="s">
        <v>130</v>
      </c>
      <c r="AH235" t="s">
        <v>277</v>
      </c>
      <c r="AI235" s="4">
        <v>10</v>
      </c>
      <c r="AJ235" s="4">
        <v>47</v>
      </c>
      <c r="AK235" s="4">
        <v>0</v>
      </c>
      <c r="AL235" s="4">
        <v>57</v>
      </c>
      <c r="AM235" t="s">
        <v>436</v>
      </c>
    </row>
    <row r="236" spans="1:39" x14ac:dyDescent="0.3">
      <c r="A236" t="s">
        <v>127</v>
      </c>
      <c r="B236">
        <v>40</v>
      </c>
      <c r="C236">
        <v>4645</v>
      </c>
      <c r="D236" t="s">
        <v>128</v>
      </c>
      <c r="E236">
        <v>1</v>
      </c>
      <c r="F236" t="s">
        <v>383</v>
      </c>
      <c r="G236" t="s">
        <v>130</v>
      </c>
      <c r="H236" t="s">
        <v>153</v>
      </c>
      <c r="I236">
        <v>8</v>
      </c>
      <c r="J236">
        <v>0</v>
      </c>
      <c r="K236">
        <v>0</v>
      </c>
      <c r="L236" t="s">
        <v>132</v>
      </c>
      <c r="N236" t="s">
        <v>133</v>
      </c>
      <c r="O236">
        <v>8</v>
      </c>
      <c r="P236">
        <v>2</v>
      </c>
      <c r="Q236" t="s">
        <v>154</v>
      </c>
      <c r="R236" t="s">
        <v>155</v>
      </c>
      <c r="S236" t="s">
        <v>156</v>
      </c>
      <c r="T236" t="s">
        <v>157</v>
      </c>
      <c r="U236" t="s">
        <v>158</v>
      </c>
      <c r="V236" t="s">
        <v>133</v>
      </c>
      <c r="W236" t="s">
        <v>139</v>
      </c>
      <c r="X236" t="s">
        <v>133</v>
      </c>
      <c r="Z236">
        <v>3</v>
      </c>
      <c r="AA236">
        <v>3</v>
      </c>
      <c r="AB236">
        <v>4</v>
      </c>
      <c r="AD236">
        <v>0</v>
      </c>
      <c r="AE236">
        <v>0</v>
      </c>
      <c r="AF236" t="s">
        <v>133</v>
      </c>
      <c r="AG236" t="s">
        <v>140</v>
      </c>
      <c r="AH236" t="s">
        <v>185</v>
      </c>
      <c r="AI236" s="4">
        <v>0</v>
      </c>
      <c r="AJ236" s="4">
        <v>8</v>
      </c>
      <c r="AK236" s="4">
        <v>0</v>
      </c>
      <c r="AL236" s="4">
        <v>8</v>
      </c>
      <c r="AM236" t="s">
        <v>437</v>
      </c>
    </row>
    <row r="237" spans="1:39" x14ac:dyDescent="0.3">
      <c r="A237" t="s">
        <v>127</v>
      </c>
      <c r="B237">
        <v>40</v>
      </c>
      <c r="C237">
        <v>4156</v>
      </c>
      <c r="D237" t="s">
        <v>128</v>
      </c>
      <c r="E237">
        <v>2</v>
      </c>
      <c r="F237" t="s">
        <v>385</v>
      </c>
      <c r="G237" t="s">
        <v>130</v>
      </c>
      <c r="H237" t="s">
        <v>131</v>
      </c>
      <c r="I237">
        <v>8</v>
      </c>
      <c r="J237">
        <v>0</v>
      </c>
      <c r="K237">
        <v>0</v>
      </c>
      <c r="N237" t="s">
        <v>133</v>
      </c>
      <c r="O237">
        <v>1</v>
      </c>
      <c r="P237">
        <v>0</v>
      </c>
      <c r="Q237" t="s">
        <v>134</v>
      </c>
      <c r="R237" t="s">
        <v>135</v>
      </c>
      <c r="T237" t="s">
        <v>136</v>
      </c>
      <c r="U237" t="s">
        <v>137</v>
      </c>
      <c r="V237" t="s">
        <v>133</v>
      </c>
      <c r="W237" t="s">
        <v>139</v>
      </c>
      <c r="X237" t="s">
        <v>133</v>
      </c>
      <c r="Z237">
        <v>1</v>
      </c>
      <c r="AA237">
        <v>1</v>
      </c>
      <c r="AB237">
        <v>3</v>
      </c>
      <c r="AD237">
        <v>0</v>
      </c>
      <c r="AE237">
        <v>0</v>
      </c>
      <c r="AF237" t="s">
        <v>133</v>
      </c>
      <c r="AG237" t="s">
        <v>140</v>
      </c>
      <c r="AH237" t="s">
        <v>185</v>
      </c>
      <c r="AI237" s="4">
        <v>0</v>
      </c>
      <c r="AJ237" s="4">
        <v>1</v>
      </c>
      <c r="AK237" s="4">
        <v>0</v>
      </c>
      <c r="AL237" s="4">
        <v>1</v>
      </c>
      <c r="AM237" t="s">
        <v>438</v>
      </c>
    </row>
    <row r="238" spans="1:39" x14ac:dyDescent="0.3">
      <c r="A238" t="s">
        <v>127</v>
      </c>
      <c r="B238">
        <v>40</v>
      </c>
      <c r="C238">
        <v>6651</v>
      </c>
      <c r="D238" t="s">
        <v>128</v>
      </c>
      <c r="E238">
        <v>3</v>
      </c>
      <c r="F238" t="s">
        <v>387</v>
      </c>
      <c r="G238" t="s">
        <v>130</v>
      </c>
      <c r="H238" t="s">
        <v>144</v>
      </c>
      <c r="I238">
        <v>8</v>
      </c>
      <c r="J238">
        <v>0</v>
      </c>
      <c r="K238">
        <v>0</v>
      </c>
      <c r="N238" t="s">
        <v>133</v>
      </c>
      <c r="O238">
        <v>13</v>
      </c>
      <c r="P238">
        <v>6</v>
      </c>
      <c r="Q238" t="s">
        <v>154</v>
      </c>
      <c r="R238" t="s">
        <v>135</v>
      </c>
      <c r="T238" t="s">
        <v>157</v>
      </c>
      <c r="U238" t="s">
        <v>187</v>
      </c>
      <c r="V238" t="s">
        <v>133</v>
      </c>
      <c r="W238" t="s">
        <v>139</v>
      </c>
      <c r="X238" t="s">
        <v>133</v>
      </c>
      <c r="Z238">
        <v>2</v>
      </c>
      <c r="AA238">
        <v>2</v>
      </c>
      <c r="AB238">
        <v>3</v>
      </c>
      <c r="AD238">
        <v>0</v>
      </c>
      <c r="AE238">
        <v>0</v>
      </c>
      <c r="AF238" t="s">
        <v>133</v>
      </c>
      <c r="AG238" t="s">
        <v>139</v>
      </c>
      <c r="AI238" s="4">
        <v>0</v>
      </c>
      <c r="AJ238" s="4">
        <v>13</v>
      </c>
      <c r="AK238" s="4">
        <v>0</v>
      </c>
      <c r="AL238" s="4">
        <v>13</v>
      </c>
      <c r="AM238" t="s">
        <v>439</v>
      </c>
    </row>
    <row r="239" spans="1:39" x14ac:dyDescent="0.3">
      <c r="A239" t="s">
        <v>127</v>
      </c>
      <c r="B239">
        <v>40</v>
      </c>
      <c r="C239">
        <v>4423</v>
      </c>
      <c r="D239" t="s">
        <v>161</v>
      </c>
      <c r="E239">
        <v>1</v>
      </c>
      <c r="F239" t="s">
        <v>389</v>
      </c>
      <c r="G239" t="s">
        <v>130</v>
      </c>
      <c r="H239" t="s">
        <v>144</v>
      </c>
      <c r="I239">
        <v>8</v>
      </c>
      <c r="J239">
        <v>1</v>
      </c>
      <c r="K239">
        <v>0</v>
      </c>
      <c r="L239" t="s">
        <v>132</v>
      </c>
      <c r="N239" t="s">
        <v>133</v>
      </c>
      <c r="O239">
        <v>36</v>
      </c>
      <c r="P239">
        <v>6</v>
      </c>
      <c r="Q239" t="s">
        <v>145</v>
      </c>
      <c r="R239" t="s">
        <v>155</v>
      </c>
      <c r="S239" t="s">
        <v>147</v>
      </c>
      <c r="T239" t="s">
        <v>148</v>
      </c>
      <c r="U239" t="s">
        <v>158</v>
      </c>
      <c r="V239" t="s">
        <v>133</v>
      </c>
      <c r="W239" t="s">
        <v>170</v>
      </c>
      <c r="X239" t="s">
        <v>361</v>
      </c>
      <c r="Y239" t="s">
        <v>362</v>
      </c>
      <c r="Z239">
        <v>4</v>
      </c>
      <c r="AA239">
        <v>4</v>
      </c>
      <c r="AB239">
        <v>5</v>
      </c>
      <c r="AD239">
        <v>0</v>
      </c>
      <c r="AE239">
        <v>0</v>
      </c>
      <c r="AF239" t="s">
        <v>133</v>
      </c>
      <c r="AG239" t="s">
        <v>140</v>
      </c>
      <c r="AH239" t="s">
        <v>440</v>
      </c>
      <c r="AI239" s="4">
        <v>1</v>
      </c>
      <c r="AJ239" s="4">
        <v>36</v>
      </c>
      <c r="AK239" s="4">
        <v>0</v>
      </c>
      <c r="AL239" s="4">
        <v>37</v>
      </c>
      <c r="AM239" t="s">
        <v>441</v>
      </c>
    </row>
    <row r="240" spans="1:39" x14ac:dyDescent="0.3">
      <c r="A240" t="s">
        <v>127</v>
      </c>
      <c r="B240">
        <v>40</v>
      </c>
      <c r="C240">
        <v>4213</v>
      </c>
      <c r="D240" t="s">
        <v>161</v>
      </c>
      <c r="E240">
        <v>2</v>
      </c>
      <c r="F240" t="s">
        <v>391</v>
      </c>
      <c r="G240" t="s">
        <v>130</v>
      </c>
      <c r="H240" t="s">
        <v>153</v>
      </c>
      <c r="I240">
        <v>8</v>
      </c>
      <c r="J240">
        <v>5</v>
      </c>
      <c r="K240">
        <v>2</v>
      </c>
      <c r="L240" t="s">
        <v>132</v>
      </c>
      <c r="N240" t="s">
        <v>133</v>
      </c>
      <c r="O240">
        <v>20</v>
      </c>
      <c r="P240">
        <v>8</v>
      </c>
      <c r="Q240" t="s">
        <v>145</v>
      </c>
      <c r="R240" t="s">
        <v>155</v>
      </c>
      <c r="S240" t="s">
        <v>178</v>
      </c>
      <c r="T240" t="s">
        <v>157</v>
      </c>
      <c r="U240" t="s">
        <v>158</v>
      </c>
      <c r="V240" t="s">
        <v>133</v>
      </c>
      <c r="W240" t="s">
        <v>139</v>
      </c>
      <c r="X240" t="s">
        <v>133</v>
      </c>
      <c r="Z240">
        <v>2</v>
      </c>
      <c r="AA240">
        <v>3</v>
      </c>
      <c r="AB240">
        <v>5</v>
      </c>
      <c r="AD240">
        <v>0</v>
      </c>
      <c r="AE240">
        <v>0</v>
      </c>
      <c r="AF240" t="s">
        <v>133</v>
      </c>
      <c r="AG240" t="s">
        <v>139</v>
      </c>
      <c r="AI240" s="4">
        <v>5</v>
      </c>
      <c r="AJ240" s="4">
        <v>20</v>
      </c>
      <c r="AK240" s="4">
        <v>0</v>
      </c>
      <c r="AL240" s="4">
        <v>25</v>
      </c>
      <c r="AM240" t="s">
        <v>442</v>
      </c>
    </row>
    <row r="241" spans="1:39" x14ac:dyDescent="0.3">
      <c r="A241" t="s">
        <v>127</v>
      </c>
      <c r="B241">
        <v>40</v>
      </c>
      <c r="C241">
        <v>8029</v>
      </c>
      <c r="D241" t="s">
        <v>161</v>
      </c>
      <c r="E241">
        <v>3</v>
      </c>
      <c r="F241" t="s">
        <v>392</v>
      </c>
      <c r="G241" t="s">
        <v>130</v>
      </c>
      <c r="H241" t="s">
        <v>131</v>
      </c>
      <c r="I241">
        <v>5</v>
      </c>
      <c r="J241">
        <v>12</v>
      </c>
      <c r="K241">
        <v>9</v>
      </c>
      <c r="L241" t="s">
        <v>174</v>
      </c>
      <c r="M241" t="s">
        <v>166</v>
      </c>
      <c r="N241" t="s">
        <v>133</v>
      </c>
      <c r="O241">
        <v>7</v>
      </c>
      <c r="P241">
        <v>5</v>
      </c>
      <c r="Q241" t="s">
        <v>134</v>
      </c>
      <c r="R241" t="s">
        <v>135</v>
      </c>
      <c r="T241" t="s">
        <v>203</v>
      </c>
      <c r="U241" t="s">
        <v>137</v>
      </c>
      <c r="V241" t="s">
        <v>138</v>
      </c>
      <c r="W241" t="s">
        <v>139</v>
      </c>
      <c r="X241" t="s">
        <v>133</v>
      </c>
      <c r="Z241">
        <v>1</v>
      </c>
      <c r="AA241">
        <v>1</v>
      </c>
      <c r="AB241">
        <v>2</v>
      </c>
      <c r="AD241">
        <v>0</v>
      </c>
      <c r="AE241">
        <v>0</v>
      </c>
      <c r="AF241" t="s">
        <v>133</v>
      </c>
      <c r="AG241" t="s">
        <v>139</v>
      </c>
      <c r="AH241" t="s">
        <v>141</v>
      </c>
      <c r="AI241" s="4">
        <v>12</v>
      </c>
      <c r="AJ241" s="4">
        <v>7</v>
      </c>
      <c r="AK241" s="4">
        <v>0</v>
      </c>
      <c r="AL241" s="4">
        <v>19</v>
      </c>
      <c r="AM241" t="s">
        <v>443</v>
      </c>
    </row>
    <row r="242" spans="1:39" x14ac:dyDescent="0.3">
      <c r="A242" t="s">
        <v>127</v>
      </c>
      <c r="B242">
        <v>41</v>
      </c>
      <c r="C242">
        <v>7848</v>
      </c>
      <c r="D242" t="s">
        <v>128</v>
      </c>
      <c r="E242">
        <v>1</v>
      </c>
      <c r="F242" t="s">
        <v>383</v>
      </c>
      <c r="G242" t="s">
        <v>130</v>
      </c>
      <c r="H242" t="s">
        <v>144</v>
      </c>
      <c r="I242">
        <v>8</v>
      </c>
      <c r="J242">
        <v>2</v>
      </c>
      <c r="K242">
        <v>0</v>
      </c>
      <c r="L242" t="s">
        <v>132</v>
      </c>
      <c r="N242" t="s">
        <v>133</v>
      </c>
      <c r="O242">
        <v>37</v>
      </c>
      <c r="P242">
        <v>9</v>
      </c>
      <c r="Q242" t="s">
        <v>145</v>
      </c>
      <c r="R242" t="s">
        <v>155</v>
      </c>
      <c r="S242" t="s">
        <v>156</v>
      </c>
      <c r="T242" t="s">
        <v>157</v>
      </c>
      <c r="U242" t="s">
        <v>158</v>
      </c>
      <c r="V242" t="s">
        <v>133</v>
      </c>
      <c r="W242" t="s">
        <v>139</v>
      </c>
      <c r="X242" t="s">
        <v>133</v>
      </c>
      <c r="Z242">
        <v>3</v>
      </c>
      <c r="AA242">
        <v>4</v>
      </c>
      <c r="AB242">
        <v>3</v>
      </c>
      <c r="AC242" t="s">
        <v>182</v>
      </c>
      <c r="AD242">
        <v>0</v>
      </c>
      <c r="AE242">
        <v>0</v>
      </c>
      <c r="AF242" t="s">
        <v>133</v>
      </c>
      <c r="AG242" t="s">
        <v>130</v>
      </c>
      <c r="AH242" t="s">
        <v>183</v>
      </c>
      <c r="AI242" s="4">
        <v>2</v>
      </c>
      <c r="AJ242" s="4">
        <v>37</v>
      </c>
      <c r="AK242" s="4">
        <v>0</v>
      </c>
      <c r="AL242" s="4">
        <v>39</v>
      </c>
      <c r="AM242" t="s">
        <v>444</v>
      </c>
    </row>
    <row r="243" spans="1:39" x14ac:dyDescent="0.3">
      <c r="A243" t="s">
        <v>127</v>
      </c>
      <c r="B243">
        <v>41</v>
      </c>
      <c r="C243">
        <v>2039</v>
      </c>
      <c r="D243" t="s">
        <v>128</v>
      </c>
      <c r="E243">
        <v>2</v>
      </c>
      <c r="F243" t="s">
        <v>385</v>
      </c>
      <c r="G243" t="s">
        <v>130</v>
      </c>
      <c r="H243" t="s">
        <v>131</v>
      </c>
      <c r="I243">
        <v>8</v>
      </c>
      <c r="J243">
        <v>1</v>
      </c>
      <c r="K243">
        <v>2</v>
      </c>
      <c r="L243" t="s">
        <v>132</v>
      </c>
      <c r="N243" t="s">
        <v>133</v>
      </c>
      <c r="O243">
        <v>11</v>
      </c>
      <c r="P243">
        <v>17</v>
      </c>
      <c r="Q243" t="s">
        <v>134</v>
      </c>
      <c r="R243" t="s">
        <v>135</v>
      </c>
      <c r="T243" t="s">
        <v>136</v>
      </c>
      <c r="U243" t="s">
        <v>137</v>
      </c>
      <c r="V243" t="s">
        <v>170</v>
      </c>
      <c r="W243" t="s">
        <v>139</v>
      </c>
      <c r="X243" t="s">
        <v>133</v>
      </c>
      <c r="Z243">
        <v>1</v>
      </c>
      <c r="AA243">
        <v>2</v>
      </c>
      <c r="AB243">
        <v>1</v>
      </c>
      <c r="AD243">
        <v>0</v>
      </c>
      <c r="AE243">
        <v>0</v>
      </c>
      <c r="AF243" t="s">
        <v>133</v>
      </c>
      <c r="AG243" t="s">
        <v>139</v>
      </c>
      <c r="AI243" s="4">
        <v>1</v>
      </c>
      <c r="AJ243" s="4">
        <v>11</v>
      </c>
      <c r="AK243" s="4">
        <v>0</v>
      </c>
      <c r="AL243" s="4">
        <v>12</v>
      </c>
      <c r="AM243" t="s">
        <v>445</v>
      </c>
    </row>
    <row r="244" spans="1:39" x14ac:dyDescent="0.3">
      <c r="A244" t="s">
        <v>127</v>
      </c>
      <c r="B244">
        <v>41</v>
      </c>
      <c r="C244">
        <v>8719</v>
      </c>
      <c r="D244" t="s">
        <v>128</v>
      </c>
      <c r="E244">
        <v>3</v>
      </c>
      <c r="F244" t="s">
        <v>387</v>
      </c>
      <c r="G244" t="s">
        <v>130</v>
      </c>
      <c r="H244" t="s">
        <v>131</v>
      </c>
      <c r="I244">
        <v>5</v>
      </c>
      <c r="J244">
        <v>8</v>
      </c>
      <c r="K244">
        <v>7</v>
      </c>
      <c r="L244" t="s">
        <v>174</v>
      </c>
      <c r="M244" t="s">
        <v>166</v>
      </c>
      <c r="N244" t="s">
        <v>133</v>
      </c>
      <c r="O244">
        <v>11</v>
      </c>
      <c r="P244">
        <v>10</v>
      </c>
      <c r="Q244" t="s">
        <v>134</v>
      </c>
      <c r="R244" t="s">
        <v>135</v>
      </c>
      <c r="T244" t="s">
        <v>191</v>
      </c>
      <c r="U244" t="s">
        <v>137</v>
      </c>
      <c r="V244" t="s">
        <v>138</v>
      </c>
      <c r="W244" t="s">
        <v>139</v>
      </c>
      <c r="X244" t="s">
        <v>133</v>
      </c>
      <c r="Z244">
        <v>1</v>
      </c>
      <c r="AA244">
        <v>2</v>
      </c>
      <c r="AB244">
        <v>3</v>
      </c>
      <c r="AD244">
        <v>0</v>
      </c>
      <c r="AE244">
        <v>0</v>
      </c>
      <c r="AF244" t="s">
        <v>133</v>
      </c>
      <c r="AG244" t="s">
        <v>139</v>
      </c>
      <c r="AH244" t="s">
        <v>201</v>
      </c>
      <c r="AI244" s="4">
        <v>8</v>
      </c>
      <c r="AJ244" s="4">
        <v>11</v>
      </c>
      <c r="AK244" s="4">
        <v>0</v>
      </c>
      <c r="AL244" s="4">
        <v>19</v>
      </c>
      <c r="AM244" t="s">
        <v>446</v>
      </c>
    </row>
    <row r="245" spans="1:39" x14ac:dyDescent="0.3">
      <c r="A245" t="s">
        <v>127</v>
      </c>
      <c r="B245">
        <v>41</v>
      </c>
      <c r="C245">
        <v>3488</v>
      </c>
      <c r="D245" t="s">
        <v>161</v>
      </c>
      <c r="E245">
        <v>1</v>
      </c>
      <c r="F245" t="s">
        <v>389</v>
      </c>
      <c r="G245" t="s">
        <v>130</v>
      </c>
      <c r="H245" t="s">
        <v>144</v>
      </c>
      <c r="I245">
        <v>8</v>
      </c>
      <c r="J245">
        <v>1</v>
      </c>
      <c r="K245">
        <v>1</v>
      </c>
      <c r="L245" t="s">
        <v>132</v>
      </c>
      <c r="N245" t="s">
        <v>133</v>
      </c>
      <c r="O245">
        <v>33</v>
      </c>
      <c r="P245">
        <v>22</v>
      </c>
      <c r="Q245" t="s">
        <v>154</v>
      </c>
      <c r="R245" t="s">
        <v>135</v>
      </c>
      <c r="S245" t="s">
        <v>178</v>
      </c>
      <c r="T245" t="s">
        <v>157</v>
      </c>
      <c r="U245" t="s">
        <v>187</v>
      </c>
      <c r="V245" t="s">
        <v>133</v>
      </c>
      <c r="W245" t="s">
        <v>139</v>
      </c>
      <c r="X245" t="s">
        <v>133</v>
      </c>
      <c r="Z245">
        <v>3</v>
      </c>
      <c r="AA245">
        <v>2</v>
      </c>
      <c r="AB245">
        <v>2</v>
      </c>
      <c r="AD245">
        <v>0</v>
      </c>
      <c r="AE245">
        <v>0</v>
      </c>
      <c r="AF245" t="s">
        <v>133</v>
      </c>
      <c r="AG245" t="s">
        <v>140</v>
      </c>
      <c r="AI245" s="4">
        <v>1</v>
      </c>
      <c r="AJ245" s="4">
        <v>33</v>
      </c>
      <c r="AK245" s="4">
        <v>0</v>
      </c>
      <c r="AL245" s="4">
        <v>34</v>
      </c>
      <c r="AM245" t="s">
        <v>447</v>
      </c>
    </row>
    <row r="246" spans="1:39" x14ac:dyDescent="0.3">
      <c r="A246" t="s">
        <v>127</v>
      </c>
      <c r="B246">
        <v>41</v>
      </c>
      <c r="C246">
        <v>4655</v>
      </c>
      <c r="D246" t="s">
        <v>161</v>
      </c>
      <c r="E246">
        <v>2</v>
      </c>
      <c r="F246" t="s">
        <v>391</v>
      </c>
      <c r="G246" t="s">
        <v>130</v>
      </c>
      <c r="H246" t="s">
        <v>131</v>
      </c>
      <c r="I246">
        <v>8</v>
      </c>
      <c r="J246">
        <v>16</v>
      </c>
      <c r="K246">
        <v>6</v>
      </c>
      <c r="L246" t="s">
        <v>174</v>
      </c>
      <c r="M246" t="s">
        <v>166</v>
      </c>
      <c r="N246" t="s">
        <v>133</v>
      </c>
      <c r="O246">
        <v>94</v>
      </c>
      <c r="P246">
        <v>36</v>
      </c>
      <c r="Q246" t="s">
        <v>145</v>
      </c>
      <c r="R246" t="s">
        <v>155</v>
      </c>
      <c r="S246" t="s">
        <v>147</v>
      </c>
      <c r="T246" t="s">
        <v>148</v>
      </c>
      <c r="U246" t="s">
        <v>158</v>
      </c>
      <c r="V246" t="s">
        <v>170</v>
      </c>
      <c r="W246" t="s">
        <v>139</v>
      </c>
      <c r="X246" t="s">
        <v>133</v>
      </c>
      <c r="Z246">
        <v>4</v>
      </c>
      <c r="AA246">
        <v>4</v>
      </c>
      <c r="AB246">
        <v>4</v>
      </c>
      <c r="AD246">
        <v>0</v>
      </c>
      <c r="AE246">
        <v>0</v>
      </c>
      <c r="AF246" t="s">
        <v>133</v>
      </c>
      <c r="AG246" t="s">
        <v>139</v>
      </c>
      <c r="AH246" t="s">
        <v>220</v>
      </c>
      <c r="AI246" s="4">
        <v>16</v>
      </c>
      <c r="AJ246" s="4">
        <v>94</v>
      </c>
      <c r="AK246" s="4">
        <v>0</v>
      </c>
      <c r="AL246" s="4">
        <v>110</v>
      </c>
      <c r="AM246" t="s">
        <v>448</v>
      </c>
    </row>
    <row r="247" spans="1:39" x14ac:dyDescent="0.3">
      <c r="A247" t="s">
        <v>127</v>
      </c>
      <c r="B247">
        <v>41</v>
      </c>
      <c r="C247">
        <v>4096</v>
      </c>
      <c r="D247" t="s">
        <v>161</v>
      </c>
      <c r="E247">
        <v>3</v>
      </c>
      <c r="F247" t="s">
        <v>392</v>
      </c>
      <c r="G247" t="s">
        <v>130</v>
      </c>
      <c r="H247" t="s">
        <v>131</v>
      </c>
      <c r="I247">
        <v>8</v>
      </c>
      <c r="J247">
        <v>11</v>
      </c>
      <c r="K247">
        <v>2</v>
      </c>
      <c r="L247" t="s">
        <v>174</v>
      </c>
      <c r="M247" t="s">
        <v>180</v>
      </c>
      <c r="N247" t="s">
        <v>133</v>
      </c>
      <c r="O247">
        <v>62</v>
      </c>
      <c r="P247">
        <v>11</v>
      </c>
      <c r="Q247" t="s">
        <v>145</v>
      </c>
      <c r="R247" t="s">
        <v>155</v>
      </c>
      <c r="S247" t="s">
        <v>147</v>
      </c>
      <c r="T247" t="s">
        <v>148</v>
      </c>
      <c r="U247" t="s">
        <v>158</v>
      </c>
      <c r="V247" t="s">
        <v>133</v>
      </c>
      <c r="W247" t="s">
        <v>181</v>
      </c>
      <c r="X247" t="s">
        <v>133</v>
      </c>
      <c r="Z247">
        <v>4</v>
      </c>
      <c r="AA247">
        <v>3</v>
      </c>
      <c r="AB247">
        <v>4</v>
      </c>
      <c r="AD247">
        <v>0</v>
      </c>
      <c r="AE247">
        <v>0</v>
      </c>
      <c r="AF247" t="s">
        <v>133</v>
      </c>
      <c r="AG247" t="s">
        <v>140</v>
      </c>
      <c r="AH247" t="s">
        <v>175</v>
      </c>
      <c r="AI247" s="4">
        <v>11</v>
      </c>
      <c r="AJ247" s="4">
        <v>62</v>
      </c>
      <c r="AK247" s="4">
        <v>0</v>
      </c>
      <c r="AL247" s="4">
        <v>73</v>
      </c>
      <c r="AM247" t="s">
        <v>449</v>
      </c>
    </row>
    <row r="248" spans="1:39" x14ac:dyDescent="0.3">
      <c r="A248" t="s">
        <v>127</v>
      </c>
      <c r="B248">
        <v>42</v>
      </c>
      <c r="C248">
        <v>648</v>
      </c>
      <c r="D248" t="s">
        <v>128</v>
      </c>
      <c r="E248">
        <v>1</v>
      </c>
      <c r="F248" t="s">
        <v>383</v>
      </c>
      <c r="G248" t="s">
        <v>130</v>
      </c>
      <c r="H248" t="s">
        <v>131</v>
      </c>
      <c r="I248">
        <v>8</v>
      </c>
      <c r="J248">
        <v>10</v>
      </c>
      <c r="K248">
        <v>6</v>
      </c>
      <c r="L248" t="s">
        <v>165</v>
      </c>
      <c r="M248" t="s">
        <v>166</v>
      </c>
      <c r="N248" t="s">
        <v>133</v>
      </c>
      <c r="O248">
        <v>12</v>
      </c>
      <c r="P248">
        <v>8</v>
      </c>
      <c r="Q248" t="s">
        <v>154</v>
      </c>
      <c r="R248" t="s">
        <v>135</v>
      </c>
      <c r="T248" t="s">
        <v>191</v>
      </c>
      <c r="U248" t="s">
        <v>187</v>
      </c>
      <c r="V248" t="s">
        <v>138</v>
      </c>
      <c r="W248" t="s">
        <v>139</v>
      </c>
      <c r="X248" t="s">
        <v>133</v>
      </c>
      <c r="Z248">
        <v>4</v>
      </c>
      <c r="AA248">
        <v>2</v>
      </c>
      <c r="AB248">
        <v>3</v>
      </c>
      <c r="AD248">
        <v>0</v>
      </c>
      <c r="AE248">
        <v>0</v>
      </c>
      <c r="AF248" t="s">
        <v>133</v>
      </c>
      <c r="AG248" t="s">
        <v>139</v>
      </c>
      <c r="AH248" t="s">
        <v>201</v>
      </c>
      <c r="AI248" s="4">
        <v>10</v>
      </c>
      <c r="AJ248" s="4">
        <v>12</v>
      </c>
      <c r="AK248" s="4">
        <v>0</v>
      </c>
      <c r="AL248" s="4">
        <v>22</v>
      </c>
      <c r="AM248" t="s">
        <v>450</v>
      </c>
    </row>
    <row r="249" spans="1:39" x14ac:dyDescent="0.3">
      <c r="A249" t="s">
        <v>127</v>
      </c>
      <c r="B249">
        <v>42</v>
      </c>
      <c r="C249">
        <v>3284</v>
      </c>
      <c r="D249" t="s">
        <v>128</v>
      </c>
      <c r="E249">
        <v>2</v>
      </c>
      <c r="F249" t="s">
        <v>385</v>
      </c>
      <c r="G249" t="s">
        <v>130</v>
      </c>
      <c r="H249" t="s">
        <v>144</v>
      </c>
      <c r="I249">
        <v>8</v>
      </c>
      <c r="J249">
        <v>11</v>
      </c>
      <c r="K249">
        <v>5</v>
      </c>
      <c r="L249" t="s">
        <v>174</v>
      </c>
      <c r="M249" t="s">
        <v>180</v>
      </c>
      <c r="N249" t="s">
        <v>133</v>
      </c>
      <c r="O249">
        <v>8</v>
      </c>
      <c r="P249">
        <v>4</v>
      </c>
      <c r="Q249" t="s">
        <v>134</v>
      </c>
      <c r="R249" t="s">
        <v>135</v>
      </c>
      <c r="T249" t="s">
        <v>136</v>
      </c>
      <c r="U249" t="s">
        <v>137</v>
      </c>
      <c r="V249" t="s">
        <v>170</v>
      </c>
      <c r="W249" t="s">
        <v>139</v>
      </c>
      <c r="X249" t="s">
        <v>133</v>
      </c>
      <c r="Z249">
        <v>3</v>
      </c>
      <c r="AA249">
        <v>3</v>
      </c>
      <c r="AB249">
        <v>3</v>
      </c>
      <c r="AD249">
        <v>0</v>
      </c>
      <c r="AE249">
        <v>0</v>
      </c>
      <c r="AF249" t="s">
        <v>133</v>
      </c>
      <c r="AG249" t="s">
        <v>140</v>
      </c>
      <c r="AH249" t="s">
        <v>185</v>
      </c>
      <c r="AI249" s="4">
        <v>11</v>
      </c>
      <c r="AJ249" s="4">
        <v>8</v>
      </c>
      <c r="AK249" s="4">
        <v>0</v>
      </c>
      <c r="AL249" s="4">
        <v>19</v>
      </c>
      <c r="AM249" t="s">
        <v>451</v>
      </c>
    </row>
    <row r="250" spans="1:39" x14ac:dyDescent="0.3">
      <c r="A250" t="s">
        <v>127</v>
      </c>
      <c r="B250">
        <v>42</v>
      </c>
      <c r="C250">
        <v>9082</v>
      </c>
      <c r="D250" t="s">
        <v>128</v>
      </c>
      <c r="E250">
        <v>3</v>
      </c>
      <c r="F250" t="s">
        <v>387</v>
      </c>
      <c r="G250" t="s">
        <v>130</v>
      </c>
      <c r="H250" t="s">
        <v>131</v>
      </c>
      <c r="I250">
        <v>8</v>
      </c>
      <c r="J250">
        <v>16</v>
      </c>
      <c r="K250">
        <v>1</v>
      </c>
      <c r="L250" t="s">
        <v>165</v>
      </c>
      <c r="M250" t="s">
        <v>180</v>
      </c>
      <c r="N250" t="s">
        <v>133</v>
      </c>
      <c r="O250">
        <v>85</v>
      </c>
      <c r="P250">
        <v>7</v>
      </c>
      <c r="Q250" t="s">
        <v>145</v>
      </c>
      <c r="R250" t="s">
        <v>146</v>
      </c>
      <c r="S250" t="s">
        <v>147</v>
      </c>
      <c r="T250" t="s">
        <v>148</v>
      </c>
      <c r="U250" t="s">
        <v>158</v>
      </c>
      <c r="V250" t="s">
        <v>133</v>
      </c>
      <c r="W250" t="s">
        <v>139</v>
      </c>
      <c r="X250" t="s">
        <v>133</v>
      </c>
      <c r="Z250">
        <v>3</v>
      </c>
      <c r="AA250">
        <v>3</v>
      </c>
      <c r="AB250">
        <v>5</v>
      </c>
      <c r="AD250">
        <v>0</v>
      </c>
      <c r="AE250">
        <v>0</v>
      </c>
      <c r="AF250" t="s">
        <v>133</v>
      </c>
      <c r="AG250" t="s">
        <v>130</v>
      </c>
      <c r="AH250" t="s">
        <v>167</v>
      </c>
      <c r="AI250" s="4">
        <v>16</v>
      </c>
      <c r="AJ250" s="4">
        <v>85</v>
      </c>
      <c r="AK250" s="4">
        <v>0</v>
      </c>
      <c r="AL250" s="4">
        <v>101</v>
      </c>
      <c r="AM250" t="s">
        <v>452</v>
      </c>
    </row>
    <row r="251" spans="1:39" x14ac:dyDescent="0.3">
      <c r="A251" t="s">
        <v>127</v>
      </c>
      <c r="B251">
        <v>42</v>
      </c>
      <c r="C251">
        <v>7472</v>
      </c>
      <c r="D251" t="s">
        <v>161</v>
      </c>
      <c r="E251">
        <v>1</v>
      </c>
      <c r="F251" t="s">
        <v>389</v>
      </c>
      <c r="G251" t="s">
        <v>130</v>
      </c>
      <c r="H251" t="s">
        <v>131</v>
      </c>
      <c r="I251">
        <v>8</v>
      </c>
      <c r="J251">
        <v>6</v>
      </c>
      <c r="K251">
        <v>5</v>
      </c>
      <c r="L251" t="s">
        <v>132</v>
      </c>
      <c r="N251" t="s">
        <v>133</v>
      </c>
      <c r="O251">
        <v>2</v>
      </c>
      <c r="P251">
        <v>2</v>
      </c>
      <c r="Q251" t="s">
        <v>134</v>
      </c>
      <c r="R251" t="s">
        <v>135</v>
      </c>
      <c r="T251" t="s">
        <v>203</v>
      </c>
      <c r="U251" t="s">
        <v>137</v>
      </c>
      <c r="V251" t="s">
        <v>133</v>
      </c>
      <c r="W251" t="s">
        <v>139</v>
      </c>
      <c r="X251" t="s">
        <v>133</v>
      </c>
      <c r="Z251">
        <v>1</v>
      </c>
      <c r="AA251">
        <v>1</v>
      </c>
      <c r="AB251">
        <v>2</v>
      </c>
      <c r="AC251" t="s">
        <v>233</v>
      </c>
      <c r="AD251">
        <v>1</v>
      </c>
      <c r="AE251">
        <v>1</v>
      </c>
      <c r="AF251" t="s">
        <v>133</v>
      </c>
      <c r="AG251" t="s">
        <v>139</v>
      </c>
      <c r="AH251" t="s">
        <v>185</v>
      </c>
      <c r="AI251" s="4">
        <v>6</v>
      </c>
      <c r="AJ251" s="4">
        <v>2</v>
      </c>
      <c r="AK251" s="4">
        <v>0</v>
      </c>
      <c r="AL251" s="4">
        <v>8</v>
      </c>
      <c r="AM251" t="s">
        <v>453</v>
      </c>
    </row>
    <row r="252" spans="1:39" x14ac:dyDescent="0.3">
      <c r="A252" t="s">
        <v>127</v>
      </c>
      <c r="B252">
        <v>42</v>
      </c>
      <c r="C252">
        <v>8020</v>
      </c>
      <c r="D252" t="s">
        <v>161</v>
      </c>
      <c r="E252">
        <v>2</v>
      </c>
      <c r="F252" t="s">
        <v>391</v>
      </c>
      <c r="G252" t="s">
        <v>130</v>
      </c>
      <c r="H252" t="s">
        <v>131</v>
      </c>
      <c r="I252">
        <v>8</v>
      </c>
      <c r="J252">
        <v>15</v>
      </c>
      <c r="K252">
        <v>2</v>
      </c>
      <c r="L252" t="s">
        <v>165</v>
      </c>
      <c r="M252" t="s">
        <v>166</v>
      </c>
      <c r="N252" t="s">
        <v>133</v>
      </c>
      <c r="O252">
        <v>48</v>
      </c>
      <c r="P252">
        <v>5</v>
      </c>
      <c r="Q252" t="s">
        <v>145</v>
      </c>
      <c r="R252" t="s">
        <v>146</v>
      </c>
      <c r="S252" t="s">
        <v>147</v>
      </c>
      <c r="T252" t="s">
        <v>148</v>
      </c>
      <c r="U252" t="s">
        <v>149</v>
      </c>
      <c r="V252" t="s">
        <v>133</v>
      </c>
      <c r="W252" t="s">
        <v>139</v>
      </c>
      <c r="X252" t="s">
        <v>133</v>
      </c>
      <c r="Z252">
        <v>4</v>
      </c>
      <c r="AA252">
        <v>3</v>
      </c>
      <c r="AB252">
        <v>4</v>
      </c>
      <c r="AC252" t="s">
        <v>233</v>
      </c>
      <c r="AD252">
        <v>1</v>
      </c>
      <c r="AE252">
        <v>0</v>
      </c>
      <c r="AF252" t="s">
        <v>133</v>
      </c>
      <c r="AG252" t="s">
        <v>130</v>
      </c>
      <c r="AH252" t="s">
        <v>277</v>
      </c>
      <c r="AI252" s="4">
        <v>15</v>
      </c>
      <c r="AJ252" s="4">
        <v>48</v>
      </c>
      <c r="AK252" s="4">
        <v>0</v>
      </c>
      <c r="AL252" s="4">
        <v>63</v>
      </c>
      <c r="AM252" t="s">
        <v>454</v>
      </c>
    </row>
    <row r="253" spans="1:39" x14ac:dyDescent="0.3">
      <c r="A253" t="s">
        <v>127</v>
      </c>
      <c r="B253">
        <v>42</v>
      </c>
      <c r="C253">
        <v>1756</v>
      </c>
      <c r="D253" t="s">
        <v>161</v>
      </c>
      <c r="E253">
        <v>3</v>
      </c>
      <c r="F253" t="s">
        <v>392</v>
      </c>
      <c r="G253" t="s">
        <v>130</v>
      </c>
      <c r="H253" t="s">
        <v>131</v>
      </c>
      <c r="I253">
        <v>8</v>
      </c>
      <c r="J253">
        <v>14</v>
      </c>
      <c r="K253">
        <v>3</v>
      </c>
      <c r="L253" t="s">
        <v>174</v>
      </c>
      <c r="M253" t="s">
        <v>180</v>
      </c>
      <c r="N253" t="s">
        <v>133</v>
      </c>
      <c r="O253">
        <v>113</v>
      </c>
      <c r="P253">
        <v>25</v>
      </c>
      <c r="Q253" t="s">
        <v>145</v>
      </c>
      <c r="R253" t="s">
        <v>146</v>
      </c>
      <c r="S253" t="s">
        <v>147</v>
      </c>
      <c r="T253" t="s">
        <v>148</v>
      </c>
      <c r="U253" t="s">
        <v>149</v>
      </c>
      <c r="V253" t="s">
        <v>133</v>
      </c>
      <c r="W253" t="s">
        <v>170</v>
      </c>
      <c r="X253" t="s">
        <v>133</v>
      </c>
      <c r="Z253">
        <v>5</v>
      </c>
      <c r="AA253">
        <v>5</v>
      </c>
      <c r="AB253">
        <v>5</v>
      </c>
      <c r="AD253">
        <v>0</v>
      </c>
      <c r="AE253">
        <v>0</v>
      </c>
      <c r="AF253" t="s">
        <v>133</v>
      </c>
      <c r="AG253" t="s">
        <v>130</v>
      </c>
      <c r="AH253" t="s">
        <v>319</v>
      </c>
      <c r="AI253" s="4">
        <v>14</v>
      </c>
      <c r="AJ253" s="4">
        <v>113</v>
      </c>
      <c r="AK253" s="4">
        <v>0</v>
      </c>
      <c r="AL253" s="4">
        <v>127</v>
      </c>
      <c r="AM253" t="s">
        <v>455</v>
      </c>
    </row>
    <row r="254" spans="1:39" x14ac:dyDescent="0.3">
      <c r="A254" t="s">
        <v>127</v>
      </c>
      <c r="B254">
        <v>43</v>
      </c>
      <c r="C254">
        <v>5442</v>
      </c>
      <c r="D254" t="s">
        <v>128</v>
      </c>
      <c r="E254">
        <v>1</v>
      </c>
      <c r="F254" t="s">
        <v>383</v>
      </c>
      <c r="G254" t="s">
        <v>130</v>
      </c>
      <c r="H254" t="s">
        <v>153</v>
      </c>
      <c r="I254">
        <v>8</v>
      </c>
      <c r="J254">
        <v>0</v>
      </c>
      <c r="K254">
        <v>0</v>
      </c>
      <c r="N254" t="s">
        <v>133</v>
      </c>
      <c r="O254">
        <v>21</v>
      </c>
      <c r="P254">
        <v>8</v>
      </c>
      <c r="Q254" t="s">
        <v>154</v>
      </c>
      <c r="R254" t="s">
        <v>155</v>
      </c>
      <c r="S254" t="s">
        <v>156</v>
      </c>
      <c r="T254" t="s">
        <v>157</v>
      </c>
      <c r="U254" t="s">
        <v>187</v>
      </c>
      <c r="V254" t="s">
        <v>133</v>
      </c>
      <c r="W254" t="s">
        <v>139</v>
      </c>
      <c r="X254" t="s">
        <v>133</v>
      </c>
      <c r="Z254">
        <v>3</v>
      </c>
      <c r="AA254">
        <v>3</v>
      </c>
      <c r="AB254">
        <v>3</v>
      </c>
      <c r="AD254">
        <v>0</v>
      </c>
      <c r="AE254">
        <v>0</v>
      </c>
      <c r="AF254" t="s">
        <v>133</v>
      </c>
      <c r="AG254" t="s">
        <v>130</v>
      </c>
      <c r="AI254" s="4">
        <v>0</v>
      </c>
      <c r="AJ254" s="4">
        <v>21</v>
      </c>
      <c r="AK254" s="4">
        <v>0</v>
      </c>
      <c r="AL254" s="4">
        <v>21</v>
      </c>
      <c r="AM254" t="s">
        <v>456</v>
      </c>
    </row>
    <row r="255" spans="1:39" x14ac:dyDescent="0.3">
      <c r="A255" t="s">
        <v>127</v>
      </c>
      <c r="B255">
        <v>43</v>
      </c>
      <c r="C255">
        <v>7417</v>
      </c>
      <c r="D255" t="s">
        <v>128</v>
      </c>
      <c r="E255">
        <v>2</v>
      </c>
      <c r="F255" t="s">
        <v>385</v>
      </c>
      <c r="G255" t="s">
        <v>130</v>
      </c>
      <c r="H255" t="s">
        <v>144</v>
      </c>
      <c r="I255">
        <v>8</v>
      </c>
      <c r="J255">
        <v>6</v>
      </c>
      <c r="K255">
        <v>3</v>
      </c>
      <c r="L255" t="s">
        <v>174</v>
      </c>
      <c r="N255" t="s">
        <v>133</v>
      </c>
      <c r="O255">
        <v>3</v>
      </c>
      <c r="P255">
        <v>2</v>
      </c>
      <c r="Q255" t="s">
        <v>134</v>
      </c>
      <c r="R255" t="s">
        <v>135</v>
      </c>
      <c r="T255" t="s">
        <v>136</v>
      </c>
      <c r="U255" t="s">
        <v>137</v>
      </c>
      <c r="V255" t="s">
        <v>133</v>
      </c>
      <c r="W255" t="s">
        <v>139</v>
      </c>
      <c r="X255" t="s">
        <v>133</v>
      </c>
      <c r="Z255">
        <v>2</v>
      </c>
      <c r="AA255">
        <v>1</v>
      </c>
      <c r="AB255">
        <v>3</v>
      </c>
      <c r="AC255" t="s">
        <v>159</v>
      </c>
      <c r="AD255">
        <v>0</v>
      </c>
      <c r="AE255">
        <v>0</v>
      </c>
      <c r="AF255" t="s">
        <v>133</v>
      </c>
      <c r="AG255" t="s">
        <v>140</v>
      </c>
      <c r="AH255" t="s">
        <v>185</v>
      </c>
      <c r="AI255" s="4">
        <v>6</v>
      </c>
      <c r="AJ255" s="4">
        <v>3</v>
      </c>
      <c r="AK255" s="4">
        <v>0</v>
      </c>
      <c r="AL255" s="4">
        <v>9</v>
      </c>
      <c r="AM255" t="s">
        <v>457</v>
      </c>
    </row>
    <row r="256" spans="1:39" x14ac:dyDescent="0.3">
      <c r="A256" t="s">
        <v>127</v>
      </c>
      <c r="B256">
        <v>43</v>
      </c>
      <c r="C256">
        <v>6237</v>
      </c>
      <c r="D256" t="s">
        <v>128</v>
      </c>
      <c r="E256">
        <v>3</v>
      </c>
      <c r="F256" t="s">
        <v>387</v>
      </c>
      <c r="G256" t="s">
        <v>130</v>
      </c>
      <c r="H256" t="s">
        <v>144</v>
      </c>
      <c r="I256">
        <v>8</v>
      </c>
      <c r="J256">
        <v>2</v>
      </c>
      <c r="K256">
        <v>1</v>
      </c>
      <c r="L256" t="s">
        <v>132</v>
      </c>
      <c r="N256" t="s">
        <v>133</v>
      </c>
      <c r="O256">
        <v>55</v>
      </c>
      <c r="P256">
        <v>20</v>
      </c>
      <c r="Q256" t="s">
        <v>145</v>
      </c>
      <c r="R256" t="s">
        <v>146</v>
      </c>
      <c r="S256" t="s">
        <v>147</v>
      </c>
      <c r="T256" t="s">
        <v>148</v>
      </c>
      <c r="U256" t="s">
        <v>149</v>
      </c>
      <c r="V256" t="s">
        <v>133</v>
      </c>
      <c r="W256" t="s">
        <v>170</v>
      </c>
      <c r="X256" t="s">
        <v>133</v>
      </c>
      <c r="Z256">
        <v>4</v>
      </c>
      <c r="AA256">
        <v>4</v>
      </c>
      <c r="AB256">
        <v>3</v>
      </c>
      <c r="AD256">
        <v>1</v>
      </c>
      <c r="AE256">
        <v>0</v>
      </c>
      <c r="AF256" t="s">
        <v>133</v>
      </c>
      <c r="AG256" t="s">
        <v>130</v>
      </c>
      <c r="AH256" t="s">
        <v>254</v>
      </c>
      <c r="AI256" s="4">
        <v>2</v>
      </c>
      <c r="AJ256" s="4">
        <v>55</v>
      </c>
      <c r="AK256" s="4">
        <v>0</v>
      </c>
      <c r="AL256" s="4">
        <v>57</v>
      </c>
      <c r="AM256" t="s">
        <v>458</v>
      </c>
    </row>
    <row r="257" spans="1:39" x14ac:dyDescent="0.3">
      <c r="A257" t="s">
        <v>127</v>
      </c>
      <c r="B257">
        <v>43</v>
      </c>
      <c r="C257">
        <v>4156</v>
      </c>
      <c r="D257" t="s">
        <v>161</v>
      </c>
      <c r="E257">
        <v>1</v>
      </c>
      <c r="F257" t="s">
        <v>389</v>
      </c>
      <c r="G257" t="s">
        <v>130</v>
      </c>
      <c r="H257" t="s">
        <v>131</v>
      </c>
      <c r="I257">
        <v>8</v>
      </c>
      <c r="J257">
        <v>3</v>
      </c>
      <c r="K257">
        <v>2</v>
      </c>
      <c r="L257" t="s">
        <v>132</v>
      </c>
      <c r="N257" t="s">
        <v>133</v>
      </c>
      <c r="O257">
        <v>7</v>
      </c>
      <c r="P257">
        <v>4</v>
      </c>
      <c r="Q257" t="s">
        <v>134</v>
      </c>
      <c r="R257" t="s">
        <v>135</v>
      </c>
      <c r="T257" t="s">
        <v>136</v>
      </c>
      <c r="U257" t="s">
        <v>137</v>
      </c>
      <c r="V257" t="s">
        <v>170</v>
      </c>
      <c r="W257" t="s">
        <v>139</v>
      </c>
      <c r="X257" t="s">
        <v>133</v>
      </c>
      <c r="Z257">
        <v>2</v>
      </c>
      <c r="AA257">
        <v>2</v>
      </c>
      <c r="AB257">
        <v>4</v>
      </c>
      <c r="AD257">
        <v>0</v>
      </c>
      <c r="AE257">
        <v>0</v>
      </c>
      <c r="AF257" t="s">
        <v>133</v>
      </c>
      <c r="AG257" t="s">
        <v>139</v>
      </c>
      <c r="AH257" t="s">
        <v>185</v>
      </c>
      <c r="AI257" s="4">
        <v>3</v>
      </c>
      <c r="AJ257" s="4">
        <v>7</v>
      </c>
      <c r="AK257" s="4">
        <v>0</v>
      </c>
      <c r="AL257" s="4">
        <v>10</v>
      </c>
      <c r="AM257" t="s">
        <v>459</v>
      </c>
    </row>
    <row r="258" spans="1:39" x14ac:dyDescent="0.3">
      <c r="A258" t="s">
        <v>127</v>
      </c>
      <c r="B258">
        <v>43</v>
      </c>
      <c r="C258">
        <v>2481</v>
      </c>
      <c r="D258" t="s">
        <v>161</v>
      </c>
      <c r="E258">
        <v>2</v>
      </c>
      <c r="F258" t="s">
        <v>391</v>
      </c>
      <c r="G258" t="s">
        <v>130</v>
      </c>
      <c r="H258" t="s">
        <v>131</v>
      </c>
      <c r="I258">
        <v>8</v>
      </c>
      <c r="J258">
        <v>79</v>
      </c>
      <c r="K258">
        <v>15</v>
      </c>
      <c r="L258" t="s">
        <v>174</v>
      </c>
      <c r="M258" t="s">
        <v>180</v>
      </c>
      <c r="N258" t="s">
        <v>133</v>
      </c>
      <c r="O258">
        <v>219</v>
      </c>
      <c r="P258">
        <v>42</v>
      </c>
      <c r="Q258" t="s">
        <v>145</v>
      </c>
      <c r="R258" t="s">
        <v>146</v>
      </c>
      <c r="S258" t="s">
        <v>147</v>
      </c>
      <c r="T258" t="s">
        <v>148</v>
      </c>
      <c r="U258" t="s">
        <v>149</v>
      </c>
      <c r="V258" t="s">
        <v>133</v>
      </c>
      <c r="W258" t="s">
        <v>181</v>
      </c>
      <c r="X258" t="s">
        <v>133</v>
      </c>
      <c r="Z258">
        <v>5</v>
      </c>
      <c r="AA258">
        <v>5</v>
      </c>
      <c r="AB258">
        <v>4</v>
      </c>
      <c r="AD258">
        <v>0</v>
      </c>
      <c r="AE258">
        <v>0</v>
      </c>
      <c r="AF258" t="s">
        <v>133</v>
      </c>
      <c r="AG258" t="s">
        <v>130</v>
      </c>
      <c r="AH258" t="s">
        <v>319</v>
      </c>
      <c r="AI258" s="4">
        <v>79</v>
      </c>
      <c r="AJ258" s="4">
        <v>219</v>
      </c>
      <c r="AK258" s="4">
        <v>0</v>
      </c>
      <c r="AL258" s="4">
        <v>298</v>
      </c>
      <c r="AM258" t="s">
        <v>460</v>
      </c>
    </row>
    <row r="259" spans="1:39" x14ac:dyDescent="0.3">
      <c r="A259" t="s">
        <v>127</v>
      </c>
      <c r="B259">
        <v>43</v>
      </c>
      <c r="C259">
        <v>1736</v>
      </c>
      <c r="D259" t="s">
        <v>161</v>
      </c>
      <c r="E259">
        <v>3</v>
      </c>
      <c r="F259" t="s">
        <v>392</v>
      </c>
      <c r="G259" t="s">
        <v>130</v>
      </c>
      <c r="H259" t="s">
        <v>144</v>
      </c>
      <c r="I259">
        <v>5</v>
      </c>
      <c r="J259">
        <v>2</v>
      </c>
      <c r="K259">
        <v>1</v>
      </c>
      <c r="L259" t="s">
        <v>132</v>
      </c>
      <c r="N259" t="s">
        <v>133</v>
      </c>
      <c r="O259">
        <v>20</v>
      </c>
      <c r="P259">
        <v>7</v>
      </c>
      <c r="Q259" t="s">
        <v>154</v>
      </c>
      <c r="R259" t="s">
        <v>135</v>
      </c>
      <c r="S259" t="s">
        <v>156</v>
      </c>
      <c r="T259" t="s">
        <v>157</v>
      </c>
      <c r="U259" t="s">
        <v>187</v>
      </c>
      <c r="V259" t="s">
        <v>133</v>
      </c>
      <c r="W259" t="s">
        <v>139</v>
      </c>
      <c r="X259" t="s">
        <v>133</v>
      </c>
      <c r="Z259">
        <v>2</v>
      </c>
      <c r="AA259">
        <v>3</v>
      </c>
      <c r="AB259">
        <v>3</v>
      </c>
      <c r="AD259">
        <v>1</v>
      </c>
      <c r="AE259">
        <v>1</v>
      </c>
      <c r="AF259" t="s">
        <v>133</v>
      </c>
      <c r="AG259" t="s">
        <v>139</v>
      </c>
      <c r="AI259" s="4">
        <v>2</v>
      </c>
      <c r="AJ259" s="4">
        <v>20</v>
      </c>
      <c r="AK259" s="4">
        <v>0</v>
      </c>
      <c r="AL259" s="4">
        <v>22</v>
      </c>
      <c r="AM259" t="s">
        <v>461</v>
      </c>
    </row>
    <row r="260" spans="1:39" x14ac:dyDescent="0.3">
      <c r="A260" t="s">
        <v>127</v>
      </c>
      <c r="B260">
        <v>44</v>
      </c>
      <c r="C260">
        <v>8719</v>
      </c>
      <c r="D260" t="s">
        <v>128</v>
      </c>
      <c r="E260">
        <v>1</v>
      </c>
      <c r="F260" t="s">
        <v>383</v>
      </c>
      <c r="G260" t="s">
        <v>130</v>
      </c>
      <c r="H260" t="s">
        <v>131</v>
      </c>
      <c r="I260">
        <v>5</v>
      </c>
      <c r="J260">
        <v>4</v>
      </c>
      <c r="K260">
        <v>3</v>
      </c>
      <c r="L260" t="s">
        <v>132</v>
      </c>
      <c r="N260" t="s">
        <v>133</v>
      </c>
      <c r="O260">
        <v>2</v>
      </c>
      <c r="P260">
        <v>2</v>
      </c>
      <c r="Q260" t="s">
        <v>134</v>
      </c>
      <c r="R260" t="s">
        <v>135</v>
      </c>
      <c r="T260" t="s">
        <v>191</v>
      </c>
      <c r="U260" t="s">
        <v>137</v>
      </c>
      <c r="V260" t="s">
        <v>138</v>
      </c>
      <c r="W260" t="s">
        <v>139</v>
      </c>
      <c r="X260" t="s">
        <v>133</v>
      </c>
      <c r="Z260">
        <v>1</v>
      </c>
      <c r="AA260">
        <v>1</v>
      </c>
      <c r="AB260">
        <v>2</v>
      </c>
      <c r="AD260">
        <v>0</v>
      </c>
      <c r="AE260">
        <v>0</v>
      </c>
      <c r="AF260" t="s">
        <v>133</v>
      </c>
      <c r="AG260" t="s">
        <v>139</v>
      </c>
      <c r="AH260" t="s">
        <v>141</v>
      </c>
      <c r="AI260" s="4">
        <v>4</v>
      </c>
      <c r="AJ260" s="4">
        <v>2</v>
      </c>
      <c r="AK260" s="4">
        <v>0</v>
      </c>
      <c r="AL260" s="4">
        <v>6</v>
      </c>
      <c r="AM260" t="s">
        <v>462</v>
      </c>
    </row>
    <row r="261" spans="1:39" x14ac:dyDescent="0.3">
      <c r="A261" t="s">
        <v>127</v>
      </c>
      <c r="B261">
        <v>44</v>
      </c>
      <c r="C261">
        <v>4787</v>
      </c>
      <c r="D261" t="s">
        <v>128</v>
      </c>
      <c r="E261">
        <v>2</v>
      </c>
      <c r="F261" t="s">
        <v>385</v>
      </c>
      <c r="G261" t="s">
        <v>130</v>
      </c>
      <c r="H261" t="s">
        <v>153</v>
      </c>
      <c r="I261">
        <v>7</v>
      </c>
      <c r="J261">
        <v>0</v>
      </c>
      <c r="K261">
        <v>0</v>
      </c>
      <c r="N261" t="s">
        <v>133</v>
      </c>
      <c r="O261">
        <v>30</v>
      </c>
      <c r="P261">
        <v>15</v>
      </c>
      <c r="Q261" t="s">
        <v>154</v>
      </c>
      <c r="R261" t="s">
        <v>155</v>
      </c>
      <c r="S261" t="s">
        <v>156</v>
      </c>
      <c r="T261" t="s">
        <v>157</v>
      </c>
      <c r="U261" t="s">
        <v>187</v>
      </c>
      <c r="V261" t="s">
        <v>133</v>
      </c>
      <c r="W261" t="s">
        <v>139</v>
      </c>
      <c r="X261" t="s">
        <v>133</v>
      </c>
      <c r="Z261">
        <v>3</v>
      </c>
      <c r="AA261">
        <v>2</v>
      </c>
      <c r="AB261">
        <v>3</v>
      </c>
      <c r="AD261">
        <v>0</v>
      </c>
      <c r="AE261">
        <v>0</v>
      </c>
      <c r="AF261" t="s">
        <v>133</v>
      </c>
      <c r="AG261" t="s">
        <v>140</v>
      </c>
      <c r="AI261" s="4">
        <v>0</v>
      </c>
      <c r="AJ261" s="4">
        <v>30</v>
      </c>
      <c r="AK261" s="4">
        <v>0</v>
      </c>
      <c r="AL261" s="4">
        <v>30</v>
      </c>
      <c r="AM261" t="s">
        <v>463</v>
      </c>
    </row>
    <row r="262" spans="1:39" x14ac:dyDescent="0.3">
      <c r="A262" t="s">
        <v>127</v>
      </c>
      <c r="B262">
        <v>44</v>
      </c>
      <c r="C262">
        <v>8029</v>
      </c>
      <c r="D262" t="s">
        <v>128</v>
      </c>
      <c r="E262">
        <v>3</v>
      </c>
      <c r="F262" t="s">
        <v>387</v>
      </c>
      <c r="G262" t="s">
        <v>130</v>
      </c>
      <c r="H262" t="s">
        <v>131</v>
      </c>
      <c r="I262">
        <v>5</v>
      </c>
      <c r="J262">
        <v>4</v>
      </c>
      <c r="K262">
        <v>4</v>
      </c>
      <c r="L262" t="s">
        <v>174</v>
      </c>
      <c r="N262" t="s">
        <v>133</v>
      </c>
      <c r="O262">
        <v>16</v>
      </c>
      <c r="P262">
        <v>15</v>
      </c>
      <c r="Q262" t="s">
        <v>134</v>
      </c>
      <c r="R262" t="s">
        <v>135</v>
      </c>
      <c r="T262" t="s">
        <v>203</v>
      </c>
      <c r="U262" t="s">
        <v>137</v>
      </c>
      <c r="V262" t="s">
        <v>170</v>
      </c>
      <c r="W262" t="s">
        <v>139</v>
      </c>
      <c r="X262" t="s">
        <v>133</v>
      </c>
      <c r="Z262">
        <v>1</v>
      </c>
      <c r="AA262">
        <v>2</v>
      </c>
      <c r="AB262">
        <v>2</v>
      </c>
      <c r="AD262">
        <v>0</v>
      </c>
      <c r="AE262">
        <v>0</v>
      </c>
      <c r="AF262" t="s">
        <v>133</v>
      </c>
      <c r="AG262" t="s">
        <v>139</v>
      </c>
      <c r="AI262" s="4">
        <v>4</v>
      </c>
      <c r="AJ262" s="4">
        <v>16</v>
      </c>
      <c r="AK262" s="4">
        <v>0</v>
      </c>
      <c r="AL262" s="4">
        <v>20</v>
      </c>
      <c r="AM262" t="s">
        <v>464</v>
      </c>
    </row>
    <row r="263" spans="1:39" x14ac:dyDescent="0.3">
      <c r="A263" t="s">
        <v>127</v>
      </c>
      <c r="B263">
        <v>44</v>
      </c>
      <c r="C263">
        <v>7848</v>
      </c>
      <c r="D263" t="s">
        <v>161</v>
      </c>
      <c r="E263">
        <v>1</v>
      </c>
      <c r="F263" t="s">
        <v>389</v>
      </c>
      <c r="G263" t="s">
        <v>130</v>
      </c>
      <c r="H263" t="s">
        <v>144</v>
      </c>
      <c r="I263">
        <v>8</v>
      </c>
      <c r="J263">
        <v>2</v>
      </c>
      <c r="K263">
        <v>0</v>
      </c>
      <c r="L263" t="s">
        <v>132</v>
      </c>
      <c r="N263" t="s">
        <v>133</v>
      </c>
      <c r="O263">
        <v>34</v>
      </c>
      <c r="P263">
        <v>7</v>
      </c>
      <c r="Q263" t="s">
        <v>145</v>
      </c>
      <c r="R263" t="s">
        <v>155</v>
      </c>
      <c r="S263" t="s">
        <v>156</v>
      </c>
      <c r="T263" t="s">
        <v>157</v>
      </c>
      <c r="U263" t="s">
        <v>158</v>
      </c>
      <c r="V263" t="s">
        <v>133</v>
      </c>
      <c r="W263" t="s">
        <v>139</v>
      </c>
      <c r="X263" t="s">
        <v>133</v>
      </c>
      <c r="Z263">
        <v>3</v>
      </c>
      <c r="AA263">
        <v>2</v>
      </c>
      <c r="AB263">
        <v>5</v>
      </c>
      <c r="AD263">
        <v>0</v>
      </c>
      <c r="AE263">
        <v>0</v>
      </c>
      <c r="AF263" t="s">
        <v>133</v>
      </c>
      <c r="AG263" t="s">
        <v>139</v>
      </c>
      <c r="AI263" s="4">
        <v>2</v>
      </c>
      <c r="AJ263" s="4">
        <v>34</v>
      </c>
      <c r="AK263" s="4">
        <v>0</v>
      </c>
      <c r="AL263" s="4">
        <v>36</v>
      </c>
      <c r="AM263" t="s">
        <v>465</v>
      </c>
    </row>
    <row r="264" spans="1:39" x14ac:dyDescent="0.3">
      <c r="A264" t="s">
        <v>127</v>
      </c>
      <c r="B264">
        <v>44</v>
      </c>
      <c r="C264">
        <v>1625</v>
      </c>
      <c r="D264" t="s">
        <v>161</v>
      </c>
      <c r="E264">
        <v>2</v>
      </c>
      <c r="F264" t="s">
        <v>391</v>
      </c>
      <c r="G264" t="s">
        <v>130</v>
      </c>
      <c r="H264" t="s">
        <v>153</v>
      </c>
      <c r="I264">
        <v>8</v>
      </c>
      <c r="J264">
        <v>28</v>
      </c>
      <c r="K264">
        <v>10</v>
      </c>
      <c r="L264" t="s">
        <v>174</v>
      </c>
      <c r="M264" t="s">
        <v>166</v>
      </c>
      <c r="N264" t="s">
        <v>133</v>
      </c>
      <c r="O264">
        <v>75</v>
      </c>
      <c r="P264">
        <v>27</v>
      </c>
      <c r="Q264" t="s">
        <v>145</v>
      </c>
      <c r="R264" t="s">
        <v>146</v>
      </c>
      <c r="S264" t="s">
        <v>147</v>
      </c>
      <c r="T264" t="s">
        <v>148</v>
      </c>
      <c r="U264" t="s">
        <v>149</v>
      </c>
      <c r="V264" t="s">
        <v>133</v>
      </c>
      <c r="W264" t="s">
        <v>170</v>
      </c>
      <c r="X264" t="s">
        <v>133</v>
      </c>
      <c r="Z264">
        <v>4</v>
      </c>
      <c r="AA264">
        <v>4</v>
      </c>
      <c r="AB264">
        <v>3</v>
      </c>
      <c r="AD264">
        <v>0</v>
      </c>
      <c r="AE264">
        <v>0</v>
      </c>
      <c r="AF264" t="s">
        <v>133</v>
      </c>
      <c r="AG264" t="s">
        <v>130</v>
      </c>
      <c r="AH264" t="s">
        <v>175</v>
      </c>
      <c r="AI264" s="4">
        <v>28</v>
      </c>
      <c r="AJ264" s="4">
        <v>75</v>
      </c>
      <c r="AK264" s="4">
        <v>0</v>
      </c>
      <c r="AL264" s="4">
        <v>103</v>
      </c>
      <c r="AM264" t="s">
        <v>466</v>
      </c>
    </row>
    <row r="265" spans="1:39" x14ac:dyDescent="0.3">
      <c r="A265" t="s">
        <v>127</v>
      </c>
      <c r="B265">
        <v>44</v>
      </c>
      <c r="C265">
        <v>2040</v>
      </c>
      <c r="D265" t="s">
        <v>161</v>
      </c>
      <c r="E265">
        <v>3</v>
      </c>
      <c r="F265" t="s">
        <v>392</v>
      </c>
      <c r="G265" t="s">
        <v>130</v>
      </c>
      <c r="H265" t="s">
        <v>144</v>
      </c>
      <c r="I265">
        <v>5</v>
      </c>
      <c r="J265">
        <v>19</v>
      </c>
      <c r="K265">
        <v>4</v>
      </c>
      <c r="L265" t="s">
        <v>165</v>
      </c>
      <c r="M265" t="s">
        <v>166</v>
      </c>
      <c r="N265" t="s">
        <v>133</v>
      </c>
      <c r="O265">
        <v>105</v>
      </c>
      <c r="P265">
        <v>25</v>
      </c>
      <c r="Q265" t="s">
        <v>145</v>
      </c>
      <c r="R265" t="s">
        <v>146</v>
      </c>
      <c r="S265" t="s">
        <v>147</v>
      </c>
      <c r="T265" t="s">
        <v>148</v>
      </c>
      <c r="U265" t="s">
        <v>149</v>
      </c>
      <c r="V265" t="s">
        <v>133</v>
      </c>
      <c r="W265" t="s">
        <v>139</v>
      </c>
      <c r="X265" t="s">
        <v>133</v>
      </c>
      <c r="Z265">
        <v>5</v>
      </c>
      <c r="AA265">
        <v>4</v>
      </c>
      <c r="AB265">
        <v>4</v>
      </c>
      <c r="AD265">
        <v>0</v>
      </c>
      <c r="AE265">
        <v>0</v>
      </c>
      <c r="AF265" t="s">
        <v>133</v>
      </c>
      <c r="AG265" t="s">
        <v>130</v>
      </c>
      <c r="AH265" t="s">
        <v>220</v>
      </c>
      <c r="AI265" s="4">
        <v>19</v>
      </c>
      <c r="AJ265" s="4">
        <v>105</v>
      </c>
      <c r="AK265" s="4">
        <v>0</v>
      </c>
      <c r="AL265" s="4">
        <v>124</v>
      </c>
      <c r="AM265" t="s">
        <v>467</v>
      </c>
    </row>
    <row r="266" spans="1:39" x14ac:dyDescent="0.3">
      <c r="A266" t="s">
        <v>127</v>
      </c>
      <c r="B266">
        <v>45</v>
      </c>
      <c r="C266">
        <v>4143</v>
      </c>
      <c r="D266" t="s">
        <v>128</v>
      </c>
      <c r="E266">
        <v>1</v>
      </c>
      <c r="F266" t="s">
        <v>383</v>
      </c>
      <c r="G266" t="s">
        <v>130</v>
      </c>
      <c r="H266" t="s">
        <v>153</v>
      </c>
      <c r="I266">
        <v>7</v>
      </c>
      <c r="J266">
        <v>59</v>
      </c>
      <c r="K266">
        <v>6</v>
      </c>
      <c r="L266" t="s">
        <v>174</v>
      </c>
      <c r="M266" t="s">
        <v>180</v>
      </c>
      <c r="N266" t="s">
        <v>133</v>
      </c>
      <c r="O266">
        <v>143</v>
      </c>
      <c r="P266">
        <v>14</v>
      </c>
      <c r="Q266" t="s">
        <v>145</v>
      </c>
      <c r="R266" t="s">
        <v>146</v>
      </c>
      <c r="S266" t="s">
        <v>147</v>
      </c>
      <c r="T266" t="s">
        <v>148</v>
      </c>
      <c r="U266" t="s">
        <v>149</v>
      </c>
      <c r="V266" t="s">
        <v>133</v>
      </c>
      <c r="W266" t="s">
        <v>181</v>
      </c>
      <c r="X266" t="s">
        <v>133</v>
      </c>
      <c r="Z266">
        <v>4</v>
      </c>
      <c r="AA266">
        <v>5</v>
      </c>
      <c r="AB266">
        <v>4</v>
      </c>
      <c r="AD266">
        <v>0</v>
      </c>
      <c r="AE266">
        <v>0</v>
      </c>
      <c r="AF266" t="s">
        <v>133</v>
      </c>
      <c r="AG266" t="s">
        <v>130</v>
      </c>
      <c r="AH266" t="s">
        <v>227</v>
      </c>
      <c r="AI266" s="4">
        <v>59</v>
      </c>
      <c r="AJ266" s="4">
        <v>143</v>
      </c>
      <c r="AK266" s="4">
        <v>0</v>
      </c>
      <c r="AL266" s="4">
        <v>202</v>
      </c>
      <c r="AM266" t="s">
        <v>468</v>
      </c>
    </row>
    <row r="267" spans="1:39" x14ac:dyDescent="0.3">
      <c r="A267" t="s">
        <v>127</v>
      </c>
      <c r="B267">
        <v>45</v>
      </c>
      <c r="C267">
        <v>4096</v>
      </c>
      <c r="D267" t="s">
        <v>128</v>
      </c>
      <c r="E267">
        <v>2</v>
      </c>
      <c r="F267" t="s">
        <v>385</v>
      </c>
      <c r="G267" t="s">
        <v>130</v>
      </c>
      <c r="H267" t="s">
        <v>131</v>
      </c>
      <c r="I267">
        <v>8</v>
      </c>
      <c r="J267">
        <v>6</v>
      </c>
      <c r="K267">
        <v>2</v>
      </c>
      <c r="L267" t="s">
        <v>132</v>
      </c>
      <c r="N267" t="s">
        <v>133</v>
      </c>
      <c r="O267">
        <v>39</v>
      </c>
      <c r="P267">
        <v>11</v>
      </c>
      <c r="Q267" t="s">
        <v>145</v>
      </c>
      <c r="R267" t="s">
        <v>155</v>
      </c>
      <c r="S267" t="s">
        <v>147</v>
      </c>
      <c r="T267" t="s">
        <v>148</v>
      </c>
      <c r="U267" t="s">
        <v>158</v>
      </c>
      <c r="V267" t="s">
        <v>133</v>
      </c>
      <c r="W267" t="s">
        <v>181</v>
      </c>
      <c r="X267" t="s">
        <v>133</v>
      </c>
      <c r="Z267">
        <v>3</v>
      </c>
      <c r="AA267">
        <v>4</v>
      </c>
      <c r="AB267">
        <v>3</v>
      </c>
      <c r="AD267">
        <v>0</v>
      </c>
      <c r="AE267">
        <v>0</v>
      </c>
      <c r="AF267" t="s">
        <v>133</v>
      </c>
      <c r="AG267" t="s">
        <v>140</v>
      </c>
      <c r="AH267" t="s">
        <v>215</v>
      </c>
      <c r="AI267" s="4">
        <v>6</v>
      </c>
      <c r="AJ267" s="4">
        <v>39</v>
      </c>
      <c r="AK267" s="4">
        <v>0</v>
      </c>
      <c r="AL267" s="4">
        <v>45</v>
      </c>
      <c r="AM267" t="s">
        <v>469</v>
      </c>
    </row>
    <row r="268" spans="1:39" x14ac:dyDescent="0.3">
      <c r="A268" t="s">
        <v>127</v>
      </c>
      <c r="B268">
        <v>45</v>
      </c>
      <c r="C268">
        <v>7472</v>
      </c>
      <c r="D268" t="s">
        <v>128</v>
      </c>
      <c r="E268">
        <v>3</v>
      </c>
      <c r="F268" t="s">
        <v>387</v>
      </c>
      <c r="G268" t="s">
        <v>130</v>
      </c>
      <c r="H268" t="s">
        <v>131</v>
      </c>
      <c r="I268">
        <v>8</v>
      </c>
      <c r="J268">
        <v>3</v>
      </c>
      <c r="K268">
        <v>3</v>
      </c>
      <c r="L268" t="s">
        <v>132</v>
      </c>
      <c r="N268" t="s">
        <v>133</v>
      </c>
      <c r="O268">
        <v>1</v>
      </c>
      <c r="P268">
        <v>1</v>
      </c>
      <c r="Q268" t="s">
        <v>134</v>
      </c>
      <c r="R268" t="s">
        <v>135</v>
      </c>
      <c r="T268" t="s">
        <v>203</v>
      </c>
      <c r="U268" t="s">
        <v>137</v>
      </c>
      <c r="V268" t="s">
        <v>133</v>
      </c>
      <c r="W268" t="s">
        <v>139</v>
      </c>
      <c r="X268" t="s">
        <v>133</v>
      </c>
      <c r="Z268">
        <v>1</v>
      </c>
      <c r="AA268">
        <v>2</v>
      </c>
      <c r="AB268">
        <v>2</v>
      </c>
      <c r="AD268">
        <v>0</v>
      </c>
      <c r="AE268">
        <v>0</v>
      </c>
      <c r="AF268" t="s">
        <v>133</v>
      </c>
      <c r="AG268" t="s">
        <v>139</v>
      </c>
      <c r="AH268" t="s">
        <v>185</v>
      </c>
      <c r="AI268" s="4">
        <v>3</v>
      </c>
      <c r="AJ268" s="4">
        <v>1</v>
      </c>
      <c r="AK268" s="4">
        <v>0</v>
      </c>
      <c r="AL268" s="4">
        <v>4</v>
      </c>
      <c r="AM268" t="s">
        <v>470</v>
      </c>
    </row>
    <row r="269" spans="1:39" x14ac:dyDescent="0.3">
      <c r="A269" t="s">
        <v>127</v>
      </c>
      <c r="B269">
        <v>45</v>
      </c>
      <c r="C269">
        <v>2861</v>
      </c>
      <c r="D269" t="s">
        <v>161</v>
      </c>
      <c r="E269">
        <v>1</v>
      </c>
      <c r="F269" t="s">
        <v>389</v>
      </c>
      <c r="G269" t="s">
        <v>130</v>
      </c>
      <c r="H269" t="s">
        <v>144</v>
      </c>
      <c r="I269">
        <v>8</v>
      </c>
      <c r="J269">
        <v>20</v>
      </c>
      <c r="K269">
        <v>5</v>
      </c>
      <c r="L269" t="s">
        <v>165</v>
      </c>
      <c r="M269" t="s">
        <v>180</v>
      </c>
      <c r="N269" t="s">
        <v>133</v>
      </c>
      <c r="O269">
        <v>40</v>
      </c>
      <c r="P269">
        <v>10</v>
      </c>
      <c r="Q269" t="s">
        <v>145</v>
      </c>
      <c r="R269" t="s">
        <v>146</v>
      </c>
      <c r="S269" t="s">
        <v>147</v>
      </c>
      <c r="T269" t="s">
        <v>148</v>
      </c>
      <c r="U269" t="s">
        <v>149</v>
      </c>
      <c r="V269" t="s">
        <v>133</v>
      </c>
      <c r="W269" t="s">
        <v>139</v>
      </c>
      <c r="X269" t="s">
        <v>133</v>
      </c>
      <c r="Z269">
        <v>5</v>
      </c>
      <c r="AA269">
        <v>4</v>
      </c>
      <c r="AB269">
        <v>5</v>
      </c>
      <c r="AC269" t="s">
        <v>272</v>
      </c>
      <c r="AD269">
        <v>0</v>
      </c>
      <c r="AE269">
        <v>0</v>
      </c>
      <c r="AF269" t="s">
        <v>133</v>
      </c>
      <c r="AG269" t="s">
        <v>130</v>
      </c>
      <c r="AH269" t="s">
        <v>215</v>
      </c>
      <c r="AI269" s="4">
        <v>20</v>
      </c>
      <c r="AJ269" s="4">
        <v>40</v>
      </c>
      <c r="AK269" s="4">
        <v>0</v>
      </c>
      <c r="AL269" s="4">
        <v>60</v>
      </c>
      <c r="AM269" t="s">
        <v>471</v>
      </c>
    </row>
    <row r="270" spans="1:39" x14ac:dyDescent="0.3">
      <c r="A270" t="s">
        <v>127</v>
      </c>
      <c r="B270">
        <v>45</v>
      </c>
      <c r="C270">
        <v>2022</v>
      </c>
      <c r="D270" t="s">
        <v>161</v>
      </c>
      <c r="E270">
        <v>2</v>
      </c>
      <c r="F270" t="s">
        <v>391</v>
      </c>
      <c r="G270" t="s">
        <v>130</v>
      </c>
      <c r="H270" t="s">
        <v>131</v>
      </c>
      <c r="I270">
        <v>8</v>
      </c>
      <c r="J270">
        <v>4</v>
      </c>
      <c r="K270">
        <v>1</v>
      </c>
      <c r="L270" t="s">
        <v>132</v>
      </c>
      <c r="N270" t="s">
        <v>133</v>
      </c>
      <c r="O270">
        <v>45</v>
      </c>
      <c r="P270">
        <v>11</v>
      </c>
      <c r="Q270" t="s">
        <v>154</v>
      </c>
      <c r="R270" t="s">
        <v>155</v>
      </c>
      <c r="S270" t="s">
        <v>156</v>
      </c>
      <c r="T270" t="s">
        <v>157</v>
      </c>
      <c r="U270" t="s">
        <v>158</v>
      </c>
      <c r="V270" t="s">
        <v>170</v>
      </c>
      <c r="W270" t="s">
        <v>139</v>
      </c>
      <c r="X270" t="s">
        <v>133</v>
      </c>
      <c r="Z270">
        <v>3</v>
      </c>
      <c r="AA270">
        <v>4</v>
      </c>
      <c r="AB270">
        <v>3</v>
      </c>
      <c r="AD270">
        <v>0</v>
      </c>
      <c r="AE270">
        <v>0</v>
      </c>
      <c r="AF270" t="s">
        <v>133</v>
      </c>
      <c r="AG270" t="s">
        <v>140</v>
      </c>
      <c r="AI270" s="4">
        <v>4</v>
      </c>
      <c r="AJ270" s="4">
        <v>45</v>
      </c>
      <c r="AK270" s="4">
        <v>0</v>
      </c>
      <c r="AL270" s="4">
        <v>49</v>
      </c>
      <c r="AM270" t="s">
        <v>472</v>
      </c>
    </row>
    <row r="271" spans="1:39" x14ac:dyDescent="0.3">
      <c r="A271" t="s">
        <v>127</v>
      </c>
      <c r="B271">
        <v>45</v>
      </c>
      <c r="C271">
        <v>3284</v>
      </c>
      <c r="D271" t="s">
        <v>161</v>
      </c>
      <c r="E271">
        <v>3</v>
      </c>
      <c r="F271" t="s">
        <v>392</v>
      </c>
      <c r="G271" t="s">
        <v>130</v>
      </c>
      <c r="H271" t="s">
        <v>144</v>
      </c>
      <c r="I271">
        <v>8</v>
      </c>
      <c r="J271">
        <v>6</v>
      </c>
      <c r="K271">
        <v>2</v>
      </c>
      <c r="L271" t="s">
        <v>165</v>
      </c>
      <c r="N271" t="s">
        <v>133</v>
      </c>
      <c r="O271">
        <v>11</v>
      </c>
      <c r="P271">
        <v>4</v>
      </c>
      <c r="Q271" t="s">
        <v>134</v>
      </c>
      <c r="R271" t="s">
        <v>135</v>
      </c>
      <c r="T271" t="s">
        <v>136</v>
      </c>
      <c r="U271" t="s">
        <v>137</v>
      </c>
      <c r="V271" t="s">
        <v>170</v>
      </c>
      <c r="W271" t="s">
        <v>139</v>
      </c>
      <c r="X271" t="s">
        <v>133</v>
      </c>
      <c r="Z271">
        <v>2</v>
      </c>
      <c r="AA271">
        <v>2</v>
      </c>
      <c r="AB271">
        <v>4</v>
      </c>
      <c r="AD271">
        <v>0</v>
      </c>
      <c r="AE271">
        <v>0</v>
      </c>
      <c r="AF271" t="s">
        <v>133</v>
      </c>
      <c r="AG271" t="s">
        <v>140</v>
      </c>
      <c r="AI271" s="4">
        <v>6</v>
      </c>
      <c r="AJ271" s="4">
        <v>11</v>
      </c>
      <c r="AK271" s="4">
        <v>0</v>
      </c>
      <c r="AL271" s="4">
        <v>17</v>
      </c>
      <c r="AM271" t="s">
        <v>473</v>
      </c>
    </row>
    <row r="272" spans="1:39" x14ac:dyDescent="0.3">
      <c r="A272" t="s">
        <v>127</v>
      </c>
      <c r="B272">
        <v>46</v>
      </c>
      <c r="C272">
        <v>2039</v>
      </c>
      <c r="D272" t="s">
        <v>128</v>
      </c>
      <c r="E272">
        <v>1</v>
      </c>
      <c r="F272" t="s">
        <v>383</v>
      </c>
      <c r="G272" t="s">
        <v>130</v>
      </c>
      <c r="H272" t="s">
        <v>131</v>
      </c>
      <c r="I272">
        <v>8</v>
      </c>
      <c r="J272">
        <v>1</v>
      </c>
      <c r="K272">
        <v>1</v>
      </c>
      <c r="L272" t="s">
        <v>132</v>
      </c>
      <c r="N272" t="s">
        <v>133</v>
      </c>
      <c r="O272">
        <v>2</v>
      </c>
      <c r="P272">
        <v>2</v>
      </c>
      <c r="Q272" t="s">
        <v>134</v>
      </c>
      <c r="R272" t="s">
        <v>135</v>
      </c>
      <c r="T272" t="s">
        <v>136</v>
      </c>
      <c r="U272" t="s">
        <v>137</v>
      </c>
      <c r="V272" t="s">
        <v>170</v>
      </c>
      <c r="W272" t="s">
        <v>139</v>
      </c>
      <c r="X272" t="s">
        <v>361</v>
      </c>
      <c r="Y272" t="s">
        <v>362</v>
      </c>
      <c r="Z272">
        <v>2</v>
      </c>
      <c r="AA272">
        <v>1</v>
      </c>
      <c r="AB272">
        <v>2</v>
      </c>
      <c r="AD272">
        <v>0</v>
      </c>
      <c r="AE272">
        <v>0</v>
      </c>
      <c r="AF272" t="s">
        <v>133</v>
      </c>
      <c r="AG272" t="s">
        <v>140</v>
      </c>
      <c r="AH272" t="s">
        <v>363</v>
      </c>
      <c r="AI272" s="4">
        <v>1</v>
      </c>
      <c r="AJ272" s="4">
        <v>2</v>
      </c>
      <c r="AK272" s="4">
        <v>0</v>
      </c>
      <c r="AL272" s="4">
        <v>3</v>
      </c>
      <c r="AM272" t="s">
        <v>474</v>
      </c>
    </row>
    <row r="273" spans="1:39" x14ac:dyDescent="0.3">
      <c r="A273" t="s">
        <v>127</v>
      </c>
      <c r="B273">
        <v>46</v>
      </c>
      <c r="C273">
        <v>8096</v>
      </c>
      <c r="D273" t="s">
        <v>128</v>
      </c>
      <c r="E273">
        <v>2</v>
      </c>
      <c r="F273" t="s">
        <v>385</v>
      </c>
      <c r="G273" t="s">
        <v>130</v>
      </c>
      <c r="H273" t="s">
        <v>144</v>
      </c>
      <c r="I273">
        <v>8</v>
      </c>
      <c r="J273">
        <v>7</v>
      </c>
      <c r="K273">
        <v>3</v>
      </c>
      <c r="L273" t="s">
        <v>132</v>
      </c>
      <c r="N273" t="s">
        <v>133</v>
      </c>
      <c r="O273">
        <v>67</v>
      </c>
      <c r="P273">
        <v>30</v>
      </c>
      <c r="Q273" t="s">
        <v>154</v>
      </c>
      <c r="R273" t="s">
        <v>155</v>
      </c>
      <c r="S273" t="s">
        <v>156</v>
      </c>
      <c r="T273" t="s">
        <v>157</v>
      </c>
      <c r="U273" t="s">
        <v>187</v>
      </c>
      <c r="V273" t="s">
        <v>133</v>
      </c>
      <c r="W273" t="s">
        <v>139</v>
      </c>
      <c r="X273" t="s">
        <v>133</v>
      </c>
      <c r="Z273">
        <v>3</v>
      </c>
      <c r="AA273">
        <v>3</v>
      </c>
      <c r="AB273">
        <v>3</v>
      </c>
      <c r="AD273">
        <v>0</v>
      </c>
      <c r="AE273">
        <v>0</v>
      </c>
      <c r="AF273" t="s">
        <v>133</v>
      </c>
      <c r="AG273" t="s">
        <v>140</v>
      </c>
      <c r="AH273" t="s">
        <v>175</v>
      </c>
      <c r="AI273" s="4">
        <v>7</v>
      </c>
      <c r="AJ273" s="4">
        <v>67</v>
      </c>
      <c r="AK273" s="4">
        <v>0</v>
      </c>
      <c r="AL273" s="4">
        <v>74</v>
      </c>
      <c r="AM273" t="s">
        <v>475</v>
      </c>
    </row>
    <row r="274" spans="1:39" x14ac:dyDescent="0.3">
      <c r="A274" t="s">
        <v>127</v>
      </c>
      <c r="B274">
        <v>46</v>
      </c>
      <c r="C274">
        <v>3067</v>
      </c>
      <c r="D274" t="s">
        <v>128</v>
      </c>
      <c r="E274">
        <v>3</v>
      </c>
      <c r="F274" t="s">
        <v>387</v>
      </c>
      <c r="G274" t="s">
        <v>130</v>
      </c>
      <c r="H274" t="s">
        <v>153</v>
      </c>
      <c r="I274">
        <v>8</v>
      </c>
      <c r="J274">
        <v>1</v>
      </c>
      <c r="K274">
        <v>0</v>
      </c>
      <c r="L274" t="s">
        <v>132</v>
      </c>
      <c r="N274" t="s">
        <v>133</v>
      </c>
      <c r="O274">
        <v>55</v>
      </c>
      <c r="P274">
        <v>16</v>
      </c>
      <c r="Q274" t="s">
        <v>145</v>
      </c>
      <c r="R274" t="s">
        <v>155</v>
      </c>
      <c r="S274" t="s">
        <v>178</v>
      </c>
      <c r="T274" t="s">
        <v>157</v>
      </c>
      <c r="U274" t="s">
        <v>158</v>
      </c>
      <c r="V274" t="s">
        <v>133</v>
      </c>
      <c r="W274" t="s">
        <v>139</v>
      </c>
      <c r="X274" t="s">
        <v>133</v>
      </c>
      <c r="Z274">
        <v>3</v>
      </c>
      <c r="AA274">
        <v>3</v>
      </c>
      <c r="AB274">
        <v>4</v>
      </c>
      <c r="AD274">
        <v>0</v>
      </c>
      <c r="AE274">
        <v>0</v>
      </c>
      <c r="AF274" t="s">
        <v>133</v>
      </c>
      <c r="AG274" t="s">
        <v>139</v>
      </c>
      <c r="AH274" t="s">
        <v>175</v>
      </c>
      <c r="AI274" s="4">
        <v>1</v>
      </c>
      <c r="AJ274" s="4">
        <v>55</v>
      </c>
      <c r="AK274" s="4">
        <v>0</v>
      </c>
      <c r="AL274" s="4">
        <v>56</v>
      </c>
      <c r="AM274" t="s">
        <v>476</v>
      </c>
    </row>
    <row r="275" spans="1:39" x14ac:dyDescent="0.3">
      <c r="A275" t="s">
        <v>127</v>
      </c>
      <c r="B275">
        <v>46</v>
      </c>
      <c r="C275">
        <v>4645</v>
      </c>
      <c r="D275" t="s">
        <v>161</v>
      </c>
      <c r="E275">
        <v>1</v>
      </c>
      <c r="F275" t="s">
        <v>389</v>
      </c>
      <c r="G275" t="s">
        <v>130</v>
      </c>
      <c r="H275" t="s">
        <v>153</v>
      </c>
      <c r="I275">
        <v>8</v>
      </c>
      <c r="J275">
        <v>3</v>
      </c>
      <c r="K275">
        <v>1</v>
      </c>
      <c r="L275" t="s">
        <v>132</v>
      </c>
      <c r="N275" t="s">
        <v>133</v>
      </c>
      <c r="O275">
        <v>28</v>
      </c>
      <c r="P275">
        <v>14</v>
      </c>
      <c r="Q275" t="s">
        <v>154</v>
      </c>
      <c r="R275" t="s">
        <v>155</v>
      </c>
      <c r="S275" t="s">
        <v>156</v>
      </c>
      <c r="T275" t="s">
        <v>157</v>
      </c>
      <c r="U275" t="s">
        <v>158</v>
      </c>
      <c r="V275" t="s">
        <v>133</v>
      </c>
      <c r="W275" t="s">
        <v>139</v>
      </c>
      <c r="X275" t="s">
        <v>133</v>
      </c>
      <c r="Z275">
        <v>2</v>
      </c>
      <c r="AA275">
        <v>3</v>
      </c>
      <c r="AB275">
        <v>4</v>
      </c>
      <c r="AD275">
        <v>0</v>
      </c>
      <c r="AE275">
        <v>0</v>
      </c>
      <c r="AF275" t="s">
        <v>133</v>
      </c>
      <c r="AG275" t="s">
        <v>140</v>
      </c>
      <c r="AI275" s="4">
        <v>3</v>
      </c>
      <c r="AJ275" s="4">
        <v>28</v>
      </c>
      <c r="AK275" s="4">
        <v>0</v>
      </c>
      <c r="AL275" s="4">
        <v>31</v>
      </c>
      <c r="AM275" t="s">
        <v>477</v>
      </c>
    </row>
    <row r="276" spans="1:39" x14ac:dyDescent="0.3">
      <c r="A276" t="s">
        <v>127</v>
      </c>
      <c r="B276">
        <v>46</v>
      </c>
      <c r="C276">
        <v>4213</v>
      </c>
      <c r="D276" t="s">
        <v>161</v>
      </c>
      <c r="E276">
        <v>2</v>
      </c>
      <c r="F276" t="s">
        <v>391</v>
      </c>
      <c r="G276" t="s">
        <v>130</v>
      </c>
      <c r="H276" t="s">
        <v>153</v>
      </c>
      <c r="I276">
        <v>8</v>
      </c>
      <c r="J276">
        <v>3</v>
      </c>
      <c r="K276">
        <v>1</v>
      </c>
      <c r="L276" t="s">
        <v>132</v>
      </c>
      <c r="N276" t="s">
        <v>133</v>
      </c>
      <c r="O276">
        <v>8</v>
      </c>
      <c r="P276">
        <v>2</v>
      </c>
      <c r="Q276" t="s">
        <v>145</v>
      </c>
      <c r="R276" t="s">
        <v>155</v>
      </c>
      <c r="S276" t="s">
        <v>178</v>
      </c>
      <c r="T276" t="s">
        <v>157</v>
      </c>
      <c r="U276" t="s">
        <v>158</v>
      </c>
      <c r="V276" t="s">
        <v>133</v>
      </c>
      <c r="W276" t="s">
        <v>139</v>
      </c>
      <c r="X276" t="s">
        <v>133</v>
      </c>
      <c r="Z276">
        <v>3</v>
      </c>
      <c r="AA276">
        <v>3</v>
      </c>
      <c r="AB276">
        <v>4</v>
      </c>
      <c r="AC276" t="s">
        <v>258</v>
      </c>
      <c r="AD276">
        <v>0</v>
      </c>
      <c r="AE276">
        <v>0</v>
      </c>
      <c r="AF276" t="s">
        <v>133</v>
      </c>
      <c r="AG276" t="s">
        <v>139</v>
      </c>
      <c r="AH276" t="s">
        <v>183</v>
      </c>
      <c r="AI276" s="4">
        <v>3</v>
      </c>
      <c r="AJ276" s="4">
        <v>8</v>
      </c>
      <c r="AK276" s="4">
        <v>0</v>
      </c>
      <c r="AL276" s="4">
        <v>11</v>
      </c>
      <c r="AM276" t="s">
        <v>478</v>
      </c>
    </row>
    <row r="277" spans="1:39" x14ac:dyDescent="0.3">
      <c r="A277" t="s">
        <v>127</v>
      </c>
      <c r="B277">
        <v>46</v>
      </c>
      <c r="C277">
        <v>3488</v>
      </c>
      <c r="D277" t="s">
        <v>161</v>
      </c>
      <c r="E277">
        <v>3</v>
      </c>
      <c r="F277" t="s">
        <v>392</v>
      </c>
      <c r="G277" t="s">
        <v>130</v>
      </c>
      <c r="H277" t="s">
        <v>144</v>
      </c>
      <c r="I277">
        <v>8</v>
      </c>
      <c r="J277">
        <v>1</v>
      </c>
      <c r="K277">
        <v>1</v>
      </c>
      <c r="L277" t="s">
        <v>132</v>
      </c>
      <c r="N277" t="s">
        <v>133</v>
      </c>
      <c r="O277">
        <v>35</v>
      </c>
      <c r="P277">
        <v>21</v>
      </c>
      <c r="Q277" t="s">
        <v>154</v>
      </c>
      <c r="R277" t="s">
        <v>135</v>
      </c>
      <c r="S277" t="s">
        <v>178</v>
      </c>
      <c r="T277" t="s">
        <v>157</v>
      </c>
      <c r="U277" t="s">
        <v>187</v>
      </c>
      <c r="V277" t="s">
        <v>133</v>
      </c>
      <c r="W277" t="s">
        <v>139</v>
      </c>
      <c r="X277" t="s">
        <v>133</v>
      </c>
      <c r="Z277">
        <v>2</v>
      </c>
      <c r="AA277">
        <v>3</v>
      </c>
      <c r="AB277">
        <v>3</v>
      </c>
      <c r="AD277">
        <v>0</v>
      </c>
      <c r="AE277">
        <v>0</v>
      </c>
      <c r="AF277" t="s">
        <v>133</v>
      </c>
      <c r="AG277" t="s">
        <v>139</v>
      </c>
      <c r="AI277" s="4">
        <v>1</v>
      </c>
      <c r="AJ277" s="4">
        <v>35</v>
      </c>
      <c r="AK277" s="4">
        <v>0</v>
      </c>
      <c r="AL277" s="4">
        <v>36</v>
      </c>
      <c r="AM277" t="s">
        <v>479</v>
      </c>
    </row>
    <row r="278" spans="1:39" x14ac:dyDescent="0.3">
      <c r="A278" t="s">
        <v>127</v>
      </c>
      <c r="B278">
        <v>47</v>
      </c>
      <c r="C278">
        <v>6651</v>
      </c>
      <c r="D278" t="s">
        <v>128</v>
      </c>
      <c r="E278">
        <v>1</v>
      </c>
      <c r="F278" t="s">
        <v>383</v>
      </c>
      <c r="G278" t="s">
        <v>130</v>
      </c>
      <c r="H278" t="s">
        <v>144</v>
      </c>
      <c r="I278">
        <v>8</v>
      </c>
      <c r="J278">
        <v>7</v>
      </c>
      <c r="K278">
        <v>2</v>
      </c>
      <c r="L278" t="s">
        <v>132</v>
      </c>
      <c r="N278" t="s">
        <v>133</v>
      </c>
      <c r="O278">
        <v>22</v>
      </c>
      <c r="P278">
        <v>6</v>
      </c>
      <c r="Q278" t="s">
        <v>154</v>
      </c>
      <c r="R278" t="s">
        <v>135</v>
      </c>
      <c r="T278" t="s">
        <v>157</v>
      </c>
      <c r="U278" t="s">
        <v>187</v>
      </c>
      <c r="V278" t="s">
        <v>133</v>
      </c>
      <c r="W278" t="s">
        <v>139</v>
      </c>
      <c r="X278" t="s">
        <v>133</v>
      </c>
      <c r="Z278">
        <v>1</v>
      </c>
      <c r="AA278">
        <v>3</v>
      </c>
      <c r="AB278">
        <v>4</v>
      </c>
      <c r="AD278">
        <v>0</v>
      </c>
      <c r="AE278">
        <v>0</v>
      </c>
      <c r="AF278" t="s">
        <v>133</v>
      </c>
      <c r="AG278" t="s">
        <v>140</v>
      </c>
      <c r="AI278" s="4">
        <v>7</v>
      </c>
      <c r="AJ278" s="4">
        <v>22</v>
      </c>
      <c r="AK278" s="4">
        <v>0</v>
      </c>
      <c r="AL278" s="4">
        <v>29</v>
      </c>
      <c r="AM278" t="s">
        <v>480</v>
      </c>
    </row>
    <row r="279" spans="1:39" x14ac:dyDescent="0.3">
      <c r="A279" t="s">
        <v>127</v>
      </c>
      <c r="B279">
        <v>47</v>
      </c>
      <c r="C279">
        <v>4423</v>
      </c>
      <c r="D279" t="s">
        <v>128</v>
      </c>
      <c r="E279">
        <v>2</v>
      </c>
      <c r="F279" t="s">
        <v>385</v>
      </c>
      <c r="G279" t="s">
        <v>130</v>
      </c>
      <c r="H279" t="s">
        <v>144</v>
      </c>
      <c r="I279">
        <v>8</v>
      </c>
      <c r="J279">
        <v>0</v>
      </c>
      <c r="K279">
        <v>0</v>
      </c>
      <c r="L279" t="s">
        <v>132</v>
      </c>
      <c r="N279" t="s">
        <v>133</v>
      </c>
      <c r="O279">
        <v>70</v>
      </c>
      <c r="P279">
        <v>17</v>
      </c>
      <c r="Q279" t="s">
        <v>145</v>
      </c>
      <c r="R279" t="s">
        <v>155</v>
      </c>
      <c r="S279" t="s">
        <v>147</v>
      </c>
      <c r="T279" t="s">
        <v>148</v>
      </c>
      <c r="U279" t="s">
        <v>158</v>
      </c>
      <c r="V279" t="s">
        <v>170</v>
      </c>
      <c r="W279" t="s">
        <v>139</v>
      </c>
      <c r="X279" t="s">
        <v>195</v>
      </c>
      <c r="Y279" t="s">
        <v>323</v>
      </c>
      <c r="Z279">
        <v>3</v>
      </c>
      <c r="AA279">
        <v>3</v>
      </c>
      <c r="AB279">
        <v>4</v>
      </c>
      <c r="AD279">
        <v>0</v>
      </c>
      <c r="AE279">
        <v>1</v>
      </c>
      <c r="AF279" t="s">
        <v>133</v>
      </c>
      <c r="AG279" t="s">
        <v>139</v>
      </c>
      <c r="AH279" t="s">
        <v>481</v>
      </c>
      <c r="AI279" s="4">
        <v>0</v>
      </c>
      <c r="AJ279" s="4">
        <v>70</v>
      </c>
      <c r="AK279" s="4">
        <v>10</v>
      </c>
      <c r="AL279" s="4">
        <v>80</v>
      </c>
      <c r="AM279" t="s">
        <v>482</v>
      </c>
    </row>
    <row r="280" spans="1:39" x14ac:dyDescent="0.3">
      <c r="A280" t="s">
        <v>127</v>
      </c>
      <c r="B280">
        <v>47</v>
      </c>
      <c r="C280">
        <v>1736</v>
      </c>
      <c r="D280" t="s">
        <v>128</v>
      </c>
      <c r="E280">
        <v>3</v>
      </c>
      <c r="F280" t="s">
        <v>387</v>
      </c>
      <c r="G280" t="s">
        <v>130</v>
      </c>
      <c r="H280" t="s">
        <v>144</v>
      </c>
      <c r="I280">
        <v>5</v>
      </c>
      <c r="J280">
        <v>3</v>
      </c>
      <c r="K280">
        <v>2</v>
      </c>
      <c r="L280" t="s">
        <v>132</v>
      </c>
      <c r="N280" t="s">
        <v>133</v>
      </c>
      <c r="O280">
        <v>37</v>
      </c>
      <c r="P280">
        <v>20</v>
      </c>
      <c r="Q280" t="s">
        <v>154</v>
      </c>
      <c r="R280" t="s">
        <v>135</v>
      </c>
      <c r="S280" t="s">
        <v>156</v>
      </c>
      <c r="T280" t="s">
        <v>157</v>
      </c>
      <c r="U280" t="s">
        <v>187</v>
      </c>
      <c r="V280" t="s">
        <v>133</v>
      </c>
      <c r="W280" t="s">
        <v>139</v>
      </c>
      <c r="X280" t="s">
        <v>133</v>
      </c>
      <c r="Z280">
        <v>2</v>
      </c>
      <c r="AA280">
        <v>1</v>
      </c>
      <c r="AB280">
        <v>2</v>
      </c>
      <c r="AD280">
        <v>0</v>
      </c>
      <c r="AE280">
        <v>0</v>
      </c>
      <c r="AF280" t="s">
        <v>133</v>
      </c>
      <c r="AG280" t="s">
        <v>139</v>
      </c>
      <c r="AI280" s="4">
        <v>3</v>
      </c>
      <c r="AJ280" s="4">
        <v>37</v>
      </c>
      <c r="AK280" s="4">
        <v>0</v>
      </c>
      <c r="AL280" s="4">
        <v>40</v>
      </c>
      <c r="AM280" t="s">
        <v>483</v>
      </c>
    </row>
    <row r="281" spans="1:39" x14ac:dyDescent="0.3">
      <c r="A281" t="s">
        <v>127</v>
      </c>
      <c r="B281">
        <v>47</v>
      </c>
      <c r="C281">
        <v>4655</v>
      </c>
      <c r="D281" t="s">
        <v>161</v>
      </c>
      <c r="E281">
        <v>1</v>
      </c>
      <c r="F281" t="s">
        <v>389</v>
      </c>
      <c r="G281" t="s">
        <v>130</v>
      </c>
      <c r="H281" t="s">
        <v>131</v>
      </c>
      <c r="I281">
        <v>8</v>
      </c>
      <c r="J281">
        <v>11</v>
      </c>
      <c r="K281">
        <v>5</v>
      </c>
      <c r="L281" t="s">
        <v>174</v>
      </c>
      <c r="M281" t="s">
        <v>166</v>
      </c>
      <c r="N281" t="s">
        <v>133</v>
      </c>
      <c r="O281">
        <v>100</v>
      </c>
      <c r="P281">
        <v>42</v>
      </c>
      <c r="Q281" t="s">
        <v>145</v>
      </c>
      <c r="R281" t="s">
        <v>155</v>
      </c>
      <c r="S281" t="s">
        <v>147</v>
      </c>
      <c r="T281" t="s">
        <v>148</v>
      </c>
      <c r="U281" t="s">
        <v>158</v>
      </c>
      <c r="V281" t="s">
        <v>133</v>
      </c>
      <c r="W281" t="s">
        <v>139</v>
      </c>
      <c r="X281" t="s">
        <v>133</v>
      </c>
      <c r="Z281">
        <v>4</v>
      </c>
      <c r="AA281">
        <v>2</v>
      </c>
      <c r="AB281">
        <v>4</v>
      </c>
      <c r="AD281">
        <v>1</v>
      </c>
      <c r="AE281">
        <v>0</v>
      </c>
      <c r="AF281" t="s">
        <v>133</v>
      </c>
      <c r="AG281" t="s">
        <v>139</v>
      </c>
      <c r="AH281" t="s">
        <v>319</v>
      </c>
      <c r="AI281" s="4">
        <v>11</v>
      </c>
      <c r="AJ281" s="4">
        <v>100</v>
      </c>
      <c r="AK281" s="4">
        <v>0</v>
      </c>
      <c r="AL281" s="4">
        <v>111</v>
      </c>
      <c r="AM281" t="s">
        <v>484</v>
      </c>
    </row>
    <row r="282" spans="1:39" x14ac:dyDescent="0.3">
      <c r="A282" t="s">
        <v>127</v>
      </c>
      <c r="B282">
        <v>47</v>
      </c>
      <c r="C282">
        <v>6237</v>
      </c>
      <c r="D282" t="s">
        <v>161</v>
      </c>
      <c r="E282">
        <v>2</v>
      </c>
      <c r="F282" t="s">
        <v>391</v>
      </c>
      <c r="G282" t="s">
        <v>130</v>
      </c>
      <c r="H282" t="s">
        <v>144</v>
      </c>
      <c r="I282">
        <v>8</v>
      </c>
      <c r="J282">
        <v>1</v>
      </c>
      <c r="K282">
        <v>0</v>
      </c>
      <c r="L282" t="s">
        <v>132</v>
      </c>
      <c r="N282" t="s">
        <v>133</v>
      </c>
      <c r="O282">
        <v>63</v>
      </c>
      <c r="P282">
        <v>31</v>
      </c>
      <c r="Q282" t="s">
        <v>145</v>
      </c>
      <c r="R282" t="s">
        <v>146</v>
      </c>
      <c r="S282" t="s">
        <v>147</v>
      </c>
      <c r="T282" t="s">
        <v>148</v>
      </c>
      <c r="U282" t="s">
        <v>149</v>
      </c>
      <c r="V282" t="s">
        <v>133</v>
      </c>
      <c r="W282" t="s">
        <v>139</v>
      </c>
      <c r="X282" t="s">
        <v>133</v>
      </c>
      <c r="Z282">
        <v>3</v>
      </c>
      <c r="AA282">
        <v>4</v>
      </c>
      <c r="AB282">
        <v>2</v>
      </c>
      <c r="AD282">
        <v>0</v>
      </c>
      <c r="AE282">
        <v>0</v>
      </c>
      <c r="AF282" t="s">
        <v>133</v>
      </c>
      <c r="AG282" t="s">
        <v>130</v>
      </c>
      <c r="AH282" t="s">
        <v>167</v>
      </c>
      <c r="AI282" s="4">
        <v>1</v>
      </c>
      <c r="AJ282" s="4">
        <v>63</v>
      </c>
      <c r="AK282" s="4">
        <v>0</v>
      </c>
      <c r="AL282" s="4">
        <v>64</v>
      </c>
      <c r="AM282" t="s">
        <v>485</v>
      </c>
    </row>
    <row r="283" spans="1:39" x14ac:dyDescent="0.3">
      <c r="A283" t="s">
        <v>127</v>
      </c>
      <c r="B283">
        <v>47</v>
      </c>
      <c r="C283">
        <v>1625</v>
      </c>
      <c r="D283" t="s">
        <v>161</v>
      </c>
      <c r="E283">
        <v>3</v>
      </c>
      <c r="F283" t="s">
        <v>392</v>
      </c>
      <c r="G283" t="s">
        <v>130</v>
      </c>
      <c r="H283" t="s">
        <v>153</v>
      </c>
      <c r="I283">
        <v>8</v>
      </c>
      <c r="J283">
        <v>46</v>
      </c>
      <c r="K283">
        <v>21</v>
      </c>
      <c r="L283" t="s">
        <v>174</v>
      </c>
      <c r="M283" t="s">
        <v>166</v>
      </c>
      <c r="N283" t="s">
        <v>133</v>
      </c>
      <c r="O283">
        <v>77</v>
      </c>
      <c r="P283">
        <v>34</v>
      </c>
      <c r="Q283" t="s">
        <v>145</v>
      </c>
      <c r="R283" t="s">
        <v>146</v>
      </c>
      <c r="S283" t="s">
        <v>147</v>
      </c>
      <c r="T283" t="s">
        <v>148</v>
      </c>
      <c r="U283" t="s">
        <v>149</v>
      </c>
      <c r="V283" t="s">
        <v>133</v>
      </c>
      <c r="W283" t="s">
        <v>181</v>
      </c>
      <c r="X283" t="s">
        <v>133</v>
      </c>
      <c r="Z283">
        <v>5</v>
      </c>
      <c r="AA283">
        <v>5</v>
      </c>
      <c r="AB283">
        <v>3</v>
      </c>
      <c r="AD283">
        <v>0</v>
      </c>
      <c r="AE283">
        <v>0</v>
      </c>
      <c r="AF283" t="s">
        <v>133</v>
      </c>
      <c r="AG283" t="s">
        <v>130</v>
      </c>
      <c r="AH283" t="s">
        <v>167</v>
      </c>
      <c r="AI283" s="4">
        <v>46</v>
      </c>
      <c r="AJ283" s="4">
        <v>77</v>
      </c>
      <c r="AK283" s="4">
        <v>0</v>
      </c>
      <c r="AL283" s="4">
        <v>123</v>
      </c>
      <c r="AM283" t="s">
        <v>486</v>
      </c>
    </row>
    <row r="284" spans="1:39" x14ac:dyDescent="0.3">
      <c r="A284" t="s">
        <v>127</v>
      </c>
      <c r="B284">
        <v>48</v>
      </c>
      <c r="C284">
        <v>8719</v>
      </c>
      <c r="D284" t="s">
        <v>128</v>
      </c>
      <c r="E284">
        <v>1</v>
      </c>
      <c r="F284" t="s">
        <v>383</v>
      </c>
      <c r="G284" t="s">
        <v>130</v>
      </c>
      <c r="H284" t="s">
        <v>131</v>
      </c>
      <c r="I284">
        <v>5</v>
      </c>
      <c r="J284">
        <v>6</v>
      </c>
      <c r="K284">
        <v>4</v>
      </c>
      <c r="L284" t="s">
        <v>174</v>
      </c>
      <c r="M284" t="s">
        <v>180</v>
      </c>
      <c r="N284" t="s">
        <v>133</v>
      </c>
      <c r="O284">
        <v>10</v>
      </c>
      <c r="P284">
        <v>7</v>
      </c>
      <c r="Q284" t="s">
        <v>134</v>
      </c>
      <c r="R284" t="s">
        <v>135</v>
      </c>
      <c r="T284" t="s">
        <v>191</v>
      </c>
      <c r="U284" t="s">
        <v>137</v>
      </c>
      <c r="V284" t="s">
        <v>138</v>
      </c>
      <c r="W284" t="s">
        <v>139</v>
      </c>
      <c r="X284" t="s">
        <v>133</v>
      </c>
      <c r="Z284">
        <v>1</v>
      </c>
      <c r="AA284">
        <v>1</v>
      </c>
      <c r="AB284">
        <v>3</v>
      </c>
      <c r="AD284">
        <v>1</v>
      </c>
      <c r="AE284">
        <v>0</v>
      </c>
      <c r="AF284" t="s">
        <v>133</v>
      </c>
      <c r="AG284" t="s">
        <v>139</v>
      </c>
      <c r="AH284" t="s">
        <v>201</v>
      </c>
      <c r="AI284" s="4">
        <v>6</v>
      </c>
      <c r="AJ284" s="4">
        <v>10</v>
      </c>
      <c r="AK284" s="4">
        <v>0</v>
      </c>
      <c r="AL284" s="4">
        <v>16</v>
      </c>
      <c r="AM284" t="s">
        <v>487</v>
      </c>
    </row>
    <row r="285" spans="1:39" x14ac:dyDescent="0.3">
      <c r="A285" t="s">
        <v>127</v>
      </c>
      <c r="B285">
        <v>48</v>
      </c>
      <c r="C285">
        <v>648</v>
      </c>
      <c r="D285" t="s">
        <v>128</v>
      </c>
      <c r="E285">
        <v>2</v>
      </c>
      <c r="F285" t="s">
        <v>385</v>
      </c>
      <c r="G285" t="s">
        <v>130</v>
      </c>
      <c r="H285" t="s">
        <v>131</v>
      </c>
      <c r="I285">
        <v>8</v>
      </c>
      <c r="J285">
        <v>5</v>
      </c>
      <c r="K285">
        <v>3</v>
      </c>
      <c r="L285" t="s">
        <v>132</v>
      </c>
      <c r="N285" t="s">
        <v>133</v>
      </c>
      <c r="O285">
        <v>16</v>
      </c>
      <c r="P285">
        <v>9</v>
      </c>
      <c r="Q285" t="s">
        <v>154</v>
      </c>
      <c r="R285" t="s">
        <v>135</v>
      </c>
      <c r="T285" t="s">
        <v>191</v>
      </c>
      <c r="U285" t="s">
        <v>187</v>
      </c>
      <c r="V285" t="s">
        <v>138</v>
      </c>
      <c r="W285" t="s">
        <v>139</v>
      </c>
      <c r="X285" t="s">
        <v>133</v>
      </c>
      <c r="Z285">
        <v>2</v>
      </c>
      <c r="AA285">
        <v>2</v>
      </c>
      <c r="AB285">
        <v>3</v>
      </c>
      <c r="AD285">
        <v>0</v>
      </c>
      <c r="AE285">
        <v>0</v>
      </c>
      <c r="AF285" t="s">
        <v>133</v>
      </c>
      <c r="AG285" t="s">
        <v>139</v>
      </c>
      <c r="AH285" t="s">
        <v>201</v>
      </c>
      <c r="AI285" s="4">
        <v>5</v>
      </c>
      <c r="AJ285" s="4">
        <v>16</v>
      </c>
      <c r="AK285" s="4">
        <v>0</v>
      </c>
      <c r="AL285" s="4">
        <v>21</v>
      </c>
      <c r="AM285" t="s">
        <v>488</v>
      </c>
    </row>
    <row r="286" spans="1:39" x14ac:dyDescent="0.3">
      <c r="A286" t="s">
        <v>127</v>
      </c>
      <c r="B286">
        <v>48</v>
      </c>
      <c r="C286">
        <v>4096</v>
      </c>
      <c r="D286" t="s">
        <v>128</v>
      </c>
      <c r="E286">
        <v>3</v>
      </c>
      <c r="F286" t="s">
        <v>387</v>
      </c>
      <c r="G286" t="s">
        <v>130</v>
      </c>
      <c r="H286" t="s">
        <v>131</v>
      </c>
      <c r="I286">
        <v>8</v>
      </c>
      <c r="J286">
        <v>5</v>
      </c>
      <c r="K286">
        <v>1</v>
      </c>
      <c r="L286" t="s">
        <v>132</v>
      </c>
      <c r="N286" t="s">
        <v>133</v>
      </c>
      <c r="O286">
        <v>90</v>
      </c>
      <c r="P286">
        <v>11</v>
      </c>
      <c r="Q286" t="s">
        <v>145</v>
      </c>
      <c r="R286" t="s">
        <v>155</v>
      </c>
      <c r="S286" t="s">
        <v>147</v>
      </c>
      <c r="T286" t="s">
        <v>148</v>
      </c>
      <c r="U286" t="s">
        <v>158</v>
      </c>
      <c r="V286" t="s">
        <v>133</v>
      </c>
      <c r="W286" t="s">
        <v>181</v>
      </c>
      <c r="X286" t="s">
        <v>133</v>
      </c>
      <c r="Z286">
        <v>5</v>
      </c>
      <c r="AA286">
        <v>4</v>
      </c>
      <c r="AB286">
        <v>5</v>
      </c>
      <c r="AD286">
        <v>0</v>
      </c>
      <c r="AE286">
        <v>1</v>
      </c>
      <c r="AF286" t="s">
        <v>133</v>
      </c>
      <c r="AG286" t="s">
        <v>139</v>
      </c>
      <c r="AH286" t="s">
        <v>220</v>
      </c>
      <c r="AI286" s="4">
        <v>5</v>
      </c>
      <c r="AJ286" s="4">
        <v>90</v>
      </c>
      <c r="AK286" s="4">
        <v>0</v>
      </c>
      <c r="AL286" s="4">
        <v>95</v>
      </c>
      <c r="AM286" t="s">
        <v>489</v>
      </c>
    </row>
    <row r="287" spans="1:39" x14ac:dyDescent="0.3">
      <c r="A287" t="s">
        <v>127</v>
      </c>
      <c r="B287">
        <v>48</v>
      </c>
      <c r="C287">
        <v>8020</v>
      </c>
      <c r="D287" t="s">
        <v>161</v>
      </c>
      <c r="E287">
        <v>1</v>
      </c>
      <c r="F287" t="s">
        <v>389</v>
      </c>
      <c r="G287" t="s">
        <v>130</v>
      </c>
      <c r="H287" t="s">
        <v>131</v>
      </c>
      <c r="I287">
        <v>8</v>
      </c>
      <c r="J287">
        <v>18</v>
      </c>
      <c r="K287">
        <v>3</v>
      </c>
      <c r="L287" t="s">
        <v>165</v>
      </c>
      <c r="M287" t="s">
        <v>180</v>
      </c>
      <c r="N287" t="s">
        <v>133</v>
      </c>
      <c r="O287">
        <v>71</v>
      </c>
      <c r="P287">
        <v>11</v>
      </c>
      <c r="Q287" t="s">
        <v>145</v>
      </c>
      <c r="R287" t="s">
        <v>146</v>
      </c>
      <c r="S287" t="s">
        <v>147</v>
      </c>
      <c r="T287" t="s">
        <v>148</v>
      </c>
      <c r="U287" t="s">
        <v>149</v>
      </c>
      <c r="V287" t="s">
        <v>133</v>
      </c>
      <c r="W287" t="s">
        <v>170</v>
      </c>
      <c r="X287" t="s">
        <v>133</v>
      </c>
      <c r="Z287">
        <v>5</v>
      </c>
      <c r="AA287">
        <v>5</v>
      </c>
      <c r="AB287">
        <v>5</v>
      </c>
      <c r="AD287">
        <v>0</v>
      </c>
      <c r="AE287">
        <v>0</v>
      </c>
      <c r="AF287" t="s">
        <v>133</v>
      </c>
      <c r="AG287" t="s">
        <v>130</v>
      </c>
      <c r="AH287" t="s">
        <v>175</v>
      </c>
      <c r="AI287" s="4">
        <v>18</v>
      </c>
      <c r="AJ287" s="4">
        <v>71</v>
      </c>
      <c r="AK287" s="4">
        <v>0</v>
      </c>
      <c r="AL287" s="4">
        <v>89</v>
      </c>
      <c r="AM287" t="s">
        <v>490</v>
      </c>
    </row>
    <row r="288" spans="1:39" x14ac:dyDescent="0.3">
      <c r="A288" t="s">
        <v>127</v>
      </c>
      <c r="B288">
        <v>48</v>
      </c>
      <c r="C288">
        <v>7848</v>
      </c>
      <c r="D288" t="s">
        <v>161</v>
      </c>
      <c r="E288">
        <v>2</v>
      </c>
      <c r="F288" t="s">
        <v>391</v>
      </c>
      <c r="G288" t="s">
        <v>130</v>
      </c>
      <c r="H288" t="s">
        <v>144</v>
      </c>
      <c r="I288">
        <v>8</v>
      </c>
      <c r="J288">
        <v>2</v>
      </c>
      <c r="K288">
        <v>1</v>
      </c>
      <c r="L288" t="s">
        <v>132</v>
      </c>
      <c r="N288" t="s">
        <v>133</v>
      </c>
      <c r="O288">
        <v>40</v>
      </c>
      <c r="P288">
        <v>11</v>
      </c>
      <c r="Q288" t="s">
        <v>145</v>
      </c>
      <c r="R288" t="s">
        <v>155</v>
      </c>
      <c r="S288" t="s">
        <v>156</v>
      </c>
      <c r="T288" t="s">
        <v>157</v>
      </c>
      <c r="U288" t="s">
        <v>158</v>
      </c>
      <c r="V288" t="s">
        <v>133</v>
      </c>
      <c r="W288" t="s">
        <v>139</v>
      </c>
      <c r="X288" t="s">
        <v>133</v>
      </c>
      <c r="Z288">
        <v>3</v>
      </c>
      <c r="AA288">
        <v>4</v>
      </c>
      <c r="AB288">
        <v>5</v>
      </c>
      <c r="AD288">
        <v>0</v>
      </c>
      <c r="AE288">
        <v>0</v>
      </c>
      <c r="AF288" t="s">
        <v>133</v>
      </c>
      <c r="AG288" t="s">
        <v>140</v>
      </c>
      <c r="AI288" s="4">
        <v>2</v>
      </c>
      <c r="AJ288" s="4">
        <v>40</v>
      </c>
      <c r="AK288" s="4">
        <v>0</v>
      </c>
      <c r="AL288" s="4">
        <v>42</v>
      </c>
      <c r="AM288" t="s">
        <v>491</v>
      </c>
    </row>
    <row r="289" spans="1:39" x14ac:dyDescent="0.3">
      <c r="A289" t="s">
        <v>127</v>
      </c>
      <c r="B289">
        <v>48</v>
      </c>
      <c r="C289">
        <v>3284</v>
      </c>
      <c r="D289" t="s">
        <v>161</v>
      </c>
      <c r="E289">
        <v>3</v>
      </c>
      <c r="F289" t="s">
        <v>392</v>
      </c>
      <c r="G289" t="s">
        <v>130</v>
      </c>
      <c r="H289" t="s">
        <v>144</v>
      </c>
      <c r="I289">
        <v>8</v>
      </c>
      <c r="J289">
        <v>11</v>
      </c>
      <c r="K289">
        <v>6</v>
      </c>
      <c r="L289" t="s">
        <v>174</v>
      </c>
      <c r="M289" t="s">
        <v>166</v>
      </c>
      <c r="N289" t="s">
        <v>133</v>
      </c>
      <c r="O289">
        <v>11</v>
      </c>
      <c r="P289">
        <v>6</v>
      </c>
      <c r="Q289" t="s">
        <v>134</v>
      </c>
      <c r="R289" t="s">
        <v>135</v>
      </c>
      <c r="T289" t="s">
        <v>136</v>
      </c>
      <c r="U289" t="s">
        <v>137</v>
      </c>
      <c r="V289" t="s">
        <v>170</v>
      </c>
      <c r="W289" t="s">
        <v>139</v>
      </c>
      <c r="X289" t="s">
        <v>133</v>
      </c>
      <c r="Z289">
        <v>2</v>
      </c>
      <c r="AA289">
        <v>2</v>
      </c>
      <c r="AB289">
        <v>3</v>
      </c>
      <c r="AD289">
        <v>0</v>
      </c>
      <c r="AE289">
        <v>0</v>
      </c>
      <c r="AF289" t="s">
        <v>133</v>
      </c>
      <c r="AG289" t="s">
        <v>139</v>
      </c>
      <c r="AI289" s="4">
        <v>11</v>
      </c>
      <c r="AJ289" s="4">
        <v>11</v>
      </c>
      <c r="AK289" s="4">
        <v>0</v>
      </c>
      <c r="AL289" s="4">
        <v>22</v>
      </c>
      <c r="AM289" t="s">
        <v>492</v>
      </c>
    </row>
    <row r="290" spans="1:39" x14ac:dyDescent="0.3">
      <c r="A290" t="s">
        <v>127</v>
      </c>
      <c r="B290">
        <v>49</v>
      </c>
      <c r="C290">
        <v>3488</v>
      </c>
      <c r="D290" t="s">
        <v>128</v>
      </c>
      <c r="E290">
        <v>1</v>
      </c>
      <c r="F290" t="s">
        <v>383</v>
      </c>
      <c r="G290" t="s">
        <v>130</v>
      </c>
      <c r="H290" t="s">
        <v>144</v>
      </c>
      <c r="I290">
        <v>8</v>
      </c>
      <c r="J290">
        <v>0</v>
      </c>
      <c r="K290">
        <v>0</v>
      </c>
      <c r="N290" t="s">
        <v>133</v>
      </c>
      <c r="O290">
        <v>16</v>
      </c>
      <c r="P290">
        <v>8</v>
      </c>
      <c r="Q290" t="s">
        <v>154</v>
      </c>
      <c r="R290" t="s">
        <v>135</v>
      </c>
      <c r="S290" t="s">
        <v>178</v>
      </c>
      <c r="T290" t="s">
        <v>157</v>
      </c>
      <c r="U290" t="s">
        <v>187</v>
      </c>
      <c r="V290" t="s">
        <v>133</v>
      </c>
      <c r="W290" t="s">
        <v>139</v>
      </c>
      <c r="X290" t="s">
        <v>133</v>
      </c>
      <c r="Z290">
        <v>3</v>
      </c>
      <c r="AA290">
        <v>1</v>
      </c>
      <c r="AB290">
        <v>4</v>
      </c>
      <c r="AD290">
        <v>0</v>
      </c>
      <c r="AE290">
        <v>0</v>
      </c>
      <c r="AF290" t="s">
        <v>133</v>
      </c>
      <c r="AG290" t="s">
        <v>139</v>
      </c>
      <c r="AI290" s="4">
        <v>0</v>
      </c>
      <c r="AJ290" s="4">
        <v>16</v>
      </c>
      <c r="AK290" s="4">
        <v>0</v>
      </c>
      <c r="AL290" s="4">
        <v>16</v>
      </c>
      <c r="AM290" t="s">
        <v>493</v>
      </c>
    </row>
    <row r="291" spans="1:39" x14ac:dyDescent="0.3">
      <c r="A291" t="s">
        <v>127</v>
      </c>
      <c r="B291">
        <v>49</v>
      </c>
      <c r="C291">
        <v>2039</v>
      </c>
      <c r="D291" t="s">
        <v>128</v>
      </c>
      <c r="E291">
        <v>2</v>
      </c>
      <c r="F291" t="s">
        <v>385</v>
      </c>
      <c r="G291" t="s">
        <v>130</v>
      </c>
      <c r="H291" t="s">
        <v>131</v>
      </c>
      <c r="I291">
        <v>8</v>
      </c>
      <c r="J291">
        <v>1</v>
      </c>
      <c r="K291">
        <v>1</v>
      </c>
      <c r="L291" t="s">
        <v>132</v>
      </c>
      <c r="N291" t="s">
        <v>133</v>
      </c>
      <c r="O291">
        <v>1</v>
      </c>
      <c r="P291">
        <v>1</v>
      </c>
      <c r="Q291" t="s">
        <v>134</v>
      </c>
      <c r="R291" t="s">
        <v>135</v>
      </c>
      <c r="T291" t="s">
        <v>136</v>
      </c>
      <c r="U291" t="s">
        <v>137</v>
      </c>
      <c r="V291" t="s">
        <v>170</v>
      </c>
      <c r="W291" t="s">
        <v>139</v>
      </c>
      <c r="X291" t="s">
        <v>361</v>
      </c>
      <c r="Y291" t="s">
        <v>362</v>
      </c>
      <c r="Z291">
        <v>2</v>
      </c>
      <c r="AA291">
        <v>2</v>
      </c>
      <c r="AB291">
        <v>2</v>
      </c>
      <c r="AD291">
        <v>0</v>
      </c>
      <c r="AE291">
        <v>0</v>
      </c>
      <c r="AF291" t="s">
        <v>133</v>
      </c>
      <c r="AG291" t="s">
        <v>139</v>
      </c>
      <c r="AH291" t="s">
        <v>363</v>
      </c>
      <c r="AI291" s="4">
        <v>1</v>
      </c>
      <c r="AJ291" s="4">
        <v>1</v>
      </c>
      <c r="AK291" s="4">
        <v>0</v>
      </c>
      <c r="AL291" s="4">
        <v>2</v>
      </c>
      <c r="AM291" t="s">
        <v>494</v>
      </c>
    </row>
    <row r="292" spans="1:39" x14ac:dyDescent="0.3">
      <c r="A292" t="s">
        <v>127</v>
      </c>
      <c r="B292">
        <v>49</v>
      </c>
      <c r="C292">
        <v>4143</v>
      </c>
      <c r="D292" t="s">
        <v>128</v>
      </c>
      <c r="E292">
        <v>3</v>
      </c>
      <c r="F292" t="s">
        <v>387</v>
      </c>
      <c r="G292" t="s">
        <v>130</v>
      </c>
      <c r="H292" t="s">
        <v>153</v>
      </c>
      <c r="I292">
        <v>7</v>
      </c>
      <c r="J292">
        <v>10</v>
      </c>
      <c r="K292">
        <v>1</v>
      </c>
      <c r="L292" t="s">
        <v>174</v>
      </c>
      <c r="M292" t="s">
        <v>180</v>
      </c>
      <c r="N292" t="s">
        <v>133</v>
      </c>
      <c r="O292">
        <v>99</v>
      </c>
      <c r="P292">
        <v>13</v>
      </c>
      <c r="Q292" t="s">
        <v>145</v>
      </c>
      <c r="R292" t="s">
        <v>146</v>
      </c>
      <c r="S292" t="s">
        <v>147</v>
      </c>
      <c r="T292" t="s">
        <v>148</v>
      </c>
      <c r="U292" t="s">
        <v>149</v>
      </c>
      <c r="V292" t="s">
        <v>133</v>
      </c>
      <c r="W292" t="s">
        <v>170</v>
      </c>
      <c r="X292" t="s">
        <v>133</v>
      </c>
      <c r="Z292">
        <v>5</v>
      </c>
      <c r="AA292">
        <v>5</v>
      </c>
      <c r="AB292">
        <v>4</v>
      </c>
      <c r="AD292">
        <v>0</v>
      </c>
      <c r="AE292">
        <v>0</v>
      </c>
      <c r="AF292" t="s">
        <v>133</v>
      </c>
      <c r="AG292" t="s">
        <v>130</v>
      </c>
      <c r="AH292" t="s">
        <v>218</v>
      </c>
      <c r="AI292" s="4">
        <v>10</v>
      </c>
      <c r="AJ292" s="4">
        <v>99</v>
      </c>
      <c r="AK292" s="4">
        <v>0</v>
      </c>
      <c r="AL292" s="4">
        <v>109</v>
      </c>
      <c r="AM292" t="s">
        <v>495</v>
      </c>
    </row>
    <row r="293" spans="1:39" x14ac:dyDescent="0.3">
      <c r="A293" t="s">
        <v>127</v>
      </c>
      <c r="B293">
        <v>49</v>
      </c>
      <c r="C293">
        <v>3067</v>
      </c>
      <c r="D293" t="s">
        <v>161</v>
      </c>
      <c r="E293">
        <v>1</v>
      </c>
      <c r="F293" t="s">
        <v>389</v>
      </c>
      <c r="G293" t="s">
        <v>130</v>
      </c>
      <c r="H293" t="s">
        <v>153</v>
      </c>
      <c r="I293">
        <v>8</v>
      </c>
      <c r="J293">
        <v>2</v>
      </c>
      <c r="K293">
        <v>0</v>
      </c>
      <c r="L293" t="s">
        <v>132</v>
      </c>
      <c r="N293" t="s">
        <v>133</v>
      </c>
      <c r="O293">
        <v>37</v>
      </c>
      <c r="P293">
        <v>6</v>
      </c>
      <c r="Q293" t="s">
        <v>145</v>
      </c>
      <c r="R293" t="s">
        <v>155</v>
      </c>
      <c r="S293" t="s">
        <v>178</v>
      </c>
      <c r="T293" t="s">
        <v>157</v>
      </c>
      <c r="U293" t="s">
        <v>158</v>
      </c>
      <c r="V293" t="s">
        <v>133</v>
      </c>
      <c r="W293" t="s">
        <v>139</v>
      </c>
      <c r="X293" t="s">
        <v>133</v>
      </c>
      <c r="Z293">
        <v>3</v>
      </c>
      <c r="AA293">
        <v>4</v>
      </c>
      <c r="AB293">
        <v>5</v>
      </c>
      <c r="AD293">
        <v>0</v>
      </c>
      <c r="AE293">
        <v>1</v>
      </c>
      <c r="AF293" t="s">
        <v>133</v>
      </c>
      <c r="AG293" t="s">
        <v>140</v>
      </c>
      <c r="AI293" s="4">
        <v>2</v>
      </c>
      <c r="AJ293" s="4">
        <v>37</v>
      </c>
      <c r="AK293" s="4">
        <v>0</v>
      </c>
      <c r="AL293" s="4">
        <v>39</v>
      </c>
      <c r="AM293" t="s">
        <v>496</v>
      </c>
    </row>
    <row r="294" spans="1:39" x14ac:dyDescent="0.3">
      <c r="A294" t="s">
        <v>127</v>
      </c>
      <c r="B294">
        <v>49</v>
      </c>
      <c r="C294">
        <v>2040</v>
      </c>
      <c r="D294" t="s">
        <v>161</v>
      </c>
      <c r="E294">
        <v>2</v>
      </c>
      <c r="F294" t="s">
        <v>391</v>
      </c>
      <c r="G294" t="s">
        <v>130</v>
      </c>
      <c r="H294" t="s">
        <v>144</v>
      </c>
      <c r="I294">
        <v>5</v>
      </c>
      <c r="J294">
        <v>29</v>
      </c>
      <c r="K294">
        <v>9</v>
      </c>
      <c r="L294" t="s">
        <v>174</v>
      </c>
      <c r="M294" t="s">
        <v>166</v>
      </c>
      <c r="N294" t="s">
        <v>133</v>
      </c>
      <c r="O294">
        <v>92</v>
      </c>
      <c r="P294">
        <v>29</v>
      </c>
      <c r="Q294" t="s">
        <v>145</v>
      </c>
      <c r="R294" t="s">
        <v>146</v>
      </c>
      <c r="S294" t="s">
        <v>147</v>
      </c>
      <c r="T294" t="s">
        <v>148</v>
      </c>
      <c r="U294" t="s">
        <v>149</v>
      </c>
      <c r="V294" t="s">
        <v>133</v>
      </c>
      <c r="W294" t="s">
        <v>139</v>
      </c>
      <c r="X294" t="s">
        <v>133</v>
      </c>
      <c r="Z294">
        <v>5</v>
      </c>
      <c r="AA294">
        <v>5</v>
      </c>
      <c r="AB294">
        <v>3</v>
      </c>
      <c r="AC294" t="s">
        <v>272</v>
      </c>
      <c r="AD294">
        <v>1</v>
      </c>
      <c r="AE294">
        <v>0</v>
      </c>
      <c r="AF294" t="s">
        <v>133</v>
      </c>
      <c r="AG294" t="s">
        <v>130</v>
      </c>
      <c r="AH294" t="s">
        <v>227</v>
      </c>
      <c r="AI294" s="4">
        <v>29</v>
      </c>
      <c r="AJ294" s="4">
        <v>92</v>
      </c>
      <c r="AK294" s="4">
        <v>0</v>
      </c>
      <c r="AL294" s="4">
        <v>121</v>
      </c>
      <c r="AM294" t="s">
        <v>497</v>
      </c>
    </row>
    <row r="295" spans="1:39" x14ac:dyDescent="0.3">
      <c r="A295" t="s">
        <v>127</v>
      </c>
      <c r="B295">
        <v>49</v>
      </c>
      <c r="C295">
        <v>4156</v>
      </c>
      <c r="D295" t="s">
        <v>161</v>
      </c>
      <c r="E295">
        <v>3</v>
      </c>
      <c r="F295" t="s">
        <v>392</v>
      </c>
      <c r="G295" t="s">
        <v>130</v>
      </c>
      <c r="H295" t="s">
        <v>131</v>
      </c>
      <c r="I295">
        <v>8</v>
      </c>
      <c r="J295">
        <v>2</v>
      </c>
      <c r="K295">
        <v>1</v>
      </c>
      <c r="L295" t="s">
        <v>132</v>
      </c>
      <c r="N295" t="s">
        <v>133</v>
      </c>
      <c r="O295">
        <v>4</v>
      </c>
      <c r="P295">
        <v>2</v>
      </c>
      <c r="Q295" t="s">
        <v>134</v>
      </c>
      <c r="R295" t="s">
        <v>135</v>
      </c>
      <c r="T295" t="s">
        <v>136</v>
      </c>
      <c r="U295" t="s">
        <v>137</v>
      </c>
      <c r="V295" t="s">
        <v>133</v>
      </c>
      <c r="W295" t="s">
        <v>139</v>
      </c>
      <c r="X295" t="s">
        <v>133</v>
      </c>
      <c r="Z295">
        <v>1</v>
      </c>
      <c r="AA295">
        <v>2</v>
      </c>
      <c r="AB295">
        <v>3</v>
      </c>
      <c r="AC295" t="s">
        <v>159</v>
      </c>
      <c r="AD295">
        <v>0</v>
      </c>
      <c r="AE295">
        <v>1</v>
      </c>
      <c r="AF295" t="s">
        <v>133</v>
      </c>
      <c r="AG295" t="s">
        <v>140</v>
      </c>
      <c r="AH295" t="s">
        <v>185</v>
      </c>
      <c r="AI295" s="4">
        <v>2</v>
      </c>
      <c r="AJ295" s="4">
        <v>4</v>
      </c>
      <c r="AK295" s="4">
        <v>0</v>
      </c>
      <c r="AL295" s="4">
        <v>6</v>
      </c>
      <c r="AM295" t="s">
        <v>498</v>
      </c>
    </row>
    <row r="296" spans="1:39" x14ac:dyDescent="0.3">
      <c r="A296" t="s">
        <v>127</v>
      </c>
      <c r="B296">
        <v>50</v>
      </c>
      <c r="C296">
        <v>4787</v>
      </c>
      <c r="D296" t="s">
        <v>128</v>
      </c>
      <c r="E296">
        <v>1</v>
      </c>
      <c r="F296" t="s">
        <v>383</v>
      </c>
      <c r="G296" t="s">
        <v>130</v>
      </c>
      <c r="H296" t="s">
        <v>153</v>
      </c>
      <c r="I296">
        <v>7</v>
      </c>
      <c r="J296">
        <v>0</v>
      </c>
      <c r="K296">
        <v>0</v>
      </c>
      <c r="N296" t="s">
        <v>133</v>
      </c>
      <c r="O296">
        <v>9</v>
      </c>
      <c r="P296">
        <v>4</v>
      </c>
      <c r="Q296" t="s">
        <v>154</v>
      </c>
      <c r="R296" t="s">
        <v>155</v>
      </c>
      <c r="S296" t="s">
        <v>156</v>
      </c>
      <c r="T296" t="s">
        <v>157</v>
      </c>
      <c r="U296" t="s">
        <v>187</v>
      </c>
      <c r="V296" t="s">
        <v>170</v>
      </c>
      <c r="W296" t="s">
        <v>139</v>
      </c>
      <c r="X296" t="s">
        <v>133</v>
      </c>
      <c r="Z296">
        <v>2</v>
      </c>
      <c r="AA296">
        <v>2</v>
      </c>
      <c r="AB296">
        <v>3</v>
      </c>
      <c r="AD296">
        <v>0</v>
      </c>
      <c r="AE296">
        <v>0</v>
      </c>
      <c r="AF296" t="s">
        <v>133</v>
      </c>
      <c r="AG296" t="s">
        <v>130</v>
      </c>
      <c r="AH296" t="s">
        <v>185</v>
      </c>
      <c r="AI296" s="4">
        <v>0</v>
      </c>
      <c r="AJ296" s="4">
        <v>9</v>
      </c>
      <c r="AK296" s="4">
        <v>0</v>
      </c>
      <c r="AL296" s="4">
        <v>9</v>
      </c>
      <c r="AM296" t="s">
        <v>499</v>
      </c>
    </row>
    <row r="297" spans="1:39" x14ac:dyDescent="0.3">
      <c r="A297" t="s">
        <v>127</v>
      </c>
      <c r="B297">
        <v>50</v>
      </c>
      <c r="C297">
        <v>4645</v>
      </c>
      <c r="D297" t="s">
        <v>128</v>
      </c>
      <c r="E297">
        <v>2</v>
      </c>
      <c r="F297" t="s">
        <v>385</v>
      </c>
      <c r="G297" t="s">
        <v>130</v>
      </c>
      <c r="H297" t="s">
        <v>153</v>
      </c>
      <c r="I297">
        <v>8</v>
      </c>
      <c r="J297">
        <v>2</v>
      </c>
      <c r="K297">
        <v>1</v>
      </c>
      <c r="L297" t="s">
        <v>132</v>
      </c>
      <c r="N297" t="s">
        <v>133</v>
      </c>
      <c r="O297">
        <v>13</v>
      </c>
      <c r="P297">
        <v>5</v>
      </c>
      <c r="Q297" t="s">
        <v>154</v>
      </c>
      <c r="R297" t="s">
        <v>155</v>
      </c>
      <c r="S297" t="s">
        <v>156</v>
      </c>
      <c r="T297" t="s">
        <v>157</v>
      </c>
      <c r="U297" t="s">
        <v>158</v>
      </c>
      <c r="V297" t="s">
        <v>133</v>
      </c>
      <c r="W297" t="s">
        <v>139</v>
      </c>
      <c r="X297" t="s">
        <v>133</v>
      </c>
      <c r="Z297">
        <v>3</v>
      </c>
      <c r="AA297">
        <v>5</v>
      </c>
      <c r="AB297">
        <v>3</v>
      </c>
      <c r="AD297">
        <v>0</v>
      </c>
      <c r="AE297">
        <v>0</v>
      </c>
      <c r="AF297" t="s">
        <v>133</v>
      </c>
      <c r="AG297" t="s">
        <v>139</v>
      </c>
      <c r="AI297" s="4">
        <v>2</v>
      </c>
      <c r="AJ297" s="4">
        <v>13</v>
      </c>
      <c r="AK297" s="4">
        <v>0</v>
      </c>
      <c r="AL297" s="4">
        <v>15</v>
      </c>
      <c r="AM297" t="s">
        <v>500</v>
      </c>
    </row>
    <row r="298" spans="1:39" x14ac:dyDescent="0.3">
      <c r="A298" t="s">
        <v>127</v>
      </c>
      <c r="B298">
        <v>50</v>
      </c>
      <c r="C298">
        <v>8096</v>
      </c>
      <c r="D298" t="s">
        <v>128</v>
      </c>
      <c r="E298">
        <v>3</v>
      </c>
      <c r="F298" t="s">
        <v>387</v>
      </c>
      <c r="G298" t="s">
        <v>130</v>
      </c>
      <c r="H298" t="s">
        <v>144</v>
      </c>
      <c r="I298">
        <v>8</v>
      </c>
      <c r="J298">
        <v>6</v>
      </c>
      <c r="K298">
        <v>4</v>
      </c>
      <c r="L298" t="s">
        <v>132</v>
      </c>
      <c r="N298" t="s">
        <v>133</v>
      </c>
      <c r="O298">
        <v>37</v>
      </c>
      <c r="P298">
        <v>26</v>
      </c>
      <c r="Q298" t="s">
        <v>154</v>
      </c>
      <c r="R298" t="s">
        <v>155</v>
      </c>
      <c r="S298" t="s">
        <v>156</v>
      </c>
      <c r="T298" t="s">
        <v>157</v>
      </c>
      <c r="U298" t="s">
        <v>187</v>
      </c>
      <c r="V298" t="s">
        <v>133</v>
      </c>
      <c r="W298" t="s">
        <v>139</v>
      </c>
      <c r="X298" t="s">
        <v>133</v>
      </c>
      <c r="Z298">
        <v>2</v>
      </c>
      <c r="AA298">
        <v>3</v>
      </c>
      <c r="AB298">
        <v>3</v>
      </c>
      <c r="AD298">
        <v>0</v>
      </c>
      <c r="AE298">
        <v>0</v>
      </c>
      <c r="AF298" t="s">
        <v>133</v>
      </c>
      <c r="AG298" t="s">
        <v>139</v>
      </c>
      <c r="AI298" s="4">
        <v>6</v>
      </c>
      <c r="AJ298" s="4">
        <v>37</v>
      </c>
      <c r="AK298" s="4">
        <v>0</v>
      </c>
      <c r="AL298" s="4">
        <v>43</v>
      </c>
      <c r="AM298" t="s">
        <v>501</v>
      </c>
    </row>
    <row r="299" spans="1:39" x14ac:dyDescent="0.3">
      <c r="A299" t="s">
        <v>127</v>
      </c>
      <c r="B299">
        <v>50</v>
      </c>
      <c r="C299">
        <v>2481</v>
      </c>
      <c r="D299" t="s">
        <v>161</v>
      </c>
      <c r="E299">
        <v>1</v>
      </c>
      <c r="F299" t="s">
        <v>389</v>
      </c>
      <c r="G299" t="s">
        <v>130</v>
      </c>
      <c r="H299" t="s">
        <v>131</v>
      </c>
      <c r="I299">
        <v>8</v>
      </c>
      <c r="J299">
        <v>71</v>
      </c>
      <c r="K299">
        <v>17</v>
      </c>
      <c r="L299" t="s">
        <v>165</v>
      </c>
      <c r="M299" t="s">
        <v>180</v>
      </c>
      <c r="N299" t="s">
        <v>133</v>
      </c>
      <c r="O299">
        <v>239</v>
      </c>
      <c r="P299">
        <v>56</v>
      </c>
      <c r="Q299" t="s">
        <v>145</v>
      </c>
      <c r="R299" t="s">
        <v>146</v>
      </c>
      <c r="S299" t="s">
        <v>147</v>
      </c>
      <c r="T299" t="s">
        <v>148</v>
      </c>
      <c r="U299" t="s">
        <v>149</v>
      </c>
      <c r="V299" t="s">
        <v>133</v>
      </c>
      <c r="W299" t="s">
        <v>139</v>
      </c>
      <c r="X299" t="s">
        <v>133</v>
      </c>
      <c r="Z299">
        <v>5</v>
      </c>
      <c r="AA299">
        <v>5</v>
      </c>
      <c r="AB299">
        <v>5</v>
      </c>
      <c r="AD299">
        <v>0</v>
      </c>
      <c r="AE299">
        <v>0</v>
      </c>
      <c r="AF299" t="s">
        <v>133</v>
      </c>
      <c r="AG299" t="s">
        <v>130</v>
      </c>
      <c r="AH299" t="s">
        <v>220</v>
      </c>
      <c r="AI299" s="4">
        <v>71</v>
      </c>
      <c r="AJ299" s="4">
        <v>239</v>
      </c>
      <c r="AK299" s="4">
        <v>0</v>
      </c>
      <c r="AL299" s="4">
        <v>310</v>
      </c>
      <c r="AM299" t="s">
        <v>502</v>
      </c>
    </row>
    <row r="300" spans="1:39" x14ac:dyDescent="0.3">
      <c r="A300" t="s">
        <v>127</v>
      </c>
      <c r="B300">
        <v>50</v>
      </c>
      <c r="C300">
        <v>6651</v>
      </c>
      <c r="D300" t="s">
        <v>161</v>
      </c>
      <c r="E300">
        <v>2</v>
      </c>
      <c r="F300" t="s">
        <v>391</v>
      </c>
      <c r="G300" t="s">
        <v>130</v>
      </c>
      <c r="H300" t="s">
        <v>144</v>
      </c>
      <c r="I300">
        <v>8</v>
      </c>
      <c r="J300">
        <v>6</v>
      </c>
      <c r="K300">
        <v>2</v>
      </c>
      <c r="L300" t="s">
        <v>132</v>
      </c>
      <c r="N300" t="s">
        <v>133</v>
      </c>
      <c r="O300">
        <v>37</v>
      </c>
      <c r="P300">
        <v>14</v>
      </c>
      <c r="Q300" t="s">
        <v>154</v>
      </c>
      <c r="R300" t="s">
        <v>135</v>
      </c>
      <c r="T300" t="s">
        <v>157</v>
      </c>
      <c r="U300" t="s">
        <v>187</v>
      </c>
      <c r="V300" t="s">
        <v>133</v>
      </c>
      <c r="W300" t="s">
        <v>139</v>
      </c>
      <c r="X300" t="s">
        <v>133</v>
      </c>
      <c r="Z300">
        <v>3</v>
      </c>
      <c r="AA300">
        <v>1</v>
      </c>
      <c r="AB300">
        <v>4</v>
      </c>
      <c r="AD300">
        <v>3</v>
      </c>
      <c r="AE300">
        <v>0</v>
      </c>
      <c r="AF300" t="s">
        <v>133</v>
      </c>
      <c r="AG300" t="s">
        <v>139</v>
      </c>
      <c r="AI300" s="4">
        <v>6</v>
      </c>
      <c r="AJ300" s="4">
        <v>37</v>
      </c>
      <c r="AK300" s="4">
        <v>0</v>
      </c>
      <c r="AL300" s="4">
        <v>43</v>
      </c>
      <c r="AM300" t="s">
        <v>503</v>
      </c>
    </row>
    <row r="301" spans="1:39" x14ac:dyDescent="0.3">
      <c r="A301" t="s">
        <v>127</v>
      </c>
      <c r="B301">
        <v>50</v>
      </c>
      <c r="C301">
        <v>7417</v>
      </c>
      <c r="D301" t="s">
        <v>161</v>
      </c>
      <c r="E301">
        <v>3</v>
      </c>
      <c r="F301" t="s">
        <v>392</v>
      </c>
      <c r="G301" t="s">
        <v>130</v>
      </c>
      <c r="H301" t="s">
        <v>144</v>
      </c>
      <c r="I301">
        <v>8</v>
      </c>
      <c r="J301">
        <v>13</v>
      </c>
      <c r="K301">
        <v>9</v>
      </c>
      <c r="L301" t="s">
        <v>165</v>
      </c>
      <c r="M301" t="s">
        <v>166</v>
      </c>
      <c r="N301" t="s">
        <v>133</v>
      </c>
      <c r="O301">
        <v>8</v>
      </c>
      <c r="P301">
        <v>6</v>
      </c>
      <c r="Q301" t="s">
        <v>134</v>
      </c>
      <c r="R301" t="s">
        <v>135</v>
      </c>
      <c r="T301" t="s">
        <v>136</v>
      </c>
      <c r="U301" t="s">
        <v>137</v>
      </c>
      <c r="V301" t="s">
        <v>133</v>
      </c>
      <c r="W301" t="s">
        <v>139</v>
      </c>
      <c r="X301" t="s">
        <v>133</v>
      </c>
      <c r="Z301">
        <v>1</v>
      </c>
      <c r="AA301">
        <v>1</v>
      </c>
      <c r="AB301">
        <v>2</v>
      </c>
      <c r="AD301">
        <v>0</v>
      </c>
      <c r="AE301">
        <v>0</v>
      </c>
      <c r="AF301" t="s">
        <v>133</v>
      </c>
      <c r="AG301" t="s">
        <v>140</v>
      </c>
      <c r="AH301" t="s">
        <v>185</v>
      </c>
      <c r="AI301" s="4">
        <v>13</v>
      </c>
      <c r="AJ301" s="4">
        <v>8</v>
      </c>
      <c r="AK301" s="4">
        <v>0</v>
      </c>
      <c r="AL301" s="4">
        <v>21</v>
      </c>
      <c r="AM301" t="s">
        <v>504</v>
      </c>
    </row>
    <row r="302" spans="1:39" x14ac:dyDescent="0.3">
      <c r="A302" t="s">
        <v>127</v>
      </c>
      <c r="B302">
        <v>51</v>
      </c>
      <c r="C302">
        <v>7472</v>
      </c>
      <c r="D302" t="s">
        <v>128</v>
      </c>
      <c r="E302">
        <v>1</v>
      </c>
      <c r="F302" t="s">
        <v>383</v>
      </c>
      <c r="G302" t="s">
        <v>130</v>
      </c>
      <c r="H302" t="s">
        <v>131</v>
      </c>
      <c r="I302">
        <v>8</v>
      </c>
      <c r="J302">
        <v>4</v>
      </c>
      <c r="K302">
        <v>3</v>
      </c>
      <c r="L302" t="s">
        <v>132</v>
      </c>
      <c r="N302" t="s">
        <v>133</v>
      </c>
      <c r="O302">
        <v>5</v>
      </c>
      <c r="P302">
        <v>4</v>
      </c>
      <c r="Q302" t="s">
        <v>134</v>
      </c>
      <c r="R302" t="s">
        <v>135</v>
      </c>
      <c r="T302" t="s">
        <v>203</v>
      </c>
      <c r="U302" t="s">
        <v>137</v>
      </c>
      <c r="V302" t="s">
        <v>133</v>
      </c>
      <c r="W302" t="s">
        <v>139</v>
      </c>
      <c r="X302" t="s">
        <v>133</v>
      </c>
      <c r="Z302">
        <v>1</v>
      </c>
      <c r="AA302">
        <v>1</v>
      </c>
      <c r="AB302">
        <v>3</v>
      </c>
      <c r="AD302">
        <v>0</v>
      </c>
      <c r="AE302">
        <v>0</v>
      </c>
      <c r="AF302" t="s">
        <v>133</v>
      </c>
      <c r="AG302" t="s">
        <v>140</v>
      </c>
      <c r="AH302" t="s">
        <v>185</v>
      </c>
      <c r="AI302" s="4">
        <v>4</v>
      </c>
      <c r="AJ302" s="4">
        <v>5</v>
      </c>
      <c r="AK302" s="4">
        <v>0</v>
      </c>
      <c r="AL302" s="4">
        <v>9</v>
      </c>
      <c r="AM302" t="s">
        <v>505</v>
      </c>
    </row>
    <row r="303" spans="1:39" x14ac:dyDescent="0.3">
      <c r="A303" t="s">
        <v>127</v>
      </c>
      <c r="B303">
        <v>51</v>
      </c>
      <c r="C303">
        <v>2022</v>
      </c>
      <c r="D303" t="s">
        <v>128</v>
      </c>
      <c r="E303">
        <v>2</v>
      </c>
      <c r="F303" t="s">
        <v>385</v>
      </c>
      <c r="G303" t="s">
        <v>130</v>
      </c>
      <c r="H303" t="s">
        <v>131</v>
      </c>
      <c r="I303">
        <v>8</v>
      </c>
      <c r="J303">
        <v>2</v>
      </c>
      <c r="K303">
        <v>0</v>
      </c>
      <c r="L303" t="s">
        <v>132</v>
      </c>
      <c r="N303" t="s">
        <v>133</v>
      </c>
      <c r="O303">
        <v>57</v>
      </c>
      <c r="P303">
        <v>8</v>
      </c>
      <c r="Q303" t="s">
        <v>154</v>
      </c>
      <c r="R303" t="s">
        <v>155</v>
      </c>
      <c r="S303" t="s">
        <v>156</v>
      </c>
      <c r="T303" t="s">
        <v>157</v>
      </c>
      <c r="U303" t="s">
        <v>158</v>
      </c>
      <c r="V303" t="s">
        <v>133</v>
      </c>
      <c r="W303" t="s">
        <v>139</v>
      </c>
      <c r="X303" t="s">
        <v>133</v>
      </c>
      <c r="Z303">
        <v>3</v>
      </c>
      <c r="AA303">
        <v>3</v>
      </c>
      <c r="AB303">
        <v>4</v>
      </c>
      <c r="AD303">
        <v>3</v>
      </c>
      <c r="AE303">
        <v>0</v>
      </c>
      <c r="AF303" t="s">
        <v>133</v>
      </c>
      <c r="AG303" t="s">
        <v>139</v>
      </c>
      <c r="AH303" t="s">
        <v>175</v>
      </c>
      <c r="AI303" s="4">
        <v>2</v>
      </c>
      <c r="AJ303" s="4">
        <v>57</v>
      </c>
      <c r="AK303" s="4">
        <v>0</v>
      </c>
      <c r="AL303" s="4">
        <v>59</v>
      </c>
      <c r="AM303" t="s">
        <v>506</v>
      </c>
    </row>
    <row r="304" spans="1:39" x14ac:dyDescent="0.3">
      <c r="A304" t="s">
        <v>127</v>
      </c>
      <c r="B304">
        <v>51</v>
      </c>
      <c r="C304">
        <v>4655</v>
      </c>
      <c r="D304" t="s">
        <v>128</v>
      </c>
      <c r="E304">
        <v>3</v>
      </c>
      <c r="F304" t="s">
        <v>387</v>
      </c>
      <c r="G304" t="s">
        <v>130</v>
      </c>
      <c r="H304" t="s">
        <v>131</v>
      </c>
      <c r="I304">
        <v>8</v>
      </c>
      <c r="J304">
        <v>9</v>
      </c>
      <c r="K304">
        <v>3</v>
      </c>
      <c r="L304" t="s">
        <v>174</v>
      </c>
      <c r="M304" t="s">
        <v>180</v>
      </c>
      <c r="N304" t="s">
        <v>133</v>
      </c>
      <c r="O304">
        <v>19</v>
      </c>
      <c r="P304">
        <v>7</v>
      </c>
      <c r="Q304" t="s">
        <v>145</v>
      </c>
      <c r="R304" t="s">
        <v>155</v>
      </c>
      <c r="S304" t="s">
        <v>147</v>
      </c>
      <c r="T304" t="s">
        <v>148</v>
      </c>
      <c r="U304" t="s">
        <v>158</v>
      </c>
      <c r="V304" t="s">
        <v>133</v>
      </c>
      <c r="W304" t="s">
        <v>139</v>
      </c>
      <c r="X304" t="s">
        <v>133</v>
      </c>
      <c r="Z304">
        <v>4</v>
      </c>
      <c r="AA304">
        <v>4</v>
      </c>
      <c r="AB304">
        <v>4</v>
      </c>
      <c r="AC304" t="s">
        <v>182</v>
      </c>
      <c r="AD304">
        <v>0</v>
      </c>
      <c r="AE304">
        <v>0</v>
      </c>
      <c r="AF304" t="s">
        <v>133</v>
      </c>
      <c r="AG304" t="s">
        <v>140</v>
      </c>
      <c r="AH304" t="s">
        <v>183</v>
      </c>
      <c r="AI304" s="4">
        <v>9</v>
      </c>
      <c r="AJ304" s="4">
        <v>19</v>
      </c>
      <c r="AK304" s="4">
        <v>0</v>
      </c>
      <c r="AL304" s="4">
        <v>28</v>
      </c>
      <c r="AM304" t="s">
        <v>507</v>
      </c>
    </row>
    <row r="305" spans="1:39" x14ac:dyDescent="0.3">
      <c r="A305" t="s">
        <v>127</v>
      </c>
      <c r="B305">
        <v>51</v>
      </c>
      <c r="C305">
        <v>1756</v>
      </c>
      <c r="D305" t="s">
        <v>161</v>
      </c>
      <c r="E305">
        <v>1</v>
      </c>
      <c r="F305" t="s">
        <v>389</v>
      </c>
      <c r="G305" t="s">
        <v>130</v>
      </c>
      <c r="H305" t="s">
        <v>131</v>
      </c>
      <c r="I305">
        <v>8</v>
      </c>
      <c r="J305">
        <v>20</v>
      </c>
      <c r="K305">
        <v>3</v>
      </c>
      <c r="L305" t="s">
        <v>174</v>
      </c>
      <c r="M305" t="s">
        <v>166</v>
      </c>
      <c r="N305" t="s">
        <v>133</v>
      </c>
      <c r="O305">
        <v>196</v>
      </c>
      <c r="P305">
        <v>34</v>
      </c>
      <c r="Q305" t="s">
        <v>145</v>
      </c>
      <c r="R305" t="s">
        <v>146</v>
      </c>
      <c r="S305" t="s">
        <v>147</v>
      </c>
      <c r="T305" t="s">
        <v>148</v>
      </c>
      <c r="U305" t="s">
        <v>149</v>
      </c>
      <c r="V305" t="s">
        <v>133</v>
      </c>
      <c r="W305" t="s">
        <v>139</v>
      </c>
      <c r="X305" t="s">
        <v>133</v>
      </c>
      <c r="Z305">
        <v>4</v>
      </c>
      <c r="AA305">
        <v>4</v>
      </c>
      <c r="AB305">
        <v>4</v>
      </c>
      <c r="AD305">
        <v>1</v>
      </c>
      <c r="AE305">
        <v>1</v>
      </c>
      <c r="AF305" t="s">
        <v>133</v>
      </c>
      <c r="AG305" t="s">
        <v>130</v>
      </c>
      <c r="AH305" t="s">
        <v>218</v>
      </c>
      <c r="AI305" s="4">
        <v>20</v>
      </c>
      <c r="AJ305" s="4">
        <v>196</v>
      </c>
      <c r="AK305" s="4">
        <v>0</v>
      </c>
      <c r="AL305" s="4">
        <v>216</v>
      </c>
      <c r="AM305" t="s">
        <v>508</v>
      </c>
    </row>
    <row r="306" spans="1:39" x14ac:dyDescent="0.3">
      <c r="A306" t="s">
        <v>127</v>
      </c>
      <c r="B306">
        <v>51</v>
      </c>
      <c r="C306">
        <v>8029</v>
      </c>
      <c r="D306" t="s">
        <v>161</v>
      </c>
      <c r="E306">
        <v>2</v>
      </c>
      <c r="F306" t="s">
        <v>391</v>
      </c>
      <c r="G306" t="s">
        <v>130</v>
      </c>
      <c r="H306" t="s">
        <v>131</v>
      </c>
      <c r="I306">
        <v>5</v>
      </c>
      <c r="J306">
        <v>17</v>
      </c>
      <c r="K306">
        <v>15</v>
      </c>
      <c r="L306" t="s">
        <v>165</v>
      </c>
      <c r="M306" t="s">
        <v>166</v>
      </c>
      <c r="N306" t="s">
        <v>133</v>
      </c>
      <c r="O306">
        <v>6</v>
      </c>
      <c r="P306">
        <v>5</v>
      </c>
      <c r="Q306" t="s">
        <v>134</v>
      </c>
      <c r="R306" t="s">
        <v>135</v>
      </c>
      <c r="T306" t="s">
        <v>203</v>
      </c>
      <c r="U306" t="s">
        <v>137</v>
      </c>
      <c r="V306" t="s">
        <v>170</v>
      </c>
      <c r="W306" t="s">
        <v>139</v>
      </c>
      <c r="X306" t="s">
        <v>133</v>
      </c>
      <c r="Z306">
        <v>1</v>
      </c>
      <c r="AA306">
        <v>1</v>
      </c>
      <c r="AB306">
        <v>2</v>
      </c>
      <c r="AD306">
        <v>0</v>
      </c>
      <c r="AE306">
        <v>0</v>
      </c>
      <c r="AF306" t="s">
        <v>133</v>
      </c>
      <c r="AG306" t="s">
        <v>139</v>
      </c>
      <c r="AH306" t="s">
        <v>185</v>
      </c>
      <c r="AI306" s="4">
        <v>17</v>
      </c>
      <c r="AJ306" s="4">
        <v>6</v>
      </c>
      <c r="AK306" s="4">
        <v>0</v>
      </c>
      <c r="AL306" s="4">
        <v>23</v>
      </c>
      <c r="AM306" t="s">
        <v>509</v>
      </c>
    </row>
    <row r="307" spans="1:39" x14ac:dyDescent="0.3">
      <c r="A307" t="s">
        <v>127</v>
      </c>
      <c r="B307">
        <v>51</v>
      </c>
      <c r="C307">
        <v>5442</v>
      </c>
      <c r="D307" t="s">
        <v>161</v>
      </c>
      <c r="E307">
        <v>3</v>
      </c>
      <c r="F307" t="s">
        <v>392</v>
      </c>
      <c r="G307" t="s">
        <v>130</v>
      </c>
      <c r="H307" t="s">
        <v>153</v>
      </c>
      <c r="I307">
        <v>8</v>
      </c>
      <c r="J307">
        <v>1</v>
      </c>
      <c r="K307">
        <v>1</v>
      </c>
      <c r="L307" t="s">
        <v>132</v>
      </c>
      <c r="N307" t="s">
        <v>133</v>
      </c>
      <c r="O307">
        <v>37</v>
      </c>
      <c r="P307">
        <v>22</v>
      </c>
      <c r="Q307" t="s">
        <v>154</v>
      </c>
      <c r="R307" t="s">
        <v>155</v>
      </c>
      <c r="S307" t="s">
        <v>156</v>
      </c>
      <c r="T307" t="s">
        <v>157</v>
      </c>
      <c r="U307" t="s">
        <v>187</v>
      </c>
      <c r="V307" t="s">
        <v>133</v>
      </c>
      <c r="W307" t="s">
        <v>139</v>
      </c>
      <c r="X307" t="s">
        <v>133</v>
      </c>
      <c r="Z307">
        <v>3</v>
      </c>
      <c r="AA307">
        <v>1</v>
      </c>
      <c r="AB307">
        <v>3</v>
      </c>
      <c r="AD307">
        <v>1</v>
      </c>
      <c r="AE307">
        <v>0</v>
      </c>
      <c r="AF307" t="s">
        <v>133</v>
      </c>
      <c r="AG307" t="s">
        <v>130</v>
      </c>
      <c r="AI307" s="4">
        <v>1</v>
      </c>
      <c r="AJ307" s="4">
        <v>37</v>
      </c>
      <c r="AK307" s="4">
        <v>0</v>
      </c>
      <c r="AL307" s="4">
        <v>38</v>
      </c>
      <c r="AM307" t="s">
        <v>510</v>
      </c>
    </row>
    <row r="308" spans="1:39" x14ac:dyDescent="0.3">
      <c r="A308" t="s">
        <v>127</v>
      </c>
      <c r="B308">
        <v>52</v>
      </c>
      <c r="C308">
        <v>4423</v>
      </c>
      <c r="D308" t="s">
        <v>128</v>
      </c>
      <c r="E308">
        <v>1</v>
      </c>
      <c r="F308" t="s">
        <v>383</v>
      </c>
      <c r="G308" t="s">
        <v>130</v>
      </c>
      <c r="H308" t="s">
        <v>144</v>
      </c>
      <c r="I308">
        <v>8</v>
      </c>
      <c r="J308">
        <v>1</v>
      </c>
      <c r="K308">
        <v>0</v>
      </c>
      <c r="L308" t="s">
        <v>132</v>
      </c>
      <c r="N308" t="s">
        <v>133</v>
      </c>
      <c r="O308">
        <v>40</v>
      </c>
      <c r="P308">
        <v>13</v>
      </c>
      <c r="Q308" t="s">
        <v>145</v>
      </c>
      <c r="R308" t="s">
        <v>155</v>
      </c>
      <c r="S308" t="s">
        <v>147</v>
      </c>
      <c r="T308" t="s">
        <v>148</v>
      </c>
      <c r="U308" t="s">
        <v>158</v>
      </c>
      <c r="V308" t="s">
        <v>170</v>
      </c>
      <c r="W308" t="s">
        <v>170</v>
      </c>
      <c r="X308" t="s">
        <v>195</v>
      </c>
      <c r="Y308" t="s">
        <v>196</v>
      </c>
      <c r="Z308">
        <v>2</v>
      </c>
      <c r="AA308">
        <v>4</v>
      </c>
      <c r="AB308">
        <v>3</v>
      </c>
      <c r="AD308">
        <v>0</v>
      </c>
      <c r="AE308">
        <v>0</v>
      </c>
      <c r="AF308" t="s">
        <v>133</v>
      </c>
      <c r="AG308" t="s">
        <v>140</v>
      </c>
      <c r="AH308" t="s">
        <v>244</v>
      </c>
      <c r="AI308" s="4">
        <v>1</v>
      </c>
      <c r="AJ308" s="4">
        <v>40</v>
      </c>
      <c r="AK308" s="4">
        <v>10</v>
      </c>
      <c r="AL308" s="4">
        <v>51</v>
      </c>
      <c r="AM308" t="s">
        <v>511</v>
      </c>
    </row>
    <row r="309" spans="1:39" x14ac:dyDescent="0.3">
      <c r="A309" t="s">
        <v>127</v>
      </c>
      <c r="B309">
        <v>52</v>
      </c>
      <c r="C309">
        <v>2861</v>
      </c>
      <c r="D309" t="s">
        <v>128</v>
      </c>
      <c r="E309">
        <v>2</v>
      </c>
      <c r="F309" t="s">
        <v>385</v>
      </c>
      <c r="G309" t="s">
        <v>130</v>
      </c>
      <c r="H309" t="s">
        <v>144</v>
      </c>
      <c r="I309">
        <v>8</v>
      </c>
      <c r="J309">
        <v>11</v>
      </c>
      <c r="K309">
        <v>1</v>
      </c>
      <c r="L309" t="s">
        <v>165</v>
      </c>
      <c r="M309" t="s">
        <v>166</v>
      </c>
      <c r="N309" t="s">
        <v>133</v>
      </c>
      <c r="O309">
        <v>62</v>
      </c>
      <c r="P309">
        <v>7</v>
      </c>
      <c r="Q309" t="s">
        <v>145</v>
      </c>
      <c r="R309" t="s">
        <v>146</v>
      </c>
      <c r="S309" t="s">
        <v>147</v>
      </c>
      <c r="T309" t="s">
        <v>148</v>
      </c>
      <c r="U309" t="s">
        <v>149</v>
      </c>
      <c r="V309" t="s">
        <v>133</v>
      </c>
      <c r="W309" t="s">
        <v>139</v>
      </c>
      <c r="X309" t="s">
        <v>133</v>
      </c>
      <c r="Z309">
        <v>4</v>
      </c>
      <c r="AA309">
        <v>3</v>
      </c>
      <c r="AB309">
        <v>5</v>
      </c>
      <c r="AD309">
        <v>0</v>
      </c>
      <c r="AE309">
        <v>0</v>
      </c>
      <c r="AF309" t="s">
        <v>133</v>
      </c>
      <c r="AG309" t="s">
        <v>130</v>
      </c>
      <c r="AH309" t="s">
        <v>167</v>
      </c>
      <c r="AI309" s="4">
        <v>11</v>
      </c>
      <c r="AJ309" s="4">
        <v>62</v>
      </c>
      <c r="AK309" s="4">
        <v>0</v>
      </c>
      <c r="AL309" s="4">
        <v>73</v>
      </c>
      <c r="AM309" t="s">
        <v>512</v>
      </c>
    </row>
    <row r="310" spans="1:39" x14ac:dyDescent="0.3">
      <c r="A310" t="s">
        <v>127</v>
      </c>
      <c r="B310">
        <v>52</v>
      </c>
      <c r="C310">
        <v>2040</v>
      </c>
      <c r="D310" t="s">
        <v>128</v>
      </c>
      <c r="E310">
        <v>3</v>
      </c>
      <c r="F310" t="s">
        <v>387</v>
      </c>
      <c r="G310" t="s">
        <v>130</v>
      </c>
      <c r="H310" t="s">
        <v>144</v>
      </c>
      <c r="I310">
        <v>5</v>
      </c>
      <c r="J310">
        <v>23</v>
      </c>
      <c r="K310">
        <v>6</v>
      </c>
      <c r="L310" t="s">
        <v>165</v>
      </c>
      <c r="M310" t="s">
        <v>180</v>
      </c>
      <c r="N310" t="s">
        <v>133</v>
      </c>
      <c r="O310">
        <v>68</v>
      </c>
      <c r="P310">
        <v>18</v>
      </c>
      <c r="Q310" t="s">
        <v>145</v>
      </c>
      <c r="R310" t="s">
        <v>146</v>
      </c>
      <c r="S310" t="s">
        <v>147</v>
      </c>
      <c r="T310" t="s">
        <v>148</v>
      </c>
      <c r="U310" t="s">
        <v>149</v>
      </c>
      <c r="V310" t="s">
        <v>133</v>
      </c>
      <c r="W310" t="s">
        <v>139</v>
      </c>
      <c r="X310" t="s">
        <v>133</v>
      </c>
      <c r="Z310">
        <v>5</v>
      </c>
      <c r="AA310">
        <v>5</v>
      </c>
      <c r="AB310">
        <v>4</v>
      </c>
      <c r="AD310">
        <v>0</v>
      </c>
      <c r="AE310">
        <v>0</v>
      </c>
      <c r="AF310" t="s">
        <v>133</v>
      </c>
      <c r="AG310" t="s">
        <v>130</v>
      </c>
      <c r="AH310" t="s">
        <v>175</v>
      </c>
      <c r="AI310" s="4">
        <v>23</v>
      </c>
      <c r="AJ310" s="4">
        <v>68</v>
      </c>
      <c r="AK310" s="4">
        <v>0</v>
      </c>
      <c r="AL310" s="4">
        <v>91</v>
      </c>
      <c r="AM310" t="s">
        <v>513</v>
      </c>
    </row>
    <row r="311" spans="1:39" x14ac:dyDescent="0.3">
      <c r="A311" t="s">
        <v>127</v>
      </c>
      <c r="B311">
        <v>52</v>
      </c>
      <c r="C311">
        <v>9082</v>
      </c>
      <c r="D311" t="s">
        <v>161</v>
      </c>
      <c r="E311">
        <v>1</v>
      </c>
      <c r="F311" t="s">
        <v>389</v>
      </c>
      <c r="G311" t="s">
        <v>130</v>
      </c>
      <c r="H311" t="s">
        <v>131</v>
      </c>
      <c r="I311">
        <v>8</v>
      </c>
      <c r="J311">
        <v>10</v>
      </c>
      <c r="K311">
        <v>0</v>
      </c>
      <c r="L311" t="s">
        <v>165</v>
      </c>
      <c r="M311" t="s">
        <v>166</v>
      </c>
      <c r="N311" t="s">
        <v>133</v>
      </c>
      <c r="O311">
        <v>77</v>
      </c>
      <c r="P311">
        <v>2</v>
      </c>
      <c r="Q311" t="s">
        <v>145</v>
      </c>
      <c r="R311" t="s">
        <v>146</v>
      </c>
      <c r="S311" t="s">
        <v>147</v>
      </c>
      <c r="T311" t="s">
        <v>148</v>
      </c>
      <c r="U311" t="s">
        <v>158</v>
      </c>
      <c r="V311" t="s">
        <v>133</v>
      </c>
      <c r="W311" t="s">
        <v>139</v>
      </c>
      <c r="X311" t="s">
        <v>133</v>
      </c>
      <c r="Z311">
        <v>5</v>
      </c>
      <c r="AA311">
        <v>4</v>
      </c>
      <c r="AB311">
        <v>5</v>
      </c>
      <c r="AD311">
        <v>0</v>
      </c>
      <c r="AE311">
        <v>0</v>
      </c>
      <c r="AF311" t="s">
        <v>133</v>
      </c>
      <c r="AG311" t="s">
        <v>130</v>
      </c>
      <c r="AH311" t="s">
        <v>175</v>
      </c>
      <c r="AI311" s="4">
        <v>10</v>
      </c>
      <c r="AJ311" s="4">
        <v>77</v>
      </c>
      <c r="AK311" s="4">
        <v>0</v>
      </c>
      <c r="AL311" s="4">
        <v>87</v>
      </c>
      <c r="AM311" t="s">
        <v>514</v>
      </c>
    </row>
    <row r="312" spans="1:39" x14ac:dyDescent="0.3">
      <c r="A312" t="s">
        <v>127</v>
      </c>
      <c r="B312">
        <v>52</v>
      </c>
      <c r="C312">
        <v>4213</v>
      </c>
      <c r="D312" t="s">
        <v>161</v>
      </c>
      <c r="E312">
        <v>2</v>
      </c>
      <c r="F312" t="s">
        <v>391</v>
      </c>
      <c r="G312" t="s">
        <v>130</v>
      </c>
      <c r="H312" t="s">
        <v>153</v>
      </c>
      <c r="I312">
        <v>8</v>
      </c>
      <c r="J312">
        <v>6</v>
      </c>
      <c r="K312">
        <v>2</v>
      </c>
      <c r="L312" t="s">
        <v>132</v>
      </c>
      <c r="N312" t="s">
        <v>133</v>
      </c>
      <c r="O312">
        <v>39</v>
      </c>
      <c r="P312">
        <v>10</v>
      </c>
      <c r="Q312" t="s">
        <v>145</v>
      </c>
      <c r="R312" t="s">
        <v>155</v>
      </c>
      <c r="S312" t="s">
        <v>178</v>
      </c>
      <c r="T312" t="s">
        <v>157</v>
      </c>
      <c r="U312" t="s">
        <v>158</v>
      </c>
      <c r="V312" t="s">
        <v>133</v>
      </c>
      <c r="W312" t="s">
        <v>139</v>
      </c>
      <c r="X312" t="s">
        <v>133</v>
      </c>
      <c r="Z312">
        <v>3</v>
      </c>
      <c r="AA312">
        <v>3</v>
      </c>
      <c r="AB312">
        <v>5</v>
      </c>
      <c r="AD312">
        <v>0</v>
      </c>
      <c r="AE312">
        <v>0</v>
      </c>
      <c r="AF312" t="s">
        <v>133</v>
      </c>
      <c r="AG312" t="s">
        <v>140</v>
      </c>
      <c r="AI312" s="4">
        <v>6</v>
      </c>
      <c r="AJ312" s="4">
        <v>39</v>
      </c>
      <c r="AK312" s="4">
        <v>0</v>
      </c>
      <c r="AL312" s="4">
        <v>45</v>
      </c>
      <c r="AM312" t="s">
        <v>515</v>
      </c>
    </row>
    <row r="313" spans="1:39" x14ac:dyDescent="0.3">
      <c r="A313" t="s">
        <v>127</v>
      </c>
      <c r="B313">
        <v>52</v>
      </c>
      <c r="C313">
        <v>7848</v>
      </c>
      <c r="D313" t="s">
        <v>161</v>
      </c>
      <c r="E313">
        <v>3</v>
      </c>
      <c r="F313" t="s">
        <v>392</v>
      </c>
      <c r="G313" t="s">
        <v>130</v>
      </c>
      <c r="H313" t="s">
        <v>144</v>
      </c>
      <c r="I313">
        <v>8</v>
      </c>
      <c r="J313">
        <v>2</v>
      </c>
      <c r="K313">
        <v>1</v>
      </c>
      <c r="L313" t="s">
        <v>132</v>
      </c>
      <c r="N313" t="s">
        <v>133</v>
      </c>
      <c r="O313">
        <v>41</v>
      </c>
      <c r="P313">
        <v>11</v>
      </c>
      <c r="Q313" t="s">
        <v>145</v>
      </c>
      <c r="R313" t="s">
        <v>155</v>
      </c>
      <c r="S313" t="s">
        <v>156</v>
      </c>
      <c r="T313" t="s">
        <v>157</v>
      </c>
      <c r="U313" t="s">
        <v>158</v>
      </c>
      <c r="V313" t="s">
        <v>133</v>
      </c>
      <c r="W313" t="s">
        <v>139</v>
      </c>
      <c r="X313" t="s">
        <v>133</v>
      </c>
      <c r="Z313">
        <v>4</v>
      </c>
      <c r="AA313">
        <v>3</v>
      </c>
      <c r="AB313">
        <v>3</v>
      </c>
      <c r="AD313">
        <v>0</v>
      </c>
      <c r="AE313">
        <v>0</v>
      </c>
      <c r="AF313" t="s">
        <v>133</v>
      </c>
      <c r="AG313" t="s">
        <v>139</v>
      </c>
      <c r="AI313" s="4">
        <v>2</v>
      </c>
      <c r="AJ313" s="4">
        <v>41</v>
      </c>
      <c r="AK313" s="4">
        <v>0</v>
      </c>
      <c r="AL313" s="4">
        <v>43</v>
      </c>
      <c r="AM313" t="s">
        <v>516</v>
      </c>
    </row>
    <row r="314" spans="1:39" x14ac:dyDescent="0.3">
      <c r="A314" t="s">
        <v>127</v>
      </c>
      <c r="B314">
        <v>53</v>
      </c>
      <c r="C314">
        <v>4645</v>
      </c>
      <c r="D314" t="s">
        <v>128</v>
      </c>
      <c r="E314">
        <v>1</v>
      </c>
      <c r="F314" t="s">
        <v>383</v>
      </c>
      <c r="G314" t="s">
        <v>130</v>
      </c>
      <c r="H314" t="s">
        <v>153</v>
      </c>
      <c r="I314">
        <v>8</v>
      </c>
      <c r="J314">
        <v>5</v>
      </c>
      <c r="K314">
        <v>2</v>
      </c>
      <c r="L314" t="s">
        <v>132</v>
      </c>
      <c r="N314" t="s">
        <v>133</v>
      </c>
      <c r="O314">
        <v>27</v>
      </c>
      <c r="P314">
        <v>10</v>
      </c>
      <c r="Q314" t="s">
        <v>154</v>
      </c>
      <c r="R314" t="s">
        <v>155</v>
      </c>
      <c r="S314" t="s">
        <v>156</v>
      </c>
      <c r="T314" t="s">
        <v>157</v>
      </c>
      <c r="U314" t="s">
        <v>158</v>
      </c>
      <c r="V314" t="s">
        <v>170</v>
      </c>
      <c r="W314" t="s">
        <v>139</v>
      </c>
      <c r="X314" t="s">
        <v>133</v>
      </c>
      <c r="Z314">
        <v>3</v>
      </c>
      <c r="AA314">
        <v>2</v>
      </c>
      <c r="AB314">
        <v>4</v>
      </c>
      <c r="AC314" t="s">
        <v>159</v>
      </c>
      <c r="AD314">
        <v>0</v>
      </c>
      <c r="AE314">
        <v>0</v>
      </c>
      <c r="AF314" t="s">
        <v>133</v>
      </c>
      <c r="AG314" t="s">
        <v>130</v>
      </c>
      <c r="AI314" s="4">
        <v>5</v>
      </c>
      <c r="AJ314" s="4">
        <v>27</v>
      </c>
      <c r="AK314" s="4">
        <v>0</v>
      </c>
      <c r="AL314" s="4">
        <v>32</v>
      </c>
      <c r="AM314" t="s">
        <v>517</v>
      </c>
    </row>
    <row r="315" spans="1:39" x14ac:dyDescent="0.3">
      <c r="A315" t="s">
        <v>127</v>
      </c>
      <c r="B315">
        <v>53</v>
      </c>
      <c r="C315">
        <v>3067</v>
      </c>
      <c r="D315" t="s">
        <v>128</v>
      </c>
      <c r="E315">
        <v>2</v>
      </c>
      <c r="F315" t="s">
        <v>385</v>
      </c>
      <c r="G315" t="s">
        <v>130</v>
      </c>
      <c r="H315" t="s">
        <v>153</v>
      </c>
      <c r="I315">
        <v>8</v>
      </c>
      <c r="J315">
        <v>4</v>
      </c>
      <c r="K315">
        <v>1</v>
      </c>
      <c r="L315" t="s">
        <v>132</v>
      </c>
      <c r="N315" t="s">
        <v>133</v>
      </c>
      <c r="O315">
        <v>34</v>
      </c>
      <c r="P315">
        <v>6</v>
      </c>
      <c r="Q315" t="s">
        <v>145</v>
      </c>
      <c r="R315" t="s">
        <v>155</v>
      </c>
      <c r="S315" t="s">
        <v>178</v>
      </c>
      <c r="T315" t="s">
        <v>157</v>
      </c>
      <c r="U315" t="s">
        <v>158</v>
      </c>
      <c r="V315" t="s">
        <v>133</v>
      </c>
      <c r="W315" t="s">
        <v>139</v>
      </c>
      <c r="X315" t="s">
        <v>133</v>
      </c>
      <c r="Z315">
        <v>3</v>
      </c>
      <c r="AA315">
        <v>3</v>
      </c>
      <c r="AB315">
        <v>4</v>
      </c>
      <c r="AD315">
        <v>0</v>
      </c>
      <c r="AE315">
        <v>0</v>
      </c>
      <c r="AF315" t="s">
        <v>133</v>
      </c>
      <c r="AG315" t="s">
        <v>140</v>
      </c>
      <c r="AI315" s="4">
        <v>4</v>
      </c>
      <c r="AJ315" s="4">
        <v>34</v>
      </c>
      <c r="AK315" s="4">
        <v>0</v>
      </c>
      <c r="AL315" s="4">
        <v>38</v>
      </c>
      <c r="AM315" t="s">
        <v>518</v>
      </c>
    </row>
    <row r="316" spans="1:39" x14ac:dyDescent="0.3">
      <c r="A316" t="s">
        <v>127</v>
      </c>
      <c r="B316">
        <v>53</v>
      </c>
      <c r="C316">
        <v>8020</v>
      </c>
      <c r="D316" t="s">
        <v>128</v>
      </c>
      <c r="E316">
        <v>3</v>
      </c>
      <c r="F316" t="s">
        <v>387</v>
      </c>
      <c r="G316" t="s">
        <v>130</v>
      </c>
      <c r="H316" t="s">
        <v>131</v>
      </c>
      <c r="I316">
        <v>8</v>
      </c>
      <c r="J316">
        <v>16</v>
      </c>
      <c r="K316">
        <v>2</v>
      </c>
      <c r="L316" t="s">
        <v>174</v>
      </c>
      <c r="M316" t="s">
        <v>166</v>
      </c>
      <c r="N316" t="s">
        <v>133</v>
      </c>
      <c r="O316">
        <v>67</v>
      </c>
      <c r="P316">
        <v>8</v>
      </c>
      <c r="Q316" t="s">
        <v>145</v>
      </c>
      <c r="R316" t="s">
        <v>146</v>
      </c>
      <c r="S316" t="s">
        <v>147</v>
      </c>
      <c r="T316" t="s">
        <v>148</v>
      </c>
      <c r="U316" t="s">
        <v>149</v>
      </c>
      <c r="V316" t="s">
        <v>133</v>
      </c>
      <c r="W316" t="s">
        <v>139</v>
      </c>
      <c r="X316" t="s">
        <v>133</v>
      </c>
      <c r="Z316">
        <v>4</v>
      </c>
      <c r="AA316">
        <v>5</v>
      </c>
      <c r="AB316">
        <v>4</v>
      </c>
      <c r="AD316">
        <v>0</v>
      </c>
      <c r="AE316">
        <v>0</v>
      </c>
      <c r="AF316" t="s">
        <v>133</v>
      </c>
      <c r="AG316" t="s">
        <v>130</v>
      </c>
      <c r="AH316" t="s">
        <v>175</v>
      </c>
      <c r="AI316" s="4">
        <v>16</v>
      </c>
      <c r="AJ316" s="4">
        <v>67</v>
      </c>
      <c r="AK316" s="4">
        <v>0</v>
      </c>
      <c r="AL316" s="4">
        <v>83</v>
      </c>
      <c r="AM316" t="s">
        <v>519</v>
      </c>
    </row>
    <row r="317" spans="1:39" x14ac:dyDescent="0.3">
      <c r="A317" t="s">
        <v>127</v>
      </c>
      <c r="B317">
        <v>53</v>
      </c>
      <c r="C317">
        <v>4096</v>
      </c>
      <c r="D317" t="s">
        <v>161</v>
      </c>
      <c r="E317">
        <v>1</v>
      </c>
      <c r="F317" t="s">
        <v>389</v>
      </c>
      <c r="G317" t="s">
        <v>130</v>
      </c>
      <c r="H317" t="s">
        <v>131</v>
      </c>
      <c r="I317">
        <v>8</v>
      </c>
      <c r="J317">
        <v>17</v>
      </c>
      <c r="K317">
        <v>2</v>
      </c>
      <c r="L317" t="s">
        <v>174</v>
      </c>
      <c r="M317" t="s">
        <v>180</v>
      </c>
      <c r="N317" t="s">
        <v>133</v>
      </c>
      <c r="O317">
        <v>100</v>
      </c>
      <c r="P317">
        <v>13</v>
      </c>
      <c r="Q317" t="s">
        <v>145</v>
      </c>
      <c r="R317" t="s">
        <v>155</v>
      </c>
      <c r="S317" t="s">
        <v>147</v>
      </c>
      <c r="T317" t="s">
        <v>148</v>
      </c>
      <c r="U317" t="s">
        <v>158</v>
      </c>
      <c r="V317" t="s">
        <v>133</v>
      </c>
      <c r="W317" t="s">
        <v>139</v>
      </c>
      <c r="X317" t="s">
        <v>133</v>
      </c>
      <c r="Z317">
        <v>3</v>
      </c>
      <c r="AA317">
        <v>5</v>
      </c>
      <c r="AB317">
        <v>4</v>
      </c>
      <c r="AD317">
        <v>0</v>
      </c>
      <c r="AE317">
        <v>0</v>
      </c>
      <c r="AF317" t="s">
        <v>133</v>
      </c>
      <c r="AG317" t="s">
        <v>140</v>
      </c>
      <c r="AH317" t="s">
        <v>220</v>
      </c>
      <c r="AI317" s="4">
        <v>17</v>
      </c>
      <c r="AJ317" s="4">
        <v>100</v>
      </c>
      <c r="AK317" s="4">
        <v>0</v>
      </c>
      <c r="AL317" s="4">
        <v>117</v>
      </c>
      <c r="AM317" t="s">
        <v>520</v>
      </c>
    </row>
    <row r="318" spans="1:39" x14ac:dyDescent="0.3">
      <c r="A318" t="s">
        <v>127</v>
      </c>
      <c r="B318">
        <v>53</v>
      </c>
      <c r="C318">
        <v>8719</v>
      </c>
      <c r="D318" t="s">
        <v>161</v>
      </c>
      <c r="E318">
        <v>2</v>
      </c>
      <c r="F318" t="s">
        <v>391</v>
      </c>
      <c r="G318" t="s">
        <v>130</v>
      </c>
      <c r="H318" t="s">
        <v>131</v>
      </c>
      <c r="I318">
        <v>5</v>
      </c>
      <c r="J318">
        <v>8</v>
      </c>
      <c r="K318">
        <v>6</v>
      </c>
      <c r="L318" t="s">
        <v>174</v>
      </c>
      <c r="M318" t="s">
        <v>166</v>
      </c>
      <c r="N318" t="s">
        <v>133</v>
      </c>
      <c r="O318">
        <v>11</v>
      </c>
      <c r="P318">
        <v>9</v>
      </c>
      <c r="Q318" t="s">
        <v>134</v>
      </c>
      <c r="R318" t="s">
        <v>135</v>
      </c>
      <c r="T318" t="s">
        <v>191</v>
      </c>
      <c r="U318" t="s">
        <v>137</v>
      </c>
      <c r="V318" t="s">
        <v>138</v>
      </c>
      <c r="W318" t="s">
        <v>139</v>
      </c>
      <c r="X318" t="s">
        <v>133</v>
      </c>
      <c r="Z318">
        <v>2</v>
      </c>
      <c r="AA318">
        <v>2</v>
      </c>
      <c r="AB318">
        <v>3</v>
      </c>
      <c r="AD318">
        <v>0</v>
      </c>
      <c r="AE318">
        <v>0</v>
      </c>
      <c r="AF318" t="s">
        <v>133</v>
      </c>
      <c r="AG318" t="s">
        <v>139</v>
      </c>
      <c r="AH318" t="s">
        <v>201</v>
      </c>
      <c r="AI318" s="4">
        <v>8</v>
      </c>
      <c r="AJ318" s="4">
        <v>11</v>
      </c>
      <c r="AK318" s="4">
        <v>0</v>
      </c>
      <c r="AL318" s="4">
        <v>19</v>
      </c>
      <c r="AM318" t="s">
        <v>521</v>
      </c>
    </row>
    <row r="319" spans="1:39" x14ac:dyDescent="0.3">
      <c r="A319" t="s">
        <v>127</v>
      </c>
      <c r="B319">
        <v>53</v>
      </c>
      <c r="C319">
        <v>3284</v>
      </c>
      <c r="D319" t="s">
        <v>161</v>
      </c>
      <c r="E319">
        <v>3</v>
      </c>
      <c r="F319" t="s">
        <v>392</v>
      </c>
      <c r="G319" t="s">
        <v>130</v>
      </c>
      <c r="H319" t="s">
        <v>144</v>
      </c>
      <c r="I319">
        <v>8</v>
      </c>
      <c r="J319">
        <v>15</v>
      </c>
      <c r="K319">
        <v>6</v>
      </c>
      <c r="L319" t="s">
        <v>165</v>
      </c>
      <c r="M319" t="s">
        <v>180</v>
      </c>
      <c r="N319" t="s">
        <v>133</v>
      </c>
      <c r="O319">
        <v>31</v>
      </c>
      <c r="P319">
        <v>13</v>
      </c>
      <c r="Q319" t="s">
        <v>134</v>
      </c>
      <c r="R319" t="s">
        <v>135</v>
      </c>
      <c r="T319" t="s">
        <v>136</v>
      </c>
      <c r="U319" t="s">
        <v>137</v>
      </c>
      <c r="V319" t="s">
        <v>138</v>
      </c>
      <c r="W319" t="s">
        <v>139</v>
      </c>
      <c r="X319" t="s">
        <v>133</v>
      </c>
      <c r="Z319">
        <v>1</v>
      </c>
      <c r="AA319">
        <v>2</v>
      </c>
      <c r="AB319">
        <v>4</v>
      </c>
      <c r="AD319">
        <v>1</v>
      </c>
      <c r="AE319">
        <v>0</v>
      </c>
      <c r="AF319" t="s">
        <v>133</v>
      </c>
      <c r="AG319" t="s">
        <v>139</v>
      </c>
      <c r="AH319" t="s">
        <v>201</v>
      </c>
      <c r="AI319" s="4">
        <v>15</v>
      </c>
      <c r="AJ319" s="4">
        <v>31</v>
      </c>
      <c r="AK319" s="4">
        <v>0</v>
      </c>
      <c r="AL319" s="4">
        <v>46</v>
      </c>
      <c r="AM319" t="s">
        <v>522</v>
      </c>
    </row>
    <row r="320" spans="1:39" x14ac:dyDescent="0.3">
      <c r="A320" t="s">
        <v>127</v>
      </c>
      <c r="B320">
        <v>54</v>
      </c>
      <c r="C320">
        <v>3488</v>
      </c>
      <c r="D320" t="s">
        <v>128</v>
      </c>
      <c r="E320">
        <v>1</v>
      </c>
      <c r="F320" t="s">
        <v>383</v>
      </c>
      <c r="G320" t="s">
        <v>130</v>
      </c>
      <c r="H320" t="s">
        <v>144</v>
      </c>
      <c r="I320">
        <v>8</v>
      </c>
      <c r="J320">
        <v>1</v>
      </c>
      <c r="K320">
        <v>0</v>
      </c>
      <c r="L320" t="s">
        <v>132</v>
      </c>
      <c r="N320" t="s">
        <v>133</v>
      </c>
      <c r="O320">
        <v>24</v>
      </c>
      <c r="P320">
        <v>9</v>
      </c>
      <c r="Q320" t="s">
        <v>154</v>
      </c>
      <c r="R320" t="s">
        <v>135</v>
      </c>
      <c r="S320" t="s">
        <v>178</v>
      </c>
      <c r="T320" t="s">
        <v>157</v>
      </c>
      <c r="U320" t="s">
        <v>187</v>
      </c>
      <c r="V320" t="s">
        <v>170</v>
      </c>
      <c r="W320" t="s">
        <v>139</v>
      </c>
      <c r="X320" t="s">
        <v>133</v>
      </c>
      <c r="Z320">
        <v>2</v>
      </c>
      <c r="AA320">
        <v>2</v>
      </c>
      <c r="AB320">
        <v>4</v>
      </c>
      <c r="AD320">
        <v>0</v>
      </c>
      <c r="AE320">
        <v>0</v>
      </c>
      <c r="AF320" t="s">
        <v>133</v>
      </c>
      <c r="AG320" t="s">
        <v>139</v>
      </c>
      <c r="AI320" s="4">
        <v>1</v>
      </c>
      <c r="AJ320" s="4">
        <v>24</v>
      </c>
      <c r="AK320" s="4">
        <v>0</v>
      </c>
      <c r="AL320" s="4">
        <v>25</v>
      </c>
      <c r="AM320" t="s">
        <v>523</v>
      </c>
    </row>
    <row r="321" spans="1:39" x14ac:dyDescent="0.3">
      <c r="A321" t="s">
        <v>127</v>
      </c>
      <c r="B321">
        <v>54</v>
      </c>
      <c r="C321">
        <v>8096</v>
      </c>
      <c r="D321" t="s">
        <v>128</v>
      </c>
      <c r="E321">
        <v>2</v>
      </c>
      <c r="F321" t="s">
        <v>385</v>
      </c>
      <c r="G321" t="s">
        <v>130</v>
      </c>
      <c r="H321" t="s">
        <v>144</v>
      </c>
      <c r="I321">
        <v>8</v>
      </c>
      <c r="J321">
        <v>12</v>
      </c>
      <c r="K321">
        <v>5</v>
      </c>
      <c r="L321" t="s">
        <v>174</v>
      </c>
      <c r="M321" t="s">
        <v>166</v>
      </c>
      <c r="N321" t="s">
        <v>133</v>
      </c>
      <c r="O321">
        <v>43</v>
      </c>
      <c r="P321">
        <v>19</v>
      </c>
      <c r="Q321" t="s">
        <v>154</v>
      </c>
      <c r="R321" t="s">
        <v>155</v>
      </c>
      <c r="S321" t="s">
        <v>156</v>
      </c>
      <c r="T321" t="s">
        <v>157</v>
      </c>
      <c r="U321" t="s">
        <v>187</v>
      </c>
      <c r="V321" t="s">
        <v>133</v>
      </c>
      <c r="W321" t="s">
        <v>139</v>
      </c>
      <c r="X321" t="s">
        <v>133</v>
      </c>
      <c r="Z321">
        <v>3</v>
      </c>
      <c r="AA321">
        <v>3</v>
      </c>
      <c r="AB321">
        <v>5</v>
      </c>
      <c r="AD321">
        <v>0</v>
      </c>
      <c r="AE321">
        <v>0</v>
      </c>
      <c r="AF321" t="s">
        <v>133</v>
      </c>
      <c r="AG321" t="s">
        <v>140</v>
      </c>
      <c r="AI321" s="4">
        <v>12</v>
      </c>
      <c r="AJ321" s="4">
        <v>43</v>
      </c>
      <c r="AK321" s="4">
        <v>0</v>
      </c>
      <c r="AL321" s="4">
        <v>55</v>
      </c>
      <c r="AM321" t="s">
        <v>524</v>
      </c>
    </row>
    <row r="322" spans="1:39" x14ac:dyDescent="0.3">
      <c r="A322" t="s">
        <v>127</v>
      </c>
      <c r="B322">
        <v>54</v>
      </c>
      <c r="C322">
        <v>4156</v>
      </c>
      <c r="D322" t="s">
        <v>128</v>
      </c>
      <c r="E322">
        <v>3</v>
      </c>
      <c r="F322" t="s">
        <v>387</v>
      </c>
      <c r="G322" t="s">
        <v>130</v>
      </c>
      <c r="H322" t="s">
        <v>131</v>
      </c>
      <c r="I322">
        <v>8</v>
      </c>
      <c r="J322">
        <v>5</v>
      </c>
      <c r="K322">
        <v>3</v>
      </c>
      <c r="L322" t="s">
        <v>132</v>
      </c>
      <c r="N322" t="s">
        <v>133</v>
      </c>
      <c r="O322">
        <v>4</v>
      </c>
      <c r="P322">
        <v>2</v>
      </c>
      <c r="Q322" t="s">
        <v>134</v>
      </c>
      <c r="R322" t="s">
        <v>135</v>
      </c>
      <c r="T322" t="s">
        <v>136</v>
      </c>
      <c r="U322" t="s">
        <v>137</v>
      </c>
      <c r="V322" t="s">
        <v>133</v>
      </c>
      <c r="W322" t="s">
        <v>139</v>
      </c>
      <c r="X322" t="s">
        <v>133</v>
      </c>
      <c r="Z322">
        <v>1</v>
      </c>
      <c r="AA322">
        <v>1</v>
      </c>
      <c r="AB322">
        <v>2</v>
      </c>
      <c r="AD322">
        <v>0</v>
      </c>
      <c r="AE322">
        <v>0</v>
      </c>
      <c r="AF322" t="s">
        <v>133</v>
      </c>
      <c r="AG322" t="s">
        <v>139</v>
      </c>
      <c r="AH322" t="s">
        <v>185</v>
      </c>
      <c r="AI322" s="4">
        <v>5</v>
      </c>
      <c r="AJ322" s="4">
        <v>4</v>
      </c>
      <c r="AK322" s="4">
        <v>0</v>
      </c>
      <c r="AL322" s="4">
        <v>9</v>
      </c>
      <c r="AM322" t="s">
        <v>525</v>
      </c>
    </row>
    <row r="323" spans="1:39" x14ac:dyDescent="0.3">
      <c r="A323" t="s">
        <v>127</v>
      </c>
      <c r="B323">
        <v>54</v>
      </c>
      <c r="C323">
        <v>1756</v>
      </c>
      <c r="D323" t="s">
        <v>161</v>
      </c>
      <c r="E323">
        <v>1</v>
      </c>
      <c r="F323" t="s">
        <v>389</v>
      </c>
      <c r="G323" t="s">
        <v>130</v>
      </c>
      <c r="H323" t="s">
        <v>131</v>
      </c>
      <c r="I323">
        <v>8</v>
      </c>
      <c r="J323">
        <v>16</v>
      </c>
      <c r="K323">
        <v>2</v>
      </c>
      <c r="L323" t="s">
        <v>174</v>
      </c>
      <c r="M323" t="s">
        <v>180</v>
      </c>
      <c r="N323" t="s">
        <v>133</v>
      </c>
      <c r="O323">
        <v>125</v>
      </c>
      <c r="P323">
        <v>12</v>
      </c>
      <c r="Q323" t="s">
        <v>145</v>
      </c>
      <c r="R323" t="s">
        <v>146</v>
      </c>
      <c r="S323" t="s">
        <v>147</v>
      </c>
      <c r="T323" t="s">
        <v>148</v>
      </c>
      <c r="U323" t="s">
        <v>149</v>
      </c>
      <c r="V323" t="s">
        <v>133</v>
      </c>
      <c r="W323" t="s">
        <v>139</v>
      </c>
      <c r="X323" t="s">
        <v>133</v>
      </c>
      <c r="Z323">
        <v>5</v>
      </c>
      <c r="AA323">
        <v>5</v>
      </c>
      <c r="AB323">
        <v>4</v>
      </c>
      <c r="AD323">
        <v>1</v>
      </c>
      <c r="AE323">
        <v>0</v>
      </c>
      <c r="AF323" t="s">
        <v>133</v>
      </c>
      <c r="AG323" t="s">
        <v>130</v>
      </c>
      <c r="AH323" t="s">
        <v>218</v>
      </c>
      <c r="AI323" s="4">
        <v>16</v>
      </c>
      <c r="AJ323" s="4">
        <v>125</v>
      </c>
      <c r="AK323" s="4">
        <v>0</v>
      </c>
      <c r="AL323" s="4">
        <v>141</v>
      </c>
      <c r="AM323" t="s">
        <v>526</v>
      </c>
    </row>
    <row r="324" spans="1:39" x14ac:dyDescent="0.3">
      <c r="A324" t="s">
        <v>127</v>
      </c>
      <c r="B324">
        <v>54</v>
      </c>
      <c r="C324">
        <v>2022</v>
      </c>
      <c r="D324" t="s">
        <v>161</v>
      </c>
      <c r="E324">
        <v>2</v>
      </c>
      <c r="F324" t="s">
        <v>391</v>
      </c>
      <c r="G324" t="s">
        <v>130</v>
      </c>
      <c r="H324" t="s">
        <v>131</v>
      </c>
      <c r="I324">
        <v>8</v>
      </c>
      <c r="J324">
        <v>2</v>
      </c>
      <c r="K324">
        <v>1</v>
      </c>
      <c r="L324" t="s">
        <v>132</v>
      </c>
      <c r="N324" t="s">
        <v>133</v>
      </c>
      <c r="O324">
        <v>31</v>
      </c>
      <c r="P324">
        <v>8</v>
      </c>
      <c r="Q324" t="s">
        <v>154</v>
      </c>
      <c r="R324" t="s">
        <v>155</v>
      </c>
      <c r="S324" t="s">
        <v>156</v>
      </c>
      <c r="T324" t="s">
        <v>157</v>
      </c>
      <c r="U324" t="s">
        <v>158</v>
      </c>
      <c r="V324" t="s">
        <v>133</v>
      </c>
      <c r="W324" t="s">
        <v>139</v>
      </c>
      <c r="X324" t="s">
        <v>133</v>
      </c>
      <c r="Z324">
        <v>3</v>
      </c>
      <c r="AA324">
        <v>2</v>
      </c>
      <c r="AB324">
        <v>4</v>
      </c>
      <c r="AD324">
        <v>0</v>
      </c>
      <c r="AE324">
        <v>0</v>
      </c>
      <c r="AF324" t="s">
        <v>133</v>
      </c>
      <c r="AG324" t="s">
        <v>140</v>
      </c>
      <c r="AI324" s="4">
        <v>2</v>
      </c>
      <c r="AJ324" s="4">
        <v>31</v>
      </c>
      <c r="AK324" s="4">
        <v>0</v>
      </c>
      <c r="AL324" s="4">
        <v>33</v>
      </c>
      <c r="AM324" t="s">
        <v>527</v>
      </c>
    </row>
    <row r="325" spans="1:39" x14ac:dyDescent="0.3">
      <c r="A325" t="s">
        <v>127</v>
      </c>
      <c r="B325">
        <v>54</v>
      </c>
      <c r="C325">
        <v>1625</v>
      </c>
      <c r="D325" t="s">
        <v>161</v>
      </c>
      <c r="E325">
        <v>3</v>
      </c>
      <c r="F325" t="s">
        <v>392</v>
      </c>
      <c r="G325" t="s">
        <v>130</v>
      </c>
      <c r="H325" t="s">
        <v>153</v>
      </c>
      <c r="I325">
        <v>8</v>
      </c>
      <c r="J325">
        <v>37</v>
      </c>
      <c r="K325">
        <v>9</v>
      </c>
      <c r="L325" t="s">
        <v>174</v>
      </c>
      <c r="M325" t="s">
        <v>180</v>
      </c>
      <c r="N325" t="s">
        <v>133</v>
      </c>
      <c r="O325">
        <v>100</v>
      </c>
      <c r="P325">
        <v>24</v>
      </c>
      <c r="Q325" t="s">
        <v>145</v>
      </c>
      <c r="R325" t="s">
        <v>146</v>
      </c>
      <c r="S325" t="s">
        <v>147</v>
      </c>
      <c r="T325" t="s">
        <v>148</v>
      </c>
      <c r="U325" t="s">
        <v>149</v>
      </c>
      <c r="V325" t="s">
        <v>133</v>
      </c>
      <c r="W325" t="s">
        <v>139</v>
      </c>
      <c r="X325" t="s">
        <v>133</v>
      </c>
      <c r="Z325">
        <v>4</v>
      </c>
      <c r="AA325">
        <v>4</v>
      </c>
      <c r="AB325">
        <v>4</v>
      </c>
      <c r="AD325">
        <v>1</v>
      </c>
      <c r="AE325">
        <v>0</v>
      </c>
      <c r="AF325" t="s">
        <v>133</v>
      </c>
      <c r="AG325" t="s">
        <v>130</v>
      </c>
      <c r="AH325" t="s">
        <v>218</v>
      </c>
      <c r="AI325" s="4">
        <v>37</v>
      </c>
      <c r="AJ325" s="4">
        <v>100</v>
      </c>
      <c r="AK325" s="4">
        <v>0</v>
      </c>
      <c r="AL325" s="4">
        <v>137</v>
      </c>
      <c r="AM325" t="s">
        <v>528</v>
      </c>
    </row>
    <row r="326" spans="1:39" x14ac:dyDescent="0.3">
      <c r="A326" t="s">
        <v>127</v>
      </c>
      <c r="B326">
        <v>55</v>
      </c>
      <c r="C326">
        <v>6237</v>
      </c>
      <c r="D326" t="s">
        <v>128</v>
      </c>
      <c r="E326">
        <v>1</v>
      </c>
      <c r="F326" t="s">
        <v>383</v>
      </c>
      <c r="G326" t="s">
        <v>130</v>
      </c>
      <c r="H326" t="s">
        <v>144</v>
      </c>
      <c r="I326">
        <v>8</v>
      </c>
      <c r="J326">
        <v>8</v>
      </c>
      <c r="K326">
        <v>2</v>
      </c>
      <c r="L326" t="s">
        <v>132</v>
      </c>
      <c r="N326" t="s">
        <v>133</v>
      </c>
      <c r="O326">
        <v>47</v>
      </c>
      <c r="P326">
        <v>12</v>
      </c>
      <c r="Q326" t="s">
        <v>145</v>
      </c>
      <c r="R326" t="s">
        <v>146</v>
      </c>
      <c r="S326" t="s">
        <v>147</v>
      </c>
      <c r="T326" t="s">
        <v>148</v>
      </c>
      <c r="U326" t="s">
        <v>149</v>
      </c>
      <c r="V326" t="s">
        <v>170</v>
      </c>
      <c r="W326" t="s">
        <v>170</v>
      </c>
      <c r="X326" t="s">
        <v>133</v>
      </c>
      <c r="Z326">
        <v>5</v>
      </c>
      <c r="AA326">
        <v>3</v>
      </c>
      <c r="AB326">
        <v>4</v>
      </c>
      <c r="AD326">
        <v>1</v>
      </c>
      <c r="AE326">
        <v>2</v>
      </c>
      <c r="AF326" t="s">
        <v>133</v>
      </c>
      <c r="AG326" t="s">
        <v>130</v>
      </c>
      <c r="AH326" t="s">
        <v>150</v>
      </c>
      <c r="AI326" s="4">
        <v>8</v>
      </c>
      <c r="AJ326" s="4">
        <v>47</v>
      </c>
      <c r="AK326" s="4">
        <v>0</v>
      </c>
      <c r="AL326" s="4">
        <v>55</v>
      </c>
      <c r="AM326" t="s">
        <v>529</v>
      </c>
    </row>
    <row r="327" spans="1:39" x14ac:dyDescent="0.3">
      <c r="A327" t="s">
        <v>127</v>
      </c>
      <c r="B327">
        <v>55</v>
      </c>
      <c r="C327">
        <v>1736</v>
      </c>
      <c r="D327" t="s">
        <v>128</v>
      </c>
      <c r="E327">
        <v>2</v>
      </c>
      <c r="F327" t="s">
        <v>385</v>
      </c>
      <c r="G327" t="s">
        <v>130</v>
      </c>
      <c r="H327" t="s">
        <v>144</v>
      </c>
      <c r="I327">
        <v>5</v>
      </c>
      <c r="J327">
        <v>6</v>
      </c>
      <c r="K327">
        <v>4</v>
      </c>
      <c r="L327" t="s">
        <v>174</v>
      </c>
      <c r="M327" t="s">
        <v>180</v>
      </c>
      <c r="N327" t="s">
        <v>133</v>
      </c>
      <c r="O327">
        <v>21</v>
      </c>
      <c r="P327">
        <v>12</v>
      </c>
      <c r="Q327" t="s">
        <v>154</v>
      </c>
      <c r="R327" t="s">
        <v>135</v>
      </c>
      <c r="S327" t="s">
        <v>156</v>
      </c>
      <c r="T327" t="s">
        <v>157</v>
      </c>
      <c r="U327" t="s">
        <v>187</v>
      </c>
      <c r="V327" t="s">
        <v>133</v>
      </c>
      <c r="W327" t="s">
        <v>139</v>
      </c>
      <c r="X327" t="s">
        <v>133</v>
      </c>
      <c r="Z327">
        <v>3</v>
      </c>
      <c r="AA327">
        <v>2</v>
      </c>
      <c r="AB327">
        <v>3</v>
      </c>
      <c r="AD327">
        <v>0</v>
      </c>
      <c r="AE327">
        <v>0</v>
      </c>
      <c r="AF327" t="s">
        <v>133</v>
      </c>
      <c r="AG327" t="s">
        <v>140</v>
      </c>
      <c r="AI327" s="4">
        <v>6</v>
      </c>
      <c r="AJ327" s="4">
        <v>21</v>
      </c>
      <c r="AK327" s="4">
        <v>0</v>
      </c>
      <c r="AL327" s="4">
        <v>27</v>
      </c>
      <c r="AM327" t="s">
        <v>530</v>
      </c>
    </row>
    <row r="328" spans="1:39" x14ac:dyDescent="0.3">
      <c r="A328" t="s">
        <v>127</v>
      </c>
      <c r="B328">
        <v>55</v>
      </c>
      <c r="C328">
        <v>8029</v>
      </c>
      <c r="D328" t="s">
        <v>128</v>
      </c>
      <c r="E328">
        <v>3</v>
      </c>
      <c r="F328" t="s">
        <v>387</v>
      </c>
      <c r="G328" t="s">
        <v>130</v>
      </c>
      <c r="H328" t="s">
        <v>131</v>
      </c>
      <c r="I328">
        <v>5</v>
      </c>
      <c r="J328">
        <v>16</v>
      </c>
      <c r="K328">
        <v>17</v>
      </c>
      <c r="L328" t="s">
        <v>165</v>
      </c>
      <c r="M328" t="s">
        <v>180</v>
      </c>
      <c r="N328" t="s">
        <v>133</v>
      </c>
      <c r="O328">
        <v>6</v>
      </c>
      <c r="P328">
        <v>6</v>
      </c>
      <c r="Q328" t="s">
        <v>134</v>
      </c>
      <c r="R328" t="s">
        <v>135</v>
      </c>
      <c r="T328" t="s">
        <v>203</v>
      </c>
      <c r="U328" t="s">
        <v>137</v>
      </c>
      <c r="V328" t="s">
        <v>170</v>
      </c>
      <c r="W328" t="s">
        <v>139</v>
      </c>
      <c r="X328" t="s">
        <v>133</v>
      </c>
      <c r="Z328">
        <v>2</v>
      </c>
      <c r="AA328">
        <v>2</v>
      </c>
      <c r="AB328">
        <v>2</v>
      </c>
      <c r="AD328">
        <v>0</v>
      </c>
      <c r="AE328">
        <v>0</v>
      </c>
      <c r="AF328" t="s">
        <v>133</v>
      </c>
      <c r="AG328" t="s">
        <v>139</v>
      </c>
      <c r="AH328" t="s">
        <v>185</v>
      </c>
      <c r="AI328" s="4">
        <v>16</v>
      </c>
      <c r="AJ328" s="4">
        <v>6</v>
      </c>
      <c r="AK328" s="4">
        <v>0</v>
      </c>
      <c r="AL328" s="4">
        <v>22</v>
      </c>
      <c r="AM328" t="s">
        <v>531</v>
      </c>
    </row>
    <row r="329" spans="1:39" x14ac:dyDescent="0.3">
      <c r="A329" t="s">
        <v>127</v>
      </c>
      <c r="B329">
        <v>55</v>
      </c>
      <c r="C329">
        <v>648</v>
      </c>
      <c r="D329" t="s">
        <v>161</v>
      </c>
      <c r="E329">
        <v>1</v>
      </c>
      <c r="F329" t="s">
        <v>389</v>
      </c>
      <c r="G329" t="s">
        <v>130</v>
      </c>
      <c r="H329" t="s">
        <v>131</v>
      </c>
      <c r="I329">
        <v>8</v>
      </c>
      <c r="J329">
        <v>9</v>
      </c>
      <c r="K329">
        <v>4</v>
      </c>
      <c r="L329" t="s">
        <v>165</v>
      </c>
      <c r="M329" t="s">
        <v>166</v>
      </c>
      <c r="N329" t="s">
        <v>133</v>
      </c>
      <c r="O329">
        <v>13</v>
      </c>
      <c r="P329">
        <v>5</v>
      </c>
      <c r="Q329" t="s">
        <v>154</v>
      </c>
      <c r="R329" t="s">
        <v>135</v>
      </c>
      <c r="T329" t="s">
        <v>191</v>
      </c>
      <c r="U329" t="s">
        <v>187</v>
      </c>
      <c r="V329" t="s">
        <v>170</v>
      </c>
      <c r="W329" t="s">
        <v>139</v>
      </c>
      <c r="X329" t="s">
        <v>133</v>
      </c>
      <c r="Z329">
        <v>2</v>
      </c>
      <c r="AA329">
        <v>1</v>
      </c>
      <c r="AB329">
        <v>3</v>
      </c>
      <c r="AD329">
        <v>0</v>
      </c>
      <c r="AE329">
        <v>0</v>
      </c>
      <c r="AF329" t="s">
        <v>133</v>
      </c>
      <c r="AG329" t="s">
        <v>140</v>
      </c>
      <c r="AI329" s="4">
        <v>9</v>
      </c>
      <c r="AJ329" s="4">
        <v>13</v>
      </c>
      <c r="AK329" s="4">
        <v>0</v>
      </c>
      <c r="AL329" s="4">
        <v>22</v>
      </c>
      <c r="AM329" t="s">
        <v>532</v>
      </c>
    </row>
    <row r="330" spans="1:39" x14ac:dyDescent="0.3">
      <c r="A330" t="s">
        <v>127</v>
      </c>
      <c r="B330">
        <v>55</v>
      </c>
      <c r="C330">
        <v>5442</v>
      </c>
      <c r="D330" t="s">
        <v>161</v>
      </c>
      <c r="E330">
        <v>2</v>
      </c>
      <c r="F330" t="s">
        <v>391</v>
      </c>
      <c r="G330" t="s">
        <v>130</v>
      </c>
      <c r="H330" t="s">
        <v>153</v>
      </c>
      <c r="I330">
        <v>8</v>
      </c>
      <c r="J330">
        <v>1</v>
      </c>
      <c r="K330">
        <v>0</v>
      </c>
      <c r="L330" t="s">
        <v>132</v>
      </c>
      <c r="N330" t="s">
        <v>133</v>
      </c>
      <c r="O330">
        <v>20</v>
      </c>
      <c r="P330">
        <v>7</v>
      </c>
      <c r="Q330" t="s">
        <v>154</v>
      </c>
      <c r="R330" t="s">
        <v>155</v>
      </c>
      <c r="S330" t="s">
        <v>156</v>
      </c>
      <c r="T330" t="s">
        <v>157</v>
      </c>
      <c r="U330" t="s">
        <v>187</v>
      </c>
      <c r="V330" t="s">
        <v>133</v>
      </c>
      <c r="W330" t="s">
        <v>139</v>
      </c>
      <c r="X330" t="s">
        <v>133</v>
      </c>
      <c r="Z330">
        <v>3</v>
      </c>
      <c r="AA330">
        <v>3</v>
      </c>
      <c r="AB330">
        <v>3</v>
      </c>
      <c r="AD330">
        <v>0</v>
      </c>
      <c r="AE330">
        <v>0</v>
      </c>
      <c r="AF330" t="s">
        <v>133</v>
      </c>
      <c r="AG330" t="s">
        <v>140</v>
      </c>
      <c r="AI330" s="4">
        <v>1</v>
      </c>
      <c r="AJ330" s="4">
        <v>20</v>
      </c>
      <c r="AK330" s="4">
        <v>0</v>
      </c>
      <c r="AL330" s="4">
        <v>21</v>
      </c>
      <c r="AM330" t="s">
        <v>533</v>
      </c>
    </row>
    <row r="331" spans="1:39" x14ac:dyDescent="0.3">
      <c r="A331" t="s">
        <v>127</v>
      </c>
      <c r="B331">
        <v>55</v>
      </c>
      <c r="C331">
        <v>4213</v>
      </c>
      <c r="D331" t="s">
        <v>161</v>
      </c>
      <c r="E331">
        <v>3</v>
      </c>
      <c r="F331" t="s">
        <v>392</v>
      </c>
      <c r="G331" t="s">
        <v>130</v>
      </c>
      <c r="H331" t="s">
        <v>153</v>
      </c>
      <c r="I331">
        <v>8</v>
      </c>
      <c r="J331">
        <v>4</v>
      </c>
      <c r="K331">
        <v>1</v>
      </c>
      <c r="L331" t="s">
        <v>132</v>
      </c>
      <c r="N331" t="s">
        <v>133</v>
      </c>
      <c r="O331">
        <v>30</v>
      </c>
      <c r="P331">
        <v>7</v>
      </c>
      <c r="Q331" t="s">
        <v>145</v>
      </c>
      <c r="R331" t="s">
        <v>155</v>
      </c>
      <c r="S331" t="s">
        <v>178</v>
      </c>
      <c r="T331" t="s">
        <v>157</v>
      </c>
      <c r="U331" t="s">
        <v>158</v>
      </c>
      <c r="V331" t="s">
        <v>133</v>
      </c>
      <c r="W331" t="s">
        <v>139</v>
      </c>
      <c r="X331" t="s">
        <v>133</v>
      </c>
      <c r="Z331">
        <v>4</v>
      </c>
      <c r="AA331">
        <v>4</v>
      </c>
      <c r="AB331">
        <v>4</v>
      </c>
      <c r="AD331">
        <v>0</v>
      </c>
      <c r="AE331">
        <v>0</v>
      </c>
      <c r="AF331" t="s">
        <v>133</v>
      </c>
      <c r="AG331" t="s">
        <v>139</v>
      </c>
      <c r="AI331" s="4">
        <v>4</v>
      </c>
      <c r="AJ331" s="4">
        <v>30</v>
      </c>
      <c r="AK331" s="4">
        <v>0</v>
      </c>
      <c r="AL331" s="4">
        <v>34</v>
      </c>
      <c r="AM331" t="s">
        <v>529</v>
      </c>
    </row>
    <row r="332" spans="1:39" x14ac:dyDescent="0.3">
      <c r="A332" t="s">
        <v>127</v>
      </c>
      <c r="B332">
        <v>56</v>
      </c>
      <c r="C332">
        <v>4787</v>
      </c>
      <c r="D332" t="s">
        <v>128</v>
      </c>
      <c r="E332">
        <v>1</v>
      </c>
      <c r="F332" t="s">
        <v>383</v>
      </c>
      <c r="G332" t="s">
        <v>130</v>
      </c>
      <c r="H332" t="s">
        <v>153</v>
      </c>
      <c r="I332">
        <v>7</v>
      </c>
      <c r="J332">
        <v>1</v>
      </c>
      <c r="K332">
        <v>1</v>
      </c>
      <c r="L332" t="s">
        <v>132</v>
      </c>
      <c r="N332" t="s">
        <v>133</v>
      </c>
      <c r="O332">
        <v>18</v>
      </c>
      <c r="P332">
        <v>9</v>
      </c>
      <c r="Q332" t="s">
        <v>154</v>
      </c>
      <c r="R332" t="s">
        <v>155</v>
      </c>
      <c r="S332" t="s">
        <v>156</v>
      </c>
      <c r="T332" t="s">
        <v>157</v>
      </c>
      <c r="U332" t="s">
        <v>187</v>
      </c>
      <c r="V332" t="s">
        <v>133</v>
      </c>
      <c r="W332" t="s">
        <v>139</v>
      </c>
      <c r="X332" t="s">
        <v>133</v>
      </c>
      <c r="Z332">
        <v>2</v>
      </c>
      <c r="AA332">
        <v>4</v>
      </c>
      <c r="AB332">
        <v>2</v>
      </c>
      <c r="AC332" t="s">
        <v>233</v>
      </c>
      <c r="AD332">
        <v>0</v>
      </c>
      <c r="AE332">
        <v>0</v>
      </c>
      <c r="AF332" t="s">
        <v>133</v>
      </c>
      <c r="AG332" t="s">
        <v>140</v>
      </c>
      <c r="AI332" s="4">
        <v>1</v>
      </c>
      <c r="AJ332" s="4">
        <v>18</v>
      </c>
      <c r="AK332" s="4">
        <v>0</v>
      </c>
      <c r="AL332" s="4">
        <v>19</v>
      </c>
      <c r="AM332" t="s">
        <v>534</v>
      </c>
    </row>
    <row r="333" spans="1:39" x14ac:dyDescent="0.3">
      <c r="A333" t="s">
        <v>127</v>
      </c>
      <c r="B333">
        <v>56</v>
      </c>
      <c r="C333">
        <v>4423</v>
      </c>
      <c r="D333" t="s">
        <v>128</v>
      </c>
      <c r="E333">
        <v>2</v>
      </c>
      <c r="F333" t="s">
        <v>385</v>
      </c>
      <c r="G333" t="s">
        <v>130</v>
      </c>
      <c r="H333" t="s">
        <v>144</v>
      </c>
      <c r="I333">
        <v>8</v>
      </c>
      <c r="J333">
        <v>1</v>
      </c>
      <c r="K333">
        <v>0</v>
      </c>
      <c r="L333" t="s">
        <v>132</v>
      </c>
      <c r="N333" t="s">
        <v>133</v>
      </c>
      <c r="O333">
        <v>73</v>
      </c>
      <c r="P333">
        <v>15</v>
      </c>
      <c r="Q333" t="s">
        <v>145</v>
      </c>
      <c r="R333" t="s">
        <v>155</v>
      </c>
      <c r="S333" t="s">
        <v>147</v>
      </c>
      <c r="T333" t="s">
        <v>148</v>
      </c>
      <c r="U333" t="s">
        <v>158</v>
      </c>
      <c r="V333" t="s">
        <v>133</v>
      </c>
      <c r="W333" t="s">
        <v>170</v>
      </c>
      <c r="X333" t="s">
        <v>195</v>
      </c>
      <c r="Y333" t="s">
        <v>323</v>
      </c>
      <c r="Z333">
        <v>4</v>
      </c>
      <c r="AA333">
        <v>4</v>
      </c>
      <c r="AB333">
        <v>4</v>
      </c>
      <c r="AC333" t="s">
        <v>272</v>
      </c>
      <c r="AD333">
        <v>0</v>
      </c>
      <c r="AE333">
        <v>0</v>
      </c>
      <c r="AF333" t="s">
        <v>133</v>
      </c>
      <c r="AG333" t="s">
        <v>130</v>
      </c>
      <c r="AH333" t="s">
        <v>407</v>
      </c>
      <c r="AI333" s="4">
        <v>1</v>
      </c>
      <c r="AJ333" s="4">
        <v>73</v>
      </c>
      <c r="AK333" s="4">
        <v>10</v>
      </c>
      <c r="AL333" s="4">
        <v>84</v>
      </c>
      <c r="AM333" t="s">
        <v>535</v>
      </c>
    </row>
    <row r="334" spans="1:39" x14ac:dyDescent="0.3">
      <c r="A334" t="s">
        <v>127</v>
      </c>
      <c r="B334">
        <v>56</v>
      </c>
      <c r="C334">
        <v>7472</v>
      </c>
      <c r="D334" t="s">
        <v>128</v>
      </c>
      <c r="E334">
        <v>3</v>
      </c>
      <c r="F334" t="s">
        <v>387</v>
      </c>
      <c r="G334" t="s">
        <v>130</v>
      </c>
      <c r="H334" t="s">
        <v>131</v>
      </c>
      <c r="I334">
        <v>8</v>
      </c>
      <c r="J334">
        <v>18</v>
      </c>
      <c r="K334">
        <v>15</v>
      </c>
      <c r="L334" t="s">
        <v>174</v>
      </c>
      <c r="M334" t="s">
        <v>180</v>
      </c>
      <c r="N334" t="s">
        <v>133</v>
      </c>
      <c r="O334">
        <v>4</v>
      </c>
      <c r="P334">
        <v>3</v>
      </c>
      <c r="Q334" t="s">
        <v>134</v>
      </c>
      <c r="R334" t="s">
        <v>135</v>
      </c>
      <c r="T334" t="s">
        <v>203</v>
      </c>
      <c r="U334" t="s">
        <v>137</v>
      </c>
      <c r="V334" t="s">
        <v>133</v>
      </c>
      <c r="W334" t="s">
        <v>139</v>
      </c>
      <c r="X334" t="s">
        <v>133</v>
      </c>
      <c r="Z334">
        <v>1</v>
      </c>
      <c r="AA334">
        <v>1</v>
      </c>
      <c r="AB334">
        <v>3</v>
      </c>
      <c r="AD334">
        <v>0</v>
      </c>
      <c r="AE334">
        <v>0</v>
      </c>
      <c r="AF334" t="s">
        <v>133</v>
      </c>
      <c r="AG334" t="s">
        <v>139</v>
      </c>
      <c r="AH334" t="s">
        <v>185</v>
      </c>
      <c r="AI334" s="4">
        <v>18</v>
      </c>
      <c r="AJ334" s="4">
        <v>4</v>
      </c>
      <c r="AK334" s="4">
        <v>0</v>
      </c>
      <c r="AL334" s="4">
        <v>22</v>
      </c>
      <c r="AM334" t="s">
        <v>536</v>
      </c>
    </row>
    <row r="335" spans="1:39" x14ac:dyDescent="0.3">
      <c r="A335" t="s">
        <v>127</v>
      </c>
      <c r="B335">
        <v>56</v>
      </c>
      <c r="C335">
        <v>2861</v>
      </c>
      <c r="D335" t="s">
        <v>161</v>
      </c>
      <c r="E335">
        <v>1</v>
      </c>
      <c r="F335" t="s">
        <v>389</v>
      </c>
      <c r="G335" t="s">
        <v>130</v>
      </c>
      <c r="H335" t="s">
        <v>144</v>
      </c>
      <c r="I335">
        <v>8</v>
      </c>
      <c r="J335">
        <v>11</v>
      </c>
      <c r="K335">
        <v>1</v>
      </c>
      <c r="L335" t="s">
        <v>174</v>
      </c>
      <c r="M335" t="s">
        <v>180</v>
      </c>
      <c r="N335" t="s">
        <v>133</v>
      </c>
      <c r="O335">
        <v>118</v>
      </c>
      <c r="P335">
        <v>13</v>
      </c>
      <c r="Q335" t="s">
        <v>145</v>
      </c>
      <c r="R335" t="s">
        <v>146</v>
      </c>
      <c r="S335" t="s">
        <v>147</v>
      </c>
      <c r="T335" t="s">
        <v>148</v>
      </c>
      <c r="U335" t="s">
        <v>149</v>
      </c>
      <c r="V335" t="s">
        <v>133</v>
      </c>
      <c r="W335" t="s">
        <v>139</v>
      </c>
      <c r="X335" t="s">
        <v>133</v>
      </c>
      <c r="Z335">
        <v>5</v>
      </c>
      <c r="AA335">
        <v>3</v>
      </c>
      <c r="AB335">
        <v>4</v>
      </c>
      <c r="AD335">
        <v>0</v>
      </c>
      <c r="AE335">
        <v>0</v>
      </c>
      <c r="AF335" t="s">
        <v>133</v>
      </c>
      <c r="AG335" t="s">
        <v>130</v>
      </c>
      <c r="AH335" t="s">
        <v>218</v>
      </c>
      <c r="AI335" s="4">
        <v>11</v>
      </c>
      <c r="AJ335" s="4">
        <v>118</v>
      </c>
      <c r="AK335" s="4">
        <v>0</v>
      </c>
      <c r="AL335" s="4">
        <v>129</v>
      </c>
      <c r="AM335" t="s">
        <v>537</v>
      </c>
    </row>
    <row r="336" spans="1:39" x14ac:dyDescent="0.3">
      <c r="A336" t="s">
        <v>127</v>
      </c>
      <c r="B336">
        <v>56</v>
      </c>
      <c r="C336">
        <v>2039</v>
      </c>
      <c r="D336" t="s">
        <v>161</v>
      </c>
      <c r="E336">
        <v>2</v>
      </c>
      <c r="F336" t="s">
        <v>391</v>
      </c>
      <c r="G336" t="s">
        <v>130</v>
      </c>
      <c r="H336" t="s">
        <v>131</v>
      </c>
      <c r="I336">
        <v>8</v>
      </c>
      <c r="J336">
        <v>1</v>
      </c>
      <c r="K336">
        <v>1</v>
      </c>
      <c r="L336" t="s">
        <v>132</v>
      </c>
      <c r="N336" t="s">
        <v>133</v>
      </c>
      <c r="O336">
        <v>5</v>
      </c>
      <c r="P336">
        <v>5</v>
      </c>
      <c r="Q336" t="s">
        <v>134</v>
      </c>
      <c r="R336" t="s">
        <v>135</v>
      </c>
      <c r="T336" t="s">
        <v>136</v>
      </c>
      <c r="U336" t="s">
        <v>137</v>
      </c>
      <c r="V336" t="s">
        <v>170</v>
      </c>
      <c r="W336" t="s">
        <v>139</v>
      </c>
      <c r="X336" t="s">
        <v>133</v>
      </c>
      <c r="Z336">
        <v>3</v>
      </c>
      <c r="AA336">
        <v>1</v>
      </c>
      <c r="AB336">
        <v>1</v>
      </c>
      <c r="AD336">
        <v>0</v>
      </c>
      <c r="AE336">
        <v>0</v>
      </c>
      <c r="AF336" t="s">
        <v>133</v>
      </c>
      <c r="AG336" t="s">
        <v>139</v>
      </c>
      <c r="AH336" t="s">
        <v>185</v>
      </c>
      <c r="AI336" s="4">
        <v>1</v>
      </c>
      <c r="AJ336" s="4">
        <v>5</v>
      </c>
      <c r="AK336" s="4">
        <v>0</v>
      </c>
      <c r="AL336" s="4">
        <v>6</v>
      </c>
      <c r="AM336" t="s">
        <v>538</v>
      </c>
    </row>
    <row r="337" spans="1:39" x14ac:dyDescent="0.3">
      <c r="A337" t="s">
        <v>127</v>
      </c>
      <c r="B337">
        <v>56</v>
      </c>
      <c r="C337">
        <v>2481</v>
      </c>
      <c r="D337" t="s">
        <v>161</v>
      </c>
      <c r="E337">
        <v>3</v>
      </c>
      <c r="F337" t="s">
        <v>392</v>
      </c>
      <c r="G337" t="s">
        <v>130</v>
      </c>
      <c r="H337" t="s">
        <v>131</v>
      </c>
      <c r="I337">
        <v>8</v>
      </c>
      <c r="J337">
        <v>92</v>
      </c>
      <c r="K337">
        <v>18</v>
      </c>
      <c r="L337" t="s">
        <v>165</v>
      </c>
      <c r="M337" t="s">
        <v>166</v>
      </c>
      <c r="N337" t="s">
        <v>133</v>
      </c>
      <c r="O337">
        <v>161</v>
      </c>
      <c r="P337">
        <v>32</v>
      </c>
      <c r="Q337" t="s">
        <v>145</v>
      </c>
      <c r="R337" t="s">
        <v>146</v>
      </c>
      <c r="S337" t="s">
        <v>147</v>
      </c>
      <c r="T337" t="s">
        <v>148</v>
      </c>
      <c r="U337" t="s">
        <v>149</v>
      </c>
      <c r="V337" t="s">
        <v>133</v>
      </c>
      <c r="W337" t="s">
        <v>139</v>
      </c>
      <c r="X337" t="s">
        <v>133</v>
      </c>
      <c r="Z337">
        <v>4</v>
      </c>
      <c r="AA337">
        <v>5</v>
      </c>
      <c r="AB337">
        <v>5</v>
      </c>
      <c r="AD337">
        <v>0</v>
      </c>
      <c r="AE337">
        <v>0</v>
      </c>
      <c r="AF337" t="s">
        <v>133</v>
      </c>
      <c r="AG337" t="s">
        <v>130</v>
      </c>
      <c r="AH337" t="s">
        <v>319</v>
      </c>
      <c r="AI337" s="4">
        <v>92</v>
      </c>
      <c r="AJ337" s="4">
        <v>161</v>
      </c>
      <c r="AK337" s="4">
        <v>0</v>
      </c>
      <c r="AL337" s="4">
        <v>253</v>
      </c>
      <c r="AM337" t="s">
        <v>539</v>
      </c>
    </row>
    <row r="338" spans="1:39" x14ac:dyDescent="0.3">
      <c r="A338" t="s">
        <v>127</v>
      </c>
      <c r="B338">
        <v>57</v>
      </c>
      <c r="C338">
        <v>4655</v>
      </c>
      <c r="D338" t="s">
        <v>128</v>
      </c>
      <c r="E338">
        <v>1</v>
      </c>
      <c r="F338" t="s">
        <v>383</v>
      </c>
      <c r="G338" t="s">
        <v>130</v>
      </c>
      <c r="H338" t="s">
        <v>131</v>
      </c>
      <c r="I338">
        <v>8</v>
      </c>
      <c r="J338">
        <v>19</v>
      </c>
      <c r="K338">
        <v>8</v>
      </c>
      <c r="L338" t="s">
        <v>165</v>
      </c>
      <c r="M338" t="s">
        <v>166</v>
      </c>
      <c r="N338" t="s">
        <v>133</v>
      </c>
      <c r="O338">
        <v>42</v>
      </c>
      <c r="P338">
        <v>17</v>
      </c>
      <c r="Q338" t="s">
        <v>145</v>
      </c>
      <c r="R338" t="s">
        <v>155</v>
      </c>
      <c r="S338" t="s">
        <v>147</v>
      </c>
      <c r="T338" t="s">
        <v>148</v>
      </c>
      <c r="U338" t="s">
        <v>158</v>
      </c>
      <c r="V338" t="s">
        <v>133</v>
      </c>
      <c r="W338" t="s">
        <v>139</v>
      </c>
      <c r="X338" t="s">
        <v>133</v>
      </c>
      <c r="Z338">
        <v>5</v>
      </c>
      <c r="AA338">
        <v>3</v>
      </c>
      <c r="AB338">
        <v>3</v>
      </c>
      <c r="AD338">
        <v>1</v>
      </c>
      <c r="AE338">
        <v>0</v>
      </c>
      <c r="AF338" t="s">
        <v>133</v>
      </c>
      <c r="AG338" t="s">
        <v>140</v>
      </c>
      <c r="AI338" s="4">
        <v>19</v>
      </c>
      <c r="AJ338" s="4">
        <v>42</v>
      </c>
      <c r="AK338" s="4">
        <v>0</v>
      </c>
      <c r="AL338" s="4">
        <v>61</v>
      </c>
      <c r="AM338" t="s">
        <v>540</v>
      </c>
    </row>
    <row r="339" spans="1:39" x14ac:dyDescent="0.3">
      <c r="A339" t="s">
        <v>127</v>
      </c>
      <c r="B339">
        <v>57</v>
      </c>
      <c r="C339">
        <v>6651</v>
      </c>
      <c r="D339" t="s">
        <v>128</v>
      </c>
      <c r="E339">
        <v>2</v>
      </c>
      <c r="F339" t="s">
        <v>385</v>
      </c>
      <c r="G339" t="s">
        <v>130</v>
      </c>
      <c r="H339" t="s">
        <v>144</v>
      </c>
      <c r="I339">
        <v>8</v>
      </c>
      <c r="J339">
        <v>14</v>
      </c>
      <c r="K339">
        <v>5</v>
      </c>
      <c r="L339" t="s">
        <v>174</v>
      </c>
      <c r="M339" t="s">
        <v>180</v>
      </c>
      <c r="N339" t="s">
        <v>133</v>
      </c>
      <c r="O339">
        <v>21</v>
      </c>
      <c r="P339">
        <v>7</v>
      </c>
      <c r="Q339" t="s">
        <v>154</v>
      </c>
      <c r="R339" t="s">
        <v>135</v>
      </c>
      <c r="T339" t="s">
        <v>157</v>
      </c>
      <c r="U339" t="s">
        <v>187</v>
      </c>
      <c r="V339" t="s">
        <v>133</v>
      </c>
      <c r="W339" t="s">
        <v>139</v>
      </c>
      <c r="X339" t="s">
        <v>133</v>
      </c>
      <c r="Z339">
        <v>2</v>
      </c>
      <c r="AA339">
        <v>3</v>
      </c>
      <c r="AB339">
        <v>4</v>
      </c>
      <c r="AC339" t="s">
        <v>233</v>
      </c>
      <c r="AD339">
        <v>0</v>
      </c>
      <c r="AE339">
        <v>0</v>
      </c>
      <c r="AF339" t="s">
        <v>133</v>
      </c>
      <c r="AG339" t="s">
        <v>139</v>
      </c>
      <c r="AI339" s="4">
        <v>14</v>
      </c>
      <c r="AJ339" s="4">
        <v>21</v>
      </c>
      <c r="AK339" s="4">
        <v>0</v>
      </c>
      <c r="AL339" s="4">
        <v>35</v>
      </c>
      <c r="AM339" t="s">
        <v>541</v>
      </c>
    </row>
    <row r="340" spans="1:39" x14ac:dyDescent="0.3">
      <c r="A340" t="s">
        <v>127</v>
      </c>
      <c r="B340">
        <v>57</v>
      </c>
      <c r="C340">
        <v>4143</v>
      </c>
      <c r="D340" t="s">
        <v>128</v>
      </c>
      <c r="E340">
        <v>3</v>
      </c>
      <c r="F340" t="s">
        <v>387</v>
      </c>
      <c r="G340" t="s">
        <v>130</v>
      </c>
      <c r="H340" t="s">
        <v>153</v>
      </c>
      <c r="I340">
        <v>7</v>
      </c>
      <c r="J340">
        <v>46</v>
      </c>
      <c r="K340">
        <v>6</v>
      </c>
      <c r="L340" t="s">
        <v>165</v>
      </c>
      <c r="M340" t="s">
        <v>166</v>
      </c>
      <c r="N340" t="s">
        <v>133</v>
      </c>
      <c r="O340">
        <v>99</v>
      </c>
      <c r="P340">
        <v>13</v>
      </c>
      <c r="Q340" t="s">
        <v>145</v>
      </c>
      <c r="R340" t="s">
        <v>146</v>
      </c>
      <c r="S340" t="s">
        <v>147</v>
      </c>
      <c r="T340" t="s">
        <v>148</v>
      </c>
      <c r="U340" t="s">
        <v>149</v>
      </c>
      <c r="V340" t="s">
        <v>133</v>
      </c>
      <c r="W340" t="s">
        <v>181</v>
      </c>
      <c r="X340" t="s">
        <v>133</v>
      </c>
      <c r="Z340">
        <v>4</v>
      </c>
      <c r="AA340">
        <v>5</v>
      </c>
      <c r="AB340">
        <v>5</v>
      </c>
      <c r="AD340">
        <v>1</v>
      </c>
      <c r="AE340">
        <v>0</v>
      </c>
      <c r="AF340" t="s">
        <v>133</v>
      </c>
      <c r="AG340" t="s">
        <v>130</v>
      </c>
      <c r="AH340" t="s">
        <v>319</v>
      </c>
      <c r="AI340" s="4">
        <v>46</v>
      </c>
      <c r="AJ340" s="4">
        <v>99</v>
      </c>
      <c r="AK340" s="4">
        <v>0</v>
      </c>
      <c r="AL340" s="4">
        <v>145</v>
      </c>
      <c r="AM340" t="s">
        <v>542</v>
      </c>
    </row>
    <row r="341" spans="1:39" x14ac:dyDescent="0.3">
      <c r="A341" t="s">
        <v>127</v>
      </c>
      <c r="B341">
        <v>57</v>
      </c>
      <c r="C341">
        <v>9082</v>
      </c>
      <c r="D341" t="s">
        <v>161</v>
      </c>
      <c r="E341">
        <v>1</v>
      </c>
      <c r="F341" t="s">
        <v>389</v>
      </c>
      <c r="G341" t="s">
        <v>130</v>
      </c>
      <c r="H341" t="s">
        <v>131</v>
      </c>
      <c r="I341">
        <v>8</v>
      </c>
      <c r="J341">
        <v>4</v>
      </c>
      <c r="K341">
        <v>0</v>
      </c>
      <c r="L341" t="s">
        <v>132</v>
      </c>
      <c r="N341" t="s">
        <v>133</v>
      </c>
      <c r="O341">
        <v>38</v>
      </c>
      <c r="P341">
        <v>1</v>
      </c>
      <c r="Q341" t="s">
        <v>145</v>
      </c>
      <c r="R341" t="s">
        <v>146</v>
      </c>
      <c r="S341" t="s">
        <v>147</v>
      </c>
      <c r="T341" t="s">
        <v>148</v>
      </c>
      <c r="U341" t="s">
        <v>158</v>
      </c>
      <c r="V341" t="s">
        <v>133</v>
      </c>
      <c r="W341" t="s">
        <v>139</v>
      </c>
      <c r="X341" t="s">
        <v>133</v>
      </c>
      <c r="Z341">
        <v>4</v>
      </c>
      <c r="AA341">
        <v>5</v>
      </c>
      <c r="AB341">
        <v>5</v>
      </c>
      <c r="AC341" t="s">
        <v>258</v>
      </c>
      <c r="AD341">
        <v>1</v>
      </c>
      <c r="AE341">
        <v>0</v>
      </c>
      <c r="AF341" t="s">
        <v>133</v>
      </c>
      <c r="AG341" t="s">
        <v>130</v>
      </c>
      <c r="AH341" t="s">
        <v>340</v>
      </c>
      <c r="AI341" s="4">
        <v>4</v>
      </c>
      <c r="AJ341" s="4">
        <v>38</v>
      </c>
      <c r="AK341" s="4">
        <v>0</v>
      </c>
      <c r="AL341" s="4">
        <v>42</v>
      </c>
      <c r="AM341" t="s">
        <v>543</v>
      </c>
    </row>
    <row r="342" spans="1:39" x14ac:dyDescent="0.3">
      <c r="A342" t="s">
        <v>127</v>
      </c>
      <c r="B342">
        <v>57</v>
      </c>
      <c r="C342">
        <v>7417</v>
      </c>
      <c r="D342" t="s">
        <v>161</v>
      </c>
      <c r="E342">
        <v>2</v>
      </c>
      <c r="F342" t="s">
        <v>391</v>
      </c>
      <c r="G342" t="s">
        <v>130</v>
      </c>
      <c r="H342" t="s">
        <v>144</v>
      </c>
      <c r="I342">
        <v>8</v>
      </c>
      <c r="J342">
        <v>9</v>
      </c>
      <c r="K342">
        <v>8</v>
      </c>
      <c r="L342" t="s">
        <v>165</v>
      </c>
      <c r="M342" t="s">
        <v>180</v>
      </c>
      <c r="N342" t="s">
        <v>133</v>
      </c>
      <c r="O342">
        <v>10</v>
      </c>
      <c r="P342">
        <v>9</v>
      </c>
      <c r="Q342" t="s">
        <v>134</v>
      </c>
      <c r="R342" t="s">
        <v>135</v>
      </c>
      <c r="T342" t="s">
        <v>136</v>
      </c>
      <c r="U342" t="s">
        <v>137</v>
      </c>
      <c r="V342" t="s">
        <v>133</v>
      </c>
      <c r="W342" t="s">
        <v>139</v>
      </c>
      <c r="X342" t="s">
        <v>133</v>
      </c>
      <c r="Z342">
        <v>2</v>
      </c>
      <c r="AA342">
        <v>3</v>
      </c>
      <c r="AB342">
        <v>2</v>
      </c>
      <c r="AD342">
        <v>0</v>
      </c>
      <c r="AE342">
        <v>0</v>
      </c>
      <c r="AF342" t="s">
        <v>133</v>
      </c>
      <c r="AG342" t="s">
        <v>139</v>
      </c>
      <c r="AI342" s="4">
        <v>9</v>
      </c>
      <c r="AJ342" s="4">
        <v>10</v>
      </c>
      <c r="AK342" s="4">
        <v>0</v>
      </c>
      <c r="AL342" s="4">
        <v>19</v>
      </c>
      <c r="AM342" t="s">
        <v>544</v>
      </c>
    </row>
    <row r="343" spans="1:39" x14ac:dyDescent="0.3">
      <c r="A343" t="s">
        <v>127</v>
      </c>
      <c r="B343">
        <v>57</v>
      </c>
      <c r="C343">
        <v>2022</v>
      </c>
      <c r="D343" t="s">
        <v>161</v>
      </c>
      <c r="E343">
        <v>3</v>
      </c>
      <c r="F343" t="s">
        <v>392</v>
      </c>
      <c r="G343" t="s">
        <v>130</v>
      </c>
      <c r="H343" t="s">
        <v>131</v>
      </c>
      <c r="I343">
        <v>8</v>
      </c>
      <c r="J343">
        <v>3</v>
      </c>
      <c r="K343">
        <v>0</v>
      </c>
      <c r="L343" t="s">
        <v>132</v>
      </c>
      <c r="N343" t="s">
        <v>133</v>
      </c>
      <c r="O343">
        <v>54</v>
      </c>
      <c r="P343">
        <v>5</v>
      </c>
      <c r="Q343" t="s">
        <v>154</v>
      </c>
      <c r="R343" t="s">
        <v>155</v>
      </c>
      <c r="S343" t="s">
        <v>156</v>
      </c>
      <c r="T343" t="s">
        <v>157</v>
      </c>
      <c r="U343" t="s">
        <v>158</v>
      </c>
      <c r="V343" t="s">
        <v>133</v>
      </c>
      <c r="W343" t="s">
        <v>139</v>
      </c>
      <c r="X343" t="s">
        <v>133</v>
      </c>
      <c r="Z343">
        <v>3</v>
      </c>
      <c r="AA343">
        <v>3</v>
      </c>
      <c r="AB343">
        <v>4</v>
      </c>
      <c r="AD343">
        <v>0</v>
      </c>
      <c r="AE343">
        <v>0</v>
      </c>
      <c r="AF343" t="s">
        <v>133</v>
      </c>
      <c r="AG343" t="s">
        <v>140</v>
      </c>
      <c r="AH343" t="s">
        <v>175</v>
      </c>
      <c r="AI343" s="4">
        <v>3</v>
      </c>
      <c r="AJ343" s="4">
        <v>54</v>
      </c>
      <c r="AK343" s="4">
        <v>0</v>
      </c>
      <c r="AL343" s="4">
        <v>57</v>
      </c>
      <c r="AM343" t="s">
        <v>545</v>
      </c>
    </row>
    <row r="344" spans="1:39" x14ac:dyDescent="0.3">
      <c r="A344" t="s">
        <v>127</v>
      </c>
      <c r="B344">
        <v>58</v>
      </c>
      <c r="C344">
        <v>8029</v>
      </c>
      <c r="D344" t="s">
        <v>128</v>
      </c>
      <c r="E344">
        <v>1</v>
      </c>
      <c r="F344" t="s">
        <v>383</v>
      </c>
      <c r="G344" t="s">
        <v>130</v>
      </c>
      <c r="H344" t="s">
        <v>131</v>
      </c>
      <c r="I344">
        <v>5</v>
      </c>
      <c r="J344">
        <v>13</v>
      </c>
      <c r="K344">
        <v>12</v>
      </c>
      <c r="L344" t="s">
        <v>174</v>
      </c>
      <c r="M344" t="s">
        <v>166</v>
      </c>
      <c r="N344" t="s">
        <v>133</v>
      </c>
      <c r="O344">
        <v>9</v>
      </c>
      <c r="P344">
        <v>8</v>
      </c>
      <c r="Q344" t="s">
        <v>134</v>
      </c>
      <c r="R344" t="s">
        <v>135</v>
      </c>
      <c r="T344" t="s">
        <v>203</v>
      </c>
      <c r="U344" t="s">
        <v>137</v>
      </c>
      <c r="V344" t="s">
        <v>170</v>
      </c>
      <c r="W344" t="s">
        <v>139</v>
      </c>
      <c r="X344" t="s">
        <v>133</v>
      </c>
      <c r="Z344">
        <v>2</v>
      </c>
      <c r="AA344">
        <v>1</v>
      </c>
      <c r="AB344">
        <v>2</v>
      </c>
      <c r="AD344">
        <v>0</v>
      </c>
      <c r="AE344">
        <v>0</v>
      </c>
      <c r="AF344" t="s">
        <v>133</v>
      </c>
      <c r="AG344" t="s">
        <v>140</v>
      </c>
      <c r="AH344" t="s">
        <v>185</v>
      </c>
      <c r="AI344" s="4">
        <v>13</v>
      </c>
      <c r="AJ344" s="4">
        <v>9</v>
      </c>
      <c r="AK344" s="4">
        <v>0</v>
      </c>
      <c r="AL344" s="4">
        <v>22</v>
      </c>
      <c r="AM344" t="s">
        <v>546</v>
      </c>
    </row>
    <row r="345" spans="1:39" x14ac:dyDescent="0.3">
      <c r="A345" t="s">
        <v>127</v>
      </c>
      <c r="B345">
        <v>58</v>
      </c>
      <c r="C345">
        <v>8020</v>
      </c>
      <c r="D345" t="s">
        <v>128</v>
      </c>
      <c r="E345">
        <v>2</v>
      </c>
      <c r="F345" t="s">
        <v>385</v>
      </c>
      <c r="G345" t="s">
        <v>130</v>
      </c>
      <c r="H345" t="s">
        <v>131</v>
      </c>
      <c r="I345">
        <v>8</v>
      </c>
      <c r="J345">
        <v>17</v>
      </c>
      <c r="K345">
        <v>2</v>
      </c>
      <c r="L345" t="s">
        <v>165</v>
      </c>
      <c r="M345" t="s">
        <v>166</v>
      </c>
      <c r="N345" t="s">
        <v>133</v>
      </c>
      <c r="O345">
        <v>121</v>
      </c>
      <c r="P345">
        <v>14</v>
      </c>
      <c r="Q345" t="s">
        <v>145</v>
      </c>
      <c r="R345" t="s">
        <v>146</v>
      </c>
      <c r="S345" t="s">
        <v>147</v>
      </c>
      <c r="T345" t="s">
        <v>148</v>
      </c>
      <c r="U345" t="s">
        <v>149</v>
      </c>
      <c r="V345" t="s">
        <v>133</v>
      </c>
      <c r="W345" t="s">
        <v>170</v>
      </c>
      <c r="X345" t="s">
        <v>133</v>
      </c>
      <c r="Z345">
        <v>4</v>
      </c>
      <c r="AA345">
        <v>4</v>
      </c>
      <c r="AB345">
        <v>4</v>
      </c>
      <c r="AC345" t="s">
        <v>272</v>
      </c>
      <c r="AD345">
        <v>1</v>
      </c>
      <c r="AE345">
        <v>0</v>
      </c>
      <c r="AF345" t="s">
        <v>133</v>
      </c>
      <c r="AG345" t="s">
        <v>130</v>
      </c>
      <c r="AH345" t="s">
        <v>227</v>
      </c>
      <c r="AI345" s="4">
        <v>17</v>
      </c>
      <c r="AJ345" s="4">
        <v>121</v>
      </c>
      <c r="AK345" s="4">
        <v>0</v>
      </c>
      <c r="AL345" s="4">
        <v>138</v>
      </c>
      <c r="AM345" t="s">
        <v>547</v>
      </c>
    </row>
    <row r="346" spans="1:39" x14ac:dyDescent="0.3">
      <c r="A346" t="s">
        <v>127</v>
      </c>
      <c r="B346">
        <v>58</v>
      </c>
      <c r="C346">
        <v>2040</v>
      </c>
      <c r="D346" t="s">
        <v>128</v>
      </c>
      <c r="E346">
        <v>3</v>
      </c>
      <c r="F346" t="s">
        <v>387</v>
      </c>
      <c r="G346" t="s">
        <v>130</v>
      </c>
      <c r="H346" t="s">
        <v>144</v>
      </c>
      <c r="I346">
        <v>5</v>
      </c>
      <c r="J346">
        <v>27</v>
      </c>
      <c r="K346">
        <v>7</v>
      </c>
      <c r="L346" t="s">
        <v>165</v>
      </c>
      <c r="M346" t="s">
        <v>180</v>
      </c>
      <c r="N346" t="s">
        <v>133</v>
      </c>
      <c r="O346">
        <v>97</v>
      </c>
      <c r="P346">
        <v>27</v>
      </c>
      <c r="Q346" t="s">
        <v>145</v>
      </c>
      <c r="R346" t="s">
        <v>146</v>
      </c>
      <c r="S346" t="s">
        <v>147</v>
      </c>
      <c r="T346" t="s">
        <v>148</v>
      </c>
      <c r="U346" t="s">
        <v>149</v>
      </c>
      <c r="V346" t="s">
        <v>133</v>
      </c>
      <c r="W346" t="s">
        <v>139</v>
      </c>
      <c r="X346" t="s">
        <v>133</v>
      </c>
      <c r="Z346">
        <v>4</v>
      </c>
      <c r="AA346">
        <v>5</v>
      </c>
      <c r="AB346">
        <v>4</v>
      </c>
      <c r="AD346">
        <v>0</v>
      </c>
      <c r="AE346">
        <v>0</v>
      </c>
      <c r="AF346" t="s">
        <v>133</v>
      </c>
      <c r="AG346" t="s">
        <v>130</v>
      </c>
      <c r="AH346" t="s">
        <v>319</v>
      </c>
      <c r="AI346" s="4">
        <v>27</v>
      </c>
      <c r="AJ346" s="4">
        <v>97</v>
      </c>
      <c r="AK346" s="4">
        <v>0</v>
      </c>
      <c r="AL346" s="4">
        <v>124</v>
      </c>
      <c r="AM346" t="s">
        <v>548</v>
      </c>
    </row>
    <row r="347" spans="1:39" x14ac:dyDescent="0.3">
      <c r="A347" t="s">
        <v>127</v>
      </c>
      <c r="B347">
        <v>58</v>
      </c>
      <c r="C347">
        <v>6237</v>
      </c>
      <c r="D347" t="s">
        <v>161</v>
      </c>
      <c r="E347">
        <v>1</v>
      </c>
      <c r="F347" t="s">
        <v>389</v>
      </c>
      <c r="G347" t="s">
        <v>130</v>
      </c>
      <c r="H347" t="s">
        <v>144</v>
      </c>
      <c r="I347">
        <v>8</v>
      </c>
      <c r="J347">
        <v>3</v>
      </c>
      <c r="K347">
        <v>1</v>
      </c>
      <c r="L347" t="s">
        <v>132</v>
      </c>
      <c r="N347" t="s">
        <v>133</v>
      </c>
      <c r="O347">
        <v>50</v>
      </c>
      <c r="P347">
        <v>14</v>
      </c>
      <c r="Q347" t="s">
        <v>145</v>
      </c>
      <c r="R347" t="s">
        <v>146</v>
      </c>
      <c r="S347" t="s">
        <v>147</v>
      </c>
      <c r="T347" t="s">
        <v>148</v>
      </c>
      <c r="U347" t="s">
        <v>149</v>
      </c>
      <c r="V347" t="s">
        <v>133</v>
      </c>
      <c r="W347" t="s">
        <v>139</v>
      </c>
      <c r="X347" t="s">
        <v>133</v>
      </c>
      <c r="Z347">
        <v>3</v>
      </c>
      <c r="AA347">
        <v>3</v>
      </c>
      <c r="AB347">
        <v>4</v>
      </c>
      <c r="AD347">
        <v>0</v>
      </c>
      <c r="AE347">
        <v>0</v>
      </c>
      <c r="AF347" t="s">
        <v>133</v>
      </c>
      <c r="AG347" t="s">
        <v>130</v>
      </c>
      <c r="AH347" t="s">
        <v>254</v>
      </c>
      <c r="AI347" s="4">
        <v>3</v>
      </c>
      <c r="AJ347" s="4">
        <v>50</v>
      </c>
      <c r="AK347" s="4">
        <v>0</v>
      </c>
      <c r="AL347" s="4">
        <v>53</v>
      </c>
      <c r="AM347" t="s">
        <v>549</v>
      </c>
    </row>
    <row r="348" spans="1:39" x14ac:dyDescent="0.3">
      <c r="A348" t="s">
        <v>127</v>
      </c>
      <c r="B348">
        <v>58</v>
      </c>
      <c r="C348">
        <v>3067</v>
      </c>
      <c r="D348" t="s">
        <v>161</v>
      </c>
      <c r="E348">
        <v>2</v>
      </c>
      <c r="F348" t="s">
        <v>391</v>
      </c>
      <c r="G348" t="s">
        <v>130</v>
      </c>
      <c r="H348" t="s">
        <v>153</v>
      </c>
      <c r="I348">
        <v>8</v>
      </c>
      <c r="J348">
        <v>3</v>
      </c>
      <c r="K348">
        <v>0</v>
      </c>
      <c r="L348" t="s">
        <v>132</v>
      </c>
      <c r="N348" t="s">
        <v>133</v>
      </c>
      <c r="O348">
        <v>21</v>
      </c>
      <c r="P348">
        <v>3</v>
      </c>
      <c r="Q348" t="s">
        <v>145</v>
      </c>
      <c r="R348" t="s">
        <v>155</v>
      </c>
      <c r="S348" t="s">
        <v>178</v>
      </c>
      <c r="T348" t="s">
        <v>157</v>
      </c>
      <c r="U348" t="s">
        <v>158</v>
      </c>
      <c r="V348" t="s">
        <v>133</v>
      </c>
      <c r="W348" t="s">
        <v>139</v>
      </c>
      <c r="X348" t="s">
        <v>133</v>
      </c>
      <c r="Z348">
        <v>4</v>
      </c>
      <c r="AA348">
        <v>3</v>
      </c>
      <c r="AB348">
        <v>5</v>
      </c>
      <c r="AD348">
        <v>0</v>
      </c>
      <c r="AE348">
        <v>0</v>
      </c>
      <c r="AF348" t="s">
        <v>133</v>
      </c>
      <c r="AG348" t="s">
        <v>140</v>
      </c>
      <c r="AI348" s="4">
        <v>3</v>
      </c>
      <c r="AJ348" s="4">
        <v>21</v>
      </c>
      <c r="AK348" s="4">
        <v>0</v>
      </c>
      <c r="AL348" s="4">
        <v>24</v>
      </c>
      <c r="AM348" t="s">
        <v>550</v>
      </c>
    </row>
    <row r="349" spans="1:39" x14ac:dyDescent="0.3">
      <c r="A349" t="s">
        <v>127</v>
      </c>
      <c r="B349">
        <v>58</v>
      </c>
      <c r="C349">
        <v>4096</v>
      </c>
      <c r="D349" t="s">
        <v>161</v>
      </c>
      <c r="E349">
        <v>3</v>
      </c>
      <c r="F349" t="s">
        <v>392</v>
      </c>
      <c r="G349" t="s">
        <v>130</v>
      </c>
      <c r="H349" t="s">
        <v>131</v>
      </c>
      <c r="I349">
        <v>8</v>
      </c>
      <c r="J349">
        <v>10</v>
      </c>
      <c r="K349">
        <v>2</v>
      </c>
      <c r="L349" t="s">
        <v>165</v>
      </c>
      <c r="M349" t="s">
        <v>180</v>
      </c>
      <c r="N349" t="s">
        <v>133</v>
      </c>
      <c r="O349">
        <v>65</v>
      </c>
      <c r="P349">
        <v>16</v>
      </c>
      <c r="Q349" t="s">
        <v>145</v>
      </c>
      <c r="R349" t="s">
        <v>155</v>
      </c>
      <c r="S349" t="s">
        <v>147</v>
      </c>
      <c r="T349" t="s">
        <v>148</v>
      </c>
      <c r="U349" t="s">
        <v>158</v>
      </c>
      <c r="V349" t="s">
        <v>133</v>
      </c>
      <c r="W349" t="s">
        <v>181</v>
      </c>
      <c r="X349" t="s">
        <v>133</v>
      </c>
      <c r="Z349">
        <v>4</v>
      </c>
      <c r="AA349">
        <v>3</v>
      </c>
      <c r="AB349">
        <v>5</v>
      </c>
      <c r="AD349">
        <v>0</v>
      </c>
      <c r="AE349">
        <v>0</v>
      </c>
      <c r="AF349" t="s">
        <v>133</v>
      </c>
      <c r="AG349" t="s">
        <v>140</v>
      </c>
      <c r="AH349" t="s">
        <v>175</v>
      </c>
      <c r="AI349" s="4">
        <v>10</v>
      </c>
      <c r="AJ349" s="4">
        <v>65</v>
      </c>
      <c r="AK349" s="4">
        <v>0</v>
      </c>
      <c r="AL349" s="4">
        <v>75</v>
      </c>
      <c r="AM349" t="s">
        <v>551</v>
      </c>
    </row>
    <row r="350" spans="1:39" x14ac:dyDescent="0.3">
      <c r="A350" t="s">
        <v>127</v>
      </c>
      <c r="B350">
        <v>59</v>
      </c>
      <c r="C350">
        <v>1736</v>
      </c>
      <c r="D350" t="s">
        <v>128</v>
      </c>
      <c r="E350">
        <v>1</v>
      </c>
      <c r="F350" t="s">
        <v>383</v>
      </c>
      <c r="G350" t="s">
        <v>130</v>
      </c>
      <c r="H350" t="s">
        <v>144</v>
      </c>
      <c r="I350">
        <v>5</v>
      </c>
      <c r="J350">
        <v>4</v>
      </c>
      <c r="K350">
        <v>2</v>
      </c>
      <c r="L350" t="s">
        <v>132</v>
      </c>
      <c r="N350" t="s">
        <v>133</v>
      </c>
      <c r="O350">
        <v>14</v>
      </c>
      <c r="P350">
        <v>5</v>
      </c>
      <c r="Q350" t="s">
        <v>154</v>
      </c>
      <c r="R350" t="s">
        <v>135</v>
      </c>
      <c r="S350" t="s">
        <v>156</v>
      </c>
      <c r="T350" t="s">
        <v>157</v>
      </c>
      <c r="U350" t="s">
        <v>187</v>
      </c>
      <c r="V350" t="s">
        <v>133</v>
      </c>
      <c r="W350" t="s">
        <v>139</v>
      </c>
      <c r="X350" t="s">
        <v>133</v>
      </c>
      <c r="Z350">
        <v>3</v>
      </c>
      <c r="AA350">
        <v>2</v>
      </c>
      <c r="AB350">
        <v>3</v>
      </c>
      <c r="AD350">
        <v>1</v>
      </c>
      <c r="AE350">
        <v>0</v>
      </c>
      <c r="AF350" t="s">
        <v>133</v>
      </c>
      <c r="AG350" t="s">
        <v>139</v>
      </c>
      <c r="AI350" s="4">
        <v>4</v>
      </c>
      <c r="AJ350" s="4">
        <v>14</v>
      </c>
      <c r="AK350" s="4">
        <v>0</v>
      </c>
      <c r="AL350" s="4">
        <v>18</v>
      </c>
      <c r="AM350" t="s">
        <v>552</v>
      </c>
    </row>
    <row r="351" spans="1:39" x14ac:dyDescent="0.3">
      <c r="A351" t="s">
        <v>127</v>
      </c>
      <c r="B351">
        <v>59</v>
      </c>
      <c r="C351">
        <v>2039</v>
      </c>
      <c r="D351" t="s">
        <v>128</v>
      </c>
      <c r="E351">
        <v>2</v>
      </c>
      <c r="F351" t="s">
        <v>385</v>
      </c>
      <c r="G351" t="s">
        <v>130</v>
      </c>
      <c r="H351" t="s">
        <v>131</v>
      </c>
      <c r="I351">
        <v>8</v>
      </c>
      <c r="J351">
        <v>1</v>
      </c>
      <c r="K351">
        <v>1</v>
      </c>
      <c r="L351" t="s">
        <v>132</v>
      </c>
      <c r="N351" t="s">
        <v>133</v>
      </c>
      <c r="O351">
        <v>1</v>
      </c>
      <c r="P351">
        <v>1</v>
      </c>
      <c r="Q351" t="s">
        <v>134</v>
      </c>
      <c r="R351" t="s">
        <v>135</v>
      </c>
      <c r="T351" t="s">
        <v>136</v>
      </c>
      <c r="U351" t="s">
        <v>137</v>
      </c>
      <c r="V351" t="s">
        <v>138</v>
      </c>
      <c r="W351" t="s">
        <v>139</v>
      </c>
      <c r="X351" t="s">
        <v>361</v>
      </c>
      <c r="Y351" t="s">
        <v>362</v>
      </c>
      <c r="Z351">
        <v>2</v>
      </c>
      <c r="AA351">
        <v>1</v>
      </c>
      <c r="AB351">
        <v>1</v>
      </c>
      <c r="AD351">
        <v>0</v>
      </c>
      <c r="AE351">
        <v>2</v>
      </c>
      <c r="AF351" t="s">
        <v>133</v>
      </c>
      <c r="AG351" t="s">
        <v>139</v>
      </c>
      <c r="AH351" t="s">
        <v>553</v>
      </c>
      <c r="AI351" s="4">
        <v>1</v>
      </c>
      <c r="AJ351" s="4">
        <v>1</v>
      </c>
      <c r="AK351" s="4">
        <v>0</v>
      </c>
      <c r="AL351" s="4">
        <v>2</v>
      </c>
      <c r="AM351" t="s">
        <v>554</v>
      </c>
    </row>
    <row r="352" spans="1:39" x14ac:dyDescent="0.3">
      <c r="A352" t="s">
        <v>127</v>
      </c>
      <c r="B352">
        <v>59</v>
      </c>
      <c r="C352">
        <v>3284</v>
      </c>
      <c r="D352" t="s">
        <v>128</v>
      </c>
      <c r="E352">
        <v>3</v>
      </c>
      <c r="F352" t="s">
        <v>387</v>
      </c>
      <c r="G352" t="s">
        <v>130</v>
      </c>
      <c r="H352" t="s">
        <v>144</v>
      </c>
      <c r="I352">
        <v>8</v>
      </c>
      <c r="J352">
        <v>11</v>
      </c>
      <c r="K352">
        <v>7</v>
      </c>
      <c r="L352" t="s">
        <v>174</v>
      </c>
      <c r="M352" t="s">
        <v>180</v>
      </c>
      <c r="N352" t="s">
        <v>133</v>
      </c>
      <c r="O352">
        <v>7</v>
      </c>
      <c r="P352">
        <v>4</v>
      </c>
      <c r="Q352" t="s">
        <v>134</v>
      </c>
      <c r="R352" t="s">
        <v>135</v>
      </c>
      <c r="T352" t="s">
        <v>136</v>
      </c>
      <c r="U352" t="s">
        <v>137</v>
      </c>
      <c r="V352" t="s">
        <v>138</v>
      </c>
      <c r="W352" t="s">
        <v>139</v>
      </c>
      <c r="X352" t="s">
        <v>133</v>
      </c>
      <c r="Z352">
        <v>2</v>
      </c>
      <c r="AA352">
        <v>1</v>
      </c>
      <c r="AB352">
        <v>2</v>
      </c>
      <c r="AD352">
        <v>0</v>
      </c>
      <c r="AE352">
        <v>0</v>
      </c>
      <c r="AF352" t="s">
        <v>133</v>
      </c>
      <c r="AG352" t="s">
        <v>140</v>
      </c>
      <c r="AH352" t="s">
        <v>141</v>
      </c>
      <c r="AI352" s="4">
        <v>11</v>
      </c>
      <c r="AJ352" s="4">
        <v>7</v>
      </c>
      <c r="AK352" s="4">
        <v>0</v>
      </c>
      <c r="AL352" s="4">
        <v>18</v>
      </c>
      <c r="AM352" t="s">
        <v>555</v>
      </c>
    </row>
    <row r="353" spans="1:39" x14ac:dyDescent="0.3">
      <c r="A353" t="s">
        <v>127</v>
      </c>
      <c r="B353">
        <v>59</v>
      </c>
      <c r="C353">
        <v>2481</v>
      </c>
      <c r="D353" t="s">
        <v>161</v>
      </c>
      <c r="E353">
        <v>1</v>
      </c>
      <c r="F353" t="s">
        <v>389</v>
      </c>
      <c r="G353" t="s">
        <v>130</v>
      </c>
      <c r="H353" t="s">
        <v>131</v>
      </c>
      <c r="I353">
        <v>8</v>
      </c>
      <c r="J353">
        <v>64</v>
      </c>
      <c r="K353">
        <v>16</v>
      </c>
      <c r="L353" t="s">
        <v>165</v>
      </c>
      <c r="M353" t="s">
        <v>180</v>
      </c>
      <c r="N353" t="s">
        <v>133</v>
      </c>
      <c r="O353">
        <v>157</v>
      </c>
      <c r="P353">
        <v>39</v>
      </c>
      <c r="Q353" t="s">
        <v>145</v>
      </c>
      <c r="R353" t="s">
        <v>146</v>
      </c>
      <c r="S353" t="s">
        <v>147</v>
      </c>
      <c r="T353" t="s">
        <v>148</v>
      </c>
      <c r="U353" t="s">
        <v>149</v>
      </c>
      <c r="V353" t="s">
        <v>133</v>
      </c>
      <c r="W353" t="s">
        <v>181</v>
      </c>
      <c r="X353" t="s">
        <v>133</v>
      </c>
      <c r="Z353">
        <v>5</v>
      </c>
      <c r="AA353">
        <v>5</v>
      </c>
      <c r="AB353">
        <v>4</v>
      </c>
      <c r="AD353">
        <v>0</v>
      </c>
      <c r="AE353">
        <v>1</v>
      </c>
      <c r="AF353" t="s">
        <v>133</v>
      </c>
      <c r="AG353" t="s">
        <v>130</v>
      </c>
      <c r="AH353" t="s">
        <v>227</v>
      </c>
      <c r="AI353" s="4">
        <v>64</v>
      </c>
      <c r="AJ353" s="4">
        <v>157</v>
      </c>
      <c r="AK353" s="4">
        <v>0</v>
      </c>
      <c r="AL353" s="4">
        <v>221</v>
      </c>
      <c r="AM353" t="s">
        <v>556</v>
      </c>
    </row>
    <row r="354" spans="1:39" x14ac:dyDescent="0.3">
      <c r="A354" t="s">
        <v>127</v>
      </c>
      <c r="B354">
        <v>59</v>
      </c>
      <c r="C354">
        <v>7848</v>
      </c>
      <c r="D354" t="s">
        <v>161</v>
      </c>
      <c r="E354">
        <v>2</v>
      </c>
      <c r="F354" t="s">
        <v>391</v>
      </c>
      <c r="G354" t="s">
        <v>130</v>
      </c>
      <c r="H354" t="s">
        <v>144</v>
      </c>
      <c r="I354">
        <v>8</v>
      </c>
      <c r="J354">
        <v>1</v>
      </c>
      <c r="K354">
        <v>0</v>
      </c>
      <c r="L354" t="s">
        <v>132</v>
      </c>
      <c r="N354" t="s">
        <v>133</v>
      </c>
      <c r="O354">
        <v>28</v>
      </c>
      <c r="P354">
        <v>7</v>
      </c>
      <c r="Q354" t="s">
        <v>145</v>
      </c>
      <c r="R354" t="s">
        <v>155</v>
      </c>
      <c r="S354" t="s">
        <v>156</v>
      </c>
      <c r="T354" t="s">
        <v>157</v>
      </c>
      <c r="U354" t="s">
        <v>158</v>
      </c>
      <c r="V354" t="s">
        <v>133</v>
      </c>
      <c r="W354" t="s">
        <v>139</v>
      </c>
      <c r="X354" t="s">
        <v>133</v>
      </c>
      <c r="Z354">
        <v>3</v>
      </c>
      <c r="AA354">
        <v>4</v>
      </c>
      <c r="AB354">
        <v>4</v>
      </c>
      <c r="AD354">
        <v>1</v>
      </c>
      <c r="AE354">
        <v>0</v>
      </c>
      <c r="AF354" t="s">
        <v>133</v>
      </c>
      <c r="AG354" t="s">
        <v>140</v>
      </c>
      <c r="AI354" s="4">
        <v>1</v>
      </c>
      <c r="AJ354" s="4">
        <v>28</v>
      </c>
      <c r="AK354" s="4">
        <v>0</v>
      </c>
      <c r="AL354" s="4">
        <v>29</v>
      </c>
      <c r="AM354" t="s">
        <v>557</v>
      </c>
    </row>
    <row r="355" spans="1:39" x14ac:dyDescent="0.3">
      <c r="A355" t="s">
        <v>127</v>
      </c>
      <c r="B355">
        <v>59</v>
      </c>
      <c r="C355">
        <v>5442</v>
      </c>
      <c r="D355" t="s">
        <v>161</v>
      </c>
      <c r="E355">
        <v>3</v>
      </c>
      <c r="F355" t="s">
        <v>392</v>
      </c>
      <c r="G355" t="s">
        <v>130</v>
      </c>
      <c r="H355" t="s">
        <v>153</v>
      </c>
      <c r="I355">
        <v>8</v>
      </c>
      <c r="J355">
        <v>0</v>
      </c>
      <c r="K355">
        <v>0</v>
      </c>
      <c r="N355" t="s">
        <v>133</v>
      </c>
      <c r="O355">
        <v>19</v>
      </c>
      <c r="P355">
        <v>10</v>
      </c>
      <c r="Q355" t="s">
        <v>154</v>
      </c>
      <c r="R355" t="s">
        <v>155</v>
      </c>
      <c r="S355" t="s">
        <v>156</v>
      </c>
      <c r="T355" t="s">
        <v>157</v>
      </c>
      <c r="U355" t="s">
        <v>187</v>
      </c>
      <c r="V355" t="s">
        <v>133</v>
      </c>
      <c r="W355" t="s">
        <v>139</v>
      </c>
      <c r="X355" t="s">
        <v>133</v>
      </c>
      <c r="Z355">
        <v>2</v>
      </c>
      <c r="AA355">
        <v>3</v>
      </c>
      <c r="AB355">
        <v>3</v>
      </c>
      <c r="AC355" t="s">
        <v>159</v>
      </c>
      <c r="AD355">
        <v>1</v>
      </c>
      <c r="AE355">
        <v>0</v>
      </c>
      <c r="AF355" t="s">
        <v>133</v>
      </c>
      <c r="AG355" t="s">
        <v>139</v>
      </c>
      <c r="AI355" s="4">
        <v>0</v>
      </c>
      <c r="AJ355" s="4">
        <v>19</v>
      </c>
      <c r="AK355" s="4">
        <v>0</v>
      </c>
      <c r="AL355" s="4">
        <v>19</v>
      </c>
      <c r="AM355" t="s">
        <v>558</v>
      </c>
    </row>
    <row r="356" spans="1:39" x14ac:dyDescent="0.3">
      <c r="A356" t="s">
        <v>127</v>
      </c>
      <c r="B356">
        <v>60</v>
      </c>
      <c r="C356">
        <v>9082</v>
      </c>
      <c r="D356" t="s">
        <v>128</v>
      </c>
      <c r="E356">
        <v>1</v>
      </c>
      <c r="F356" t="s">
        <v>383</v>
      </c>
      <c r="G356" t="s">
        <v>130</v>
      </c>
      <c r="H356" t="s">
        <v>131</v>
      </c>
      <c r="I356">
        <v>8</v>
      </c>
      <c r="J356">
        <v>14</v>
      </c>
      <c r="K356">
        <v>2</v>
      </c>
      <c r="L356" t="s">
        <v>174</v>
      </c>
      <c r="M356" t="s">
        <v>180</v>
      </c>
      <c r="N356" t="s">
        <v>133</v>
      </c>
      <c r="O356">
        <v>76</v>
      </c>
      <c r="P356">
        <v>9</v>
      </c>
      <c r="Q356" t="s">
        <v>145</v>
      </c>
      <c r="R356" t="s">
        <v>146</v>
      </c>
      <c r="S356" t="s">
        <v>147</v>
      </c>
      <c r="T356" t="s">
        <v>148</v>
      </c>
      <c r="U356" t="s">
        <v>158</v>
      </c>
      <c r="V356" t="s">
        <v>133</v>
      </c>
      <c r="W356" t="s">
        <v>181</v>
      </c>
      <c r="X356" t="s">
        <v>133</v>
      </c>
      <c r="Z356">
        <v>4</v>
      </c>
      <c r="AA356">
        <v>5</v>
      </c>
      <c r="AB356">
        <v>5</v>
      </c>
      <c r="AD356">
        <v>1</v>
      </c>
      <c r="AE356">
        <v>0</v>
      </c>
      <c r="AF356" t="s">
        <v>133</v>
      </c>
      <c r="AG356" t="s">
        <v>130</v>
      </c>
      <c r="AH356" t="s">
        <v>167</v>
      </c>
      <c r="AI356" s="4">
        <v>14</v>
      </c>
      <c r="AJ356" s="4">
        <v>76</v>
      </c>
      <c r="AK356" s="4">
        <v>0</v>
      </c>
      <c r="AL356" s="4">
        <v>90</v>
      </c>
      <c r="AM356" t="s">
        <v>559</v>
      </c>
    </row>
    <row r="357" spans="1:39" x14ac:dyDescent="0.3">
      <c r="A357" t="s">
        <v>127</v>
      </c>
      <c r="B357">
        <v>60</v>
      </c>
      <c r="C357">
        <v>6651</v>
      </c>
      <c r="D357" t="s">
        <v>128</v>
      </c>
      <c r="E357">
        <v>2</v>
      </c>
      <c r="F357" t="s">
        <v>385</v>
      </c>
      <c r="G357" t="s">
        <v>130</v>
      </c>
      <c r="H357" t="s">
        <v>144</v>
      </c>
      <c r="I357">
        <v>8</v>
      </c>
      <c r="J357">
        <v>9</v>
      </c>
      <c r="K357">
        <v>4</v>
      </c>
      <c r="L357" t="s">
        <v>174</v>
      </c>
      <c r="M357" t="s">
        <v>166</v>
      </c>
      <c r="N357" t="s">
        <v>133</v>
      </c>
      <c r="O357">
        <v>20</v>
      </c>
      <c r="P357">
        <v>10</v>
      </c>
      <c r="Q357" t="s">
        <v>154</v>
      </c>
      <c r="R357" t="s">
        <v>135</v>
      </c>
      <c r="T357" t="s">
        <v>157</v>
      </c>
      <c r="U357" t="s">
        <v>187</v>
      </c>
      <c r="V357" t="s">
        <v>133</v>
      </c>
      <c r="W357" t="s">
        <v>139</v>
      </c>
      <c r="X357" t="s">
        <v>133</v>
      </c>
      <c r="Z357">
        <v>1</v>
      </c>
      <c r="AA357">
        <v>3</v>
      </c>
      <c r="AB357">
        <v>2</v>
      </c>
      <c r="AD357">
        <v>0</v>
      </c>
      <c r="AE357">
        <v>0</v>
      </c>
      <c r="AF357" t="s">
        <v>133</v>
      </c>
      <c r="AG357" t="s">
        <v>139</v>
      </c>
      <c r="AI357" s="4">
        <v>9</v>
      </c>
      <c r="AJ357" s="4">
        <v>20</v>
      </c>
      <c r="AK357" s="4">
        <v>0</v>
      </c>
      <c r="AL357" s="4">
        <v>29</v>
      </c>
      <c r="AM357" t="s">
        <v>560</v>
      </c>
    </row>
    <row r="358" spans="1:39" x14ac:dyDescent="0.3">
      <c r="A358" t="s">
        <v>127</v>
      </c>
      <c r="B358">
        <v>60</v>
      </c>
      <c r="C358">
        <v>3488</v>
      </c>
      <c r="D358" t="s">
        <v>128</v>
      </c>
      <c r="E358">
        <v>3</v>
      </c>
      <c r="F358" t="s">
        <v>387</v>
      </c>
      <c r="G358" t="s">
        <v>130</v>
      </c>
      <c r="H358" t="s">
        <v>144</v>
      </c>
      <c r="I358">
        <v>8</v>
      </c>
      <c r="J358">
        <v>0</v>
      </c>
      <c r="K358">
        <v>0</v>
      </c>
      <c r="N358" t="s">
        <v>133</v>
      </c>
      <c r="O358">
        <v>35</v>
      </c>
      <c r="P358">
        <v>31</v>
      </c>
      <c r="Q358" t="s">
        <v>154</v>
      </c>
      <c r="R358" t="s">
        <v>135</v>
      </c>
      <c r="S358" t="s">
        <v>178</v>
      </c>
      <c r="T358" t="s">
        <v>157</v>
      </c>
      <c r="U358" t="s">
        <v>187</v>
      </c>
      <c r="V358" t="s">
        <v>133</v>
      </c>
      <c r="W358" t="s">
        <v>139</v>
      </c>
      <c r="X358" t="s">
        <v>133</v>
      </c>
      <c r="Z358">
        <v>2</v>
      </c>
      <c r="AA358">
        <v>3</v>
      </c>
      <c r="AB358">
        <v>2</v>
      </c>
      <c r="AD358">
        <v>0</v>
      </c>
      <c r="AE358">
        <v>0</v>
      </c>
      <c r="AF358" t="s">
        <v>133</v>
      </c>
      <c r="AG358" t="s">
        <v>139</v>
      </c>
      <c r="AI358" s="4">
        <v>0</v>
      </c>
      <c r="AJ358" s="4">
        <v>35</v>
      </c>
      <c r="AK358" s="4">
        <v>0</v>
      </c>
      <c r="AL358" s="4">
        <v>35</v>
      </c>
      <c r="AM358" t="s">
        <v>561</v>
      </c>
    </row>
    <row r="359" spans="1:39" x14ac:dyDescent="0.3">
      <c r="A359" t="s">
        <v>127</v>
      </c>
      <c r="B359">
        <v>60</v>
      </c>
      <c r="C359">
        <v>4645</v>
      </c>
      <c r="D359" t="s">
        <v>161</v>
      </c>
      <c r="E359">
        <v>1</v>
      </c>
      <c r="F359" t="s">
        <v>389</v>
      </c>
      <c r="G359" t="s">
        <v>130</v>
      </c>
      <c r="H359" t="s">
        <v>153</v>
      </c>
      <c r="I359">
        <v>8</v>
      </c>
      <c r="J359">
        <v>1</v>
      </c>
      <c r="K359">
        <v>0</v>
      </c>
      <c r="L359" t="s">
        <v>132</v>
      </c>
      <c r="N359" t="s">
        <v>133</v>
      </c>
      <c r="O359">
        <v>21</v>
      </c>
      <c r="P359">
        <v>6</v>
      </c>
      <c r="Q359" t="s">
        <v>154</v>
      </c>
      <c r="R359" t="s">
        <v>155</v>
      </c>
      <c r="S359" t="s">
        <v>156</v>
      </c>
      <c r="T359" t="s">
        <v>157</v>
      </c>
      <c r="U359" t="s">
        <v>158</v>
      </c>
      <c r="V359" t="s">
        <v>133</v>
      </c>
      <c r="W359" t="s">
        <v>139</v>
      </c>
      <c r="X359" t="s">
        <v>133</v>
      </c>
      <c r="Z359">
        <v>3</v>
      </c>
      <c r="AA359">
        <v>3</v>
      </c>
      <c r="AB359">
        <v>3</v>
      </c>
      <c r="AD359">
        <v>0</v>
      </c>
      <c r="AE359">
        <v>0</v>
      </c>
      <c r="AF359" t="s">
        <v>133</v>
      </c>
      <c r="AG359" t="s">
        <v>130</v>
      </c>
      <c r="AI359" s="4">
        <v>1</v>
      </c>
      <c r="AJ359" s="4">
        <v>21</v>
      </c>
      <c r="AK359" s="4">
        <v>0</v>
      </c>
      <c r="AL359" s="4">
        <v>22</v>
      </c>
      <c r="AM359" t="s">
        <v>562</v>
      </c>
    </row>
    <row r="360" spans="1:39" x14ac:dyDescent="0.3">
      <c r="A360" t="s">
        <v>127</v>
      </c>
      <c r="B360">
        <v>60</v>
      </c>
      <c r="C360">
        <v>4655</v>
      </c>
      <c r="D360" t="s">
        <v>161</v>
      </c>
      <c r="E360">
        <v>2</v>
      </c>
      <c r="F360" t="s">
        <v>391</v>
      </c>
      <c r="G360" t="s">
        <v>130</v>
      </c>
      <c r="H360" t="s">
        <v>131</v>
      </c>
      <c r="I360">
        <v>8</v>
      </c>
      <c r="J360">
        <v>5</v>
      </c>
      <c r="K360">
        <v>2</v>
      </c>
      <c r="L360" t="s">
        <v>132</v>
      </c>
      <c r="N360" t="s">
        <v>133</v>
      </c>
      <c r="O360">
        <v>58</v>
      </c>
      <c r="P360">
        <v>21</v>
      </c>
      <c r="Q360" t="s">
        <v>145</v>
      </c>
      <c r="R360" t="s">
        <v>155</v>
      </c>
      <c r="S360" t="s">
        <v>147</v>
      </c>
      <c r="T360" t="s">
        <v>148</v>
      </c>
      <c r="U360" t="s">
        <v>158</v>
      </c>
      <c r="V360" t="s">
        <v>133</v>
      </c>
      <c r="W360" t="s">
        <v>139</v>
      </c>
      <c r="X360" t="s">
        <v>133</v>
      </c>
      <c r="Z360">
        <v>3</v>
      </c>
      <c r="AA360">
        <v>4</v>
      </c>
      <c r="AB360">
        <v>5</v>
      </c>
      <c r="AD360">
        <v>0</v>
      </c>
      <c r="AE360">
        <v>0</v>
      </c>
      <c r="AF360" t="s">
        <v>133</v>
      </c>
      <c r="AG360" t="s">
        <v>140</v>
      </c>
      <c r="AH360" t="s">
        <v>171</v>
      </c>
      <c r="AI360" s="4">
        <v>5</v>
      </c>
      <c r="AJ360" s="4">
        <v>58</v>
      </c>
      <c r="AK360" s="4">
        <v>0</v>
      </c>
      <c r="AL360" s="4">
        <v>63</v>
      </c>
      <c r="AM360" t="s">
        <v>560</v>
      </c>
    </row>
    <row r="361" spans="1:39" x14ac:dyDescent="0.3">
      <c r="A361" t="s">
        <v>127</v>
      </c>
      <c r="B361">
        <v>60</v>
      </c>
      <c r="C361">
        <v>7417</v>
      </c>
      <c r="D361" t="s">
        <v>161</v>
      </c>
      <c r="E361">
        <v>3</v>
      </c>
      <c r="F361" t="s">
        <v>392</v>
      </c>
      <c r="G361" t="s">
        <v>130</v>
      </c>
      <c r="H361" t="s">
        <v>144</v>
      </c>
      <c r="I361">
        <v>8</v>
      </c>
      <c r="J361">
        <v>5</v>
      </c>
      <c r="K361">
        <v>3</v>
      </c>
      <c r="L361" t="s">
        <v>174</v>
      </c>
      <c r="N361" t="s">
        <v>133</v>
      </c>
      <c r="O361">
        <v>5</v>
      </c>
      <c r="P361">
        <v>3</v>
      </c>
      <c r="Q361" t="s">
        <v>134</v>
      </c>
      <c r="R361" t="s">
        <v>135</v>
      </c>
      <c r="T361" t="s">
        <v>136</v>
      </c>
      <c r="U361" t="s">
        <v>137</v>
      </c>
      <c r="V361" t="s">
        <v>133</v>
      </c>
      <c r="W361" t="s">
        <v>139</v>
      </c>
      <c r="X361" t="s">
        <v>133</v>
      </c>
      <c r="Z361">
        <v>2</v>
      </c>
      <c r="AA361">
        <v>1</v>
      </c>
      <c r="AB361">
        <v>4</v>
      </c>
      <c r="AD361">
        <v>0</v>
      </c>
      <c r="AE361">
        <v>0</v>
      </c>
      <c r="AF361" t="s">
        <v>133</v>
      </c>
      <c r="AG361" t="s">
        <v>139</v>
      </c>
      <c r="AH361" t="s">
        <v>185</v>
      </c>
      <c r="AI361" s="4">
        <v>5</v>
      </c>
      <c r="AJ361" s="4">
        <v>5</v>
      </c>
      <c r="AK361" s="4">
        <v>0</v>
      </c>
      <c r="AL361" s="4">
        <v>10</v>
      </c>
      <c r="AM361" t="s">
        <v>563</v>
      </c>
    </row>
    <row r="362" spans="1:39" x14ac:dyDescent="0.3">
      <c r="A362" t="s">
        <v>127</v>
      </c>
      <c r="B362">
        <v>61</v>
      </c>
      <c r="C362">
        <v>4143</v>
      </c>
      <c r="D362" t="s">
        <v>128</v>
      </c>
      <c r="E362">
        <v>1</v>
      </c>
      <c r="F362" t="s">
        <v>383</v>
      </c>
      <c r="G362" t="s">
        <v>130</v>
      </c>
      <c r="H362" t="s">
        <v>153</v>
      </c>
      <c r="I362">
        <v>7</v>
      </c>
      <c r="J362">
        <v>25</v>
      </c>
      <c r="K362">
        <v>6</v>
      </c>
      <c r="L362" t="s">
        <v>174</v>
      </c>
      <c r="M362" t="s">
        <v>180</v>
      </c>
      <c r="N362" t="s">
        <v>133</v>
      </c>
      <c r="O362">
        <v>159</v>
      </c>
      <c r="P362">
        <v>41</v>
      </c>
      <c r="Q362" t="s">
        <v>145</v>
      </c>
      <c r="R362" t="s">
        <v>146</v>
      </c>
      <c r="S362" t="s">
        <v>147</v>
      </c>
      <c r="T362" t="s">
        <v>148</v>
      </c>
      <c r="U362" t="s">
        <v>149</v>
      </c>
      <c r="V362" t="s">
        <v>133</v>
      </c>
      <c r="W362" t="s">
        <v>139</v>
      </c>
      <c r="X362" t="s">
        <v>133</v>
      </c>
      <c r="Z362">
        <v>5</v>
      </c>
      <c r="AA362">
        <v>5</v>
      </c>
      <c r="AB362">
        <v>4</v>
      </c>
      <c r="AC362" t="s">
        <v>272</v>
      </c>
      <c r="AD362">
        <v>0</v>
      </c>
      <c r="AE362">
        <v>0</v>
      </c>
      <c r="AF362" t="s">
        <v>133</v>
      </c>
      <c r="AG362" t="s">
        <v>130</v>
      </c>
      <c r="AH362" t="s">
        <v>319</v>
      </c>
      <c r="AI362" s="4">
        <v>25</v>
      </c>
      <c r="AJ362" s="4">
        <v>159</v>
      </c>
      <c r="AK362" s="4">
        <v>0</v>
      </c>
      <c r="AL362" s="4">
        <v>184</v>
      </c>
      <c r="AM362" t="s">
        <v>564</v>
      </c>
    </row>
    <row r="363" spans="1:39" x14ac:dyDescent="0.3">
      <c r="A363" t="s">
        <v>127</v>
      </c>
      <c r="B363">
        <v>61</v>
      </c>
      <c r="C363">
        <v>4156</v>
      </c>
      <c r="D363" t="s">
        <v>128</v>
      </c>
      <c r="E363">
        <v>2</v>
      </c>
      <c r="F363" t="s">
        <v>385</v>
      </c>
      <c r="G363" t="s">
        <v>130</v>
      </c>
      <c r="H363" t="s">
        <v>131</v>
      </c>
      <c r="I363">
        <v>8</v>
      </c>
      <c r="J363">
        <v>2</v>
      </c>
      <c r="K363">
        <v>1</v>
      </c>
      <c r="L363" t="s">
        <v>132</v>
      </c>
      <c r="N363" t="s">
        <v>133</v>
      </c>
      <c r="O363">
        <v>4</v>
      </c>
      <c r="P363">
        <v>2</v>
      </c>
      <c r="Q363" t="s">
        <v>134</v>
      </c>
      <c r="R363" t="s">
        <v>135</v>
      </c>
      <c r="T363" t="s">
        <v>136</v>
      </c>
      <c r="U363" t="s">
        <v>137</v>
      </c>
      <c r="V363" t="s">
        <v>133</v>
      </c>
      <c r="W363" t="s">
        <v>139</v>
      </c>
      <c r="X363" t="s">
        <v>133</v>
      </c>
      <c r="Z363">
        <v>1</v>
      </c>
      <c r="AA363">
        <v>2</v>
      </c>
      <c r="AB363">
        <v>3</v>
      </c>
      <c r="AC363" t="s">
        <v>272</v>
      </c>
      <c r="AD363">
        <v>0</v>
      </c>
      <c r="AE363">
        <v>0</v>
      </c>
      <c r="AF363" t="s">
        <v>133</v>
      </c>
      <c r="AG363" t="s">
        <v>139</v>
      </c>
      <c r="AH363" t="s">
        <v>185</v>
      </c>
      <c r="AI363" s="4">
        <v>2</v>
      </c>
      <c r="AJ363" s="4">
        <v>4</v>
      </c>
      <c r="AK363" s="4">
        <v>0</v>
      </c>
      <c r="AL363" s="4">
        <v>6</v>
      </c>
      <c r="AM363" t="s">
        <v>565</v>
      </c>
    </row>
    <row r="364" spans="1:39" x14ac:dyDescent="0.3">
      <c r="A364" t="s">
        <v>127</v>
      </c>
      <c r="B364">
        <v>61</v>
      </c>
      <c r="C364">
        <v>2861</v>
      </c>
      <c r="D364" t="s">
        <v>128</v>
      </c>
      <c r="E364">
        <v>3</v>
      </c>
      <c r="F364" t="s">
        <v>387</v>
      </c>
      <c r="G364" t="s">
        <v>130</v>
      </c>
      <c r="H364" t="s">
        <v>144</v>
      </c>
      <c r="I364">
        <v>8</v>
      </c>
      <c r="J364">
        <v>25</v>
      </c>
      <c r="K364">
        <v>3</v>
      </c>
      <c r="L364" t="s">
        <v>174</v>
      </c>
      <c r="M364" t="s">
        <v>180</v>
      </c>
      <c r="N364" t="s">
        <v>133</v>
      </c>
      <c r="O364">
        <v>100</v>
      </c>
      <c r="P364">
        <v>10</v>
      </c>
      <c r="Q364" t="s">
        <v>145</v>
      </c>
      <c r="R364" t="s">
        <v>146</v>
      </c>
      <c r="S364" t="s">
        <v>147</v>
      </c>
      <c r="T364" t="s">
        <v>148</v>
      </c>
      <c r="U364" t="s">
        <v>149</v>
      </c>
      <c r="V364" t="s">
        <v>133</v>
      </c>
      <c r="W364" t="s">
        <v>139</v>
      </c>
      <c r="X364" t="s">
        <v>133</v>
      </c>
      <c r="Z364">
        <v>5</v>
      </c>
      <c r="AA364">
        <v>4</v>
      </c>
      <c r="AB364">
        <v>5</v>
      </c>
      <c r="AD364">
        <v>0</v>
      </c>
      <c r="AE364">
        <v>0</v>
      </c>
      <c r="AF364" t="s">
        <v>133</v>
      </c>
      <c r="AG364" t="s">
        <v>130</v>
      </c>
      <c r="AH364" t="s">
        <v>220</v>
      </c>
      <c r="AI364" s="4">
        <v>25</v>
      </c>
      <c r="AJ364" s="4">
        <v>100</v>
      </c>
      <c r="AK364" s="4">
        <v>0</v>
      </c>
      <c r="AL364" s="4">
        <v>125</v>
      </c>
      <c r="AM364" t="s">
        <v>566</v>
      </c>
    </row>
    <row r="365" spans="1:39" x14ac:dyDescent="0.3">
      <c r="A365" t="s">
        <v>127</v>
      </c>
      <c r="B365">
        <v>61</v>
      </c>
      <c r="C365">
        <v>8096</v>
      </c>
      <c r="D365" t="s">
        <v>161</v>
      </c>
      <c r="E365">
        <v>1</v>
      </c>
      <c r="F365" t="s">
        <v>389</v>
      </c>
      <c r="G365" t="s">
        <v>130</v>
      </c>
      <c r="H365" t="s">
        <v>144</v>
      </c>
      <c r="I365">
        <v>8</v>
      </c>
      <c r="J365">
        <v>17</v>
      </c>
      <c r="K365">
        <v>7</v>
      </c>
      <c r="L365" t="s">
        <v>165</v>
      </c>
      <c r="M365" t="s">
        <v>180</v>
      </c>
      <c r="N365" t="s">
        <v>133</v>
      </c>
      <c r="O365">
        <v>31</v>
      </c>
      <c r="P365">
        <v>13</v>
      </c>
      <c r="Q365" t="s">
        <v>154</v>
      </c>
      <c r="R365" t="s">
        <v>155</v>
      </c>
      <c r="S365" t="s">
        <v>156</v>
      </c>
      <c r="T365" t="s">
        <v>157</v>
      </c>
      <c r="U365" t="s">
        <v>187</v>
      </c>
      <c r="V365" t="s">
        <v>170</v>
      </c>
      <c r="W365" t="s">
        <v>139</v>
      </c>
      <c r="X365" t="s">
        <v>133</v>
      </c>
      <c r="Z365">
        <v>3</v>
      </c>
      <c r="AA365">
        <v>2</v>
      </c>
      <c r="AB365">
        <v>2</v>
      </c>
      <c r="AD365">
        <v>0</v>
      </c>
      <c r="AE365">
        <v>1</v>
      </c>
      <c r="AF365" t="s">
        <v>133</v>
      </c>
      <c r="AG365" t="s">
        <v>139</v>
      </c>
      <c r="AI365" s="4">
        <v>17</v>
      </c>
      <c r="AJ365" s="4">
        <v>31</v>
      </c>
      <c r="AK365" s="4">
        <v>0</v>
      </c>
      <c r="AL365" s="4">
        <v>48</v>
      </c>
      <c r="AM365" t="s">
        <v>567</v>
      </c>
    </row>
    <row r="366" spans="1:39" x14ac:dyDescent="0.3">
      <c r="A366" t="s">
        <v>127</v>
      </c>
      <c r="B366">
        <v>61</v>
      </c>
      <c r="C366">
        <v>8719</v>
      </c>
      <c r="D366" t="s">
        <v>161</v>
      </c>
      <c r="E366">
        <v>2</v>
      </c>
      <c r="F366" t="s">
        <v>391</v>
      </c>
      <c r="G366" t="s">
        <v>130</v>
      </c>
      <c r="H366" t="s">
        <v>131</v>
      </c>
      <c r="I366">
        <v>5</v>
      </c>
      <c r="J366">
        <v>7</v>
      </c>
      <c r="K366">
        <v>6</v>
      </c>
      <c r="L366" t="s">
        <v>165</v>
      </c>
      <c r="M366" t="s">
        <v>180</v>
      </c>
      <c r="N366" t="s">
        <v>133</v>
      </c>
      <c r="O366">
        <v>0</v>
      </c>
      <c r="P366">
        <v>0</v>
      </c>
      <c r="Q366" t="s">
        <v>134</v>
      </c>
      <c r="R366" t="s">
        <v>135</v>
      </c>
      <c r="T366" t="s">
        <v>191</v>
      </c>
      <c r="U366" t="s">
        <v>137</v>
      </c>
      <c r="V366" t="s">
        <v>138</v>
      </c>
      <c r="W366" t="s">
        <v>139</v>
      </c>
      <c r="X366" t="s">
        <v>133</v>
      </c>
      <c r="Z366">
        <v>1</v>
      </c>
      <c r="AA366">
        <v>1</v>
      </c>
      <c r="AB366">
        <v>2</v>
      </c>
      <c r="AC366" t="s">
        <v>182</v>
      </c>
      <c r="AD366">
        <v>0</v>
      </c>
      <c r="AE366">
        <v>0</v>
      </c>
      <c r="AF366" t="s">
        <v>133</v>
      </c>
      <c r="AG366" t="s">
        <v>139</v>
      </c>
      <c r="AH366" t="s">
        <v>568</v>
      </c>
      <c r="AI366" s="4">
        <v>7</v>
      </c>
      <c r="AJ366" s="4">
        <v>0</v>
      </c>
      <c r="AK366" s="4">
        <v>0</v>
      </c>
      <c r="AL366" s="4">
        <v>7</v>
      </c>
      <c r="AM366" t="s">
        <v>569</v>
      </c>
    </row>
    <row r="367" spans="1:39" x14ac:dyDescent="0.3">
      <c r="A367" t="s">
        <v>127</v>
      </c>
      <c r="B367">
        <v>61</v>
      </c>
      <c r="C367">
        <v>4423</v>
      </c>
      <c r="D367" t="s">
        <v>161</v>
      </c>
      <c r="E367">
        <v>3</v>
      </c>
      <c r="F367" t="s">
        <v>392</v>
      </c>
      <c r="G367" t="s">
        <v>130</v>
      </c>
      <c r="H367" t="s">
        <v>144</v>
      </c>
      <c r="I367">
        <v>8</v>
      </c>
      <c r="J367">
        <v>1</v>
      </c>
      <c r="K367">
        <v>0</v>
      </c>
      <c r="L367" t="s">
        <v>132</v>
      </c>
      <c r="N367" t="s">
        <v>133</v>
      </c>
      <c r="O367">
        <v>48</v>
      </c>
      <c r="P367">
        <v>12</v>
      </c>
      <c r="Q367" t="s">
        <v>145</v>
      </c>
      <c r="R367" t="s">
        <v>155</v>
      </c>
      <c r="S367" t="s">
        <v>147</v>
      </c>
      <c r="T367" t="s">
        <v>148</v>
      </c>
      <c r="U367" t="s">
        <v>158</v>
      </c>
      <c r="V367" t="s">
        <v>133</v>
      </c>
      <c r="W367" t="s">
        <v>170</v>
      </c>
      <c r="X367" t="s">
        <v>133</v>
      </c>
      <c r="Z367">
        <v>4</v>
      </c>
      <c r="AA367">
        <v>3</v>
      </c>
      <c r="AB367">
        <v>3</v>
      </c>
      <c r="AD367">
        <v>0</v>
      </c>
      <c r="AE367">
        <v>1</v>
      </c>
      <c r="AF367" t="s">
        <v>133</v>
      </c>
      <c r="AG367" t="s">
        <v>139</v>
      </c>
      <c r="AH367" t="s">
        <v>215</v>
      </c>
      <c r="AI367" s="4">
        <v>1</v>
      </c>
      <c r="AJ367" s="4">
        <v>48</v>
      </c>
      <c r="AK367" s="4">
        <v>0</v>
      </c>
      <c r="AL367" s="4">
        <v>49</v>
      </c>
      <c r="AM367" t="s">
        <v>570</v>
      </c>
    </row>
    <row r="368" spans="1:39" x14ac:dyDescent="0.3">
      <c r="A368" t="s">
        <v>127</v>
      </c>
      <c r="B368">
        <v>62</v>
      </c>
      <c r="C368">
        <v>1756</v>
      </c>
      <c r="D368" t="s">
        <v>128</v>
      </c>
      <c r="E368">
        <v>1</v>
      </c>
      <c r="F368" t="s">
        <v>383</v>
      </c>
      <c r="G368" t="s">
        <v>130</v>
      </c>
      <c r="H368" t="s">
        <v>131</v>
      </c>
      <c r="I368">
        <v>8</v>
      </c>
      <c r="J368">
        <v>26</v>
      </c>
      <c r="K368">
        <v>6</v>
      </c>
      <c r="L368" t="s">
        <v>174</v>
      </c>
      <c r="M368" t="s">
        <v>166</v>
      </c>
      <c r="N368" t="s">
        <v>133</v>
      </c>
      <c r="O368">
        <v>196</v>
      </c>
      <c r="P368">
        <v>45</v>
      </c>
      <c r="Q368" t="s">
        <v>145</v>
      </c>
      <c r="R368" t="s">
        <v>146</v>
      </c>
      <c r="S368" t="s">
        <v>147</v>
      </c>
      <c r="T368" t="s">
        <v>148</v>
      </c>
      <c r="U368" t="s">
        <v>149</v>
      </c>
      <c r="V368" t="s">
        <v>133</v>
      </c>
      <c r="W368" t="s">
        <v>139</v>
      </c>
      <c r="X368" t="s">
        <v>133</v>
      </c>
      <c r="Z368">
        <v>5</v>
      </c>
      <c r="AA368">
        <v>5</v>
      </c>
      <c r="AB368">
        <v>4</v>
      </c>
      <c r="AD368">
        <v>0</v>
      </c>
      <c r="AE368">
        <v>0</v>
      </c>
      <c r="AF368" t="s">
        <v>133</v>
      </c>
      <c r="AG368" t="s">
        <v>130</v>
      </c>
      <c r="AH368" t="s">
        <v>319</v>
      </c>
      <c r="AI368" s="4">
        <v>26</v>
      </c>
      <c r="AJ368" s="4">
        <v>196</v>
      </c>
      <c r="AK368" s="4">
        <v>0</v>
      </c>
      <c r="AL368" s="4">
        <v>222</v>
      </c>
      <c r="AM368" t="s">
        <v>571</v>
      </c>
    </row>
    <row r="369" spans="1:39" x14ac:dyDescent="0.3">
      <c r="A369" t="s">
        <v>127</v>
      </c>
      <c r="B369">
        <v>62</v>
      </c>
      <c r="C369">
        <v>7472</v>
      </c>
      <c r="D369" t="s">
        <v>128</v>
      </c>
      <c r="E369">
        <v>2</v>
      </c>
      <c r="F369" t="s">
        <v>385</v>
      </c>
      <c r="G369" t="s">
        <v>130</v>
      </c>
      <c r="H369" t="s">
        <v>131</v>
      </c>
      <c r="I369">
        <v>8</v>
      </c>
      <c r="J369">
        <v>9</v>
      </c>
      <c r="K369">
        <v>8</v>
      </c>
      <c r="L369" t="s">
        <v>165</v>
      </c>
      <c r="M369" t="s">
        <v>180</v>
      </c>
      <c r="N369" t="s">
        <v>133</v>
      </c>
      <c r="O369">
        <v>4</v>
      </c>
      <c r="P369">
        <v>4</v>
      </c>
      <c r="Q369" t="s">
        <v>134</v>
      </c>
      <c r="R369" t="s">
        <v>135</v>
      </c>
      <c r="T369" t="s">
        <v>203</v>
      </c>
      <c r="U369" t="s">
        <v>137</v>
      </c>
      <c r="V369" t="s">
        <v>133</v>
      </c>
      <c r="W369" t="s">
        <v>139</v>
      </c>
      <c r="X369" t="s">
        <v>133</v>
      </c>
      <c r="Z369">
        <v>1</v>
      </c>
      <c r="AA369">
        <v>1</v>
      </c>
      <c r="AB369">
        <v>2</v>
      </c>
      <c r="AD369">
        <v>0</v>
      </c>
      <c r="AE369">
        <v>0</v>
      </c>
      <c r="AF369" t="s">
        <v>133</v>
      </c>
      <c r="AG369" t="s">
        <v>140</v>
      </c>
      <c r="AH369" t="s">
        <v>185</v>
      </c>
      <c r="AI369" s="4">
        <v>9</v>
      </c>
      <c r="AJ369" s="4">
        <v>4</v>
      </c>
      <c r="AK369" s="4">
        <v>0</v>
      </c>
      <c r="AL369" s="4">
        <v>13</v>
      </c>
      <c r="AM369" t="s">
        <v>572</v>
      </c>
    </row>
    <row r="370" spans="1:39" x14ac:dyDescent="0.3">
      <c r="A370" t="s">
        <v>127</v>
      </c>
      <c r="B370">
        <v>62</v>
      </c>
      <c r="C370">
        <v>4213</v>
      </c>
      <c r="D370" t="s">
        <v>128</v>
      </c>
      <c r="E370">
        <v>3</v>
      </c>
      <c r="F370" t="s">
        <v>387</v>
      </c>
      <c r="G370" t="s">
        <v>130</v>
      </c>
      <c r="H370" t="s">
        <v>153</v>
      </c>
      <c r="I370">
        <v>8</v>
      </c>
      <c r="J370">
        <v>6</v>
      </c>
      <c r="K370">
        <v>2</v>
      </c>
      <c r="L370" t="s">
        <v>132</v>
      </c>
      <c r="N370" t="s">
        <v>133</v>
      </c>
      <c r="O370">
        <v>68</v>
      </c>
      <c r="P370">
        <v>28</v>
      </c>
      <c r="Q370" t="s">
        <v>145</v>
      </c>
      <c r="R370" t="s">
        <v>155</v>
      </c>
      <c r="S370" t="s">
        <v>178</v>
      </c>
      <c r="T370" t="s">
        <v>157</v>
      </c>
      <c r="U370" t="s">
        <v>158</v>
      </c>
      <c r="V370" t="s">
        <v>133</v>
      </c>
      <c r="W370" t="s">
        <v>139</v>
      </c>
      <c r="X370" t="s">
        <v>133</v>
      </c>
      <c r="Z370">
        <v>4</v>
      </c>
      <c r="AA370">
        <v>3</v>
      </c>
      <c r="AB370">
        <v>4</v>
      </c>
      <c r="AD370">
        <v>0</v>
      </c>
      <c r="AE370">
        <v>0</v>
      </c>
      <c r="AF370" t="s">
        <v>133</v>
      </c>
      <c r="AG370" t="s">
        <v>130</v>
      </c>
      <c r="AH370" t="s">
        <v>175</v>
      </c>
      <c r="AI370" s="4">
        <v>6</v>
      </c>
      <c r="AJ370" s="4">
        <v>68</v>
      </c>
      <c r="AK370" s="4">
        <v>0</v>
      </c>
      <c r="AL370" s="4">
        <v>74</v>
      </c>
      <c r="AM370" t="s">
        <v>573</v>
      </c>
    </row>
    <row r="371" spans="1:39" x14ac:dyDescent="0.3">
      <c r="A371" t="s">
        <v>127</v>
      </c>
      <c r="B371">
        <v>62</v>
      </c>
      <c r="C371">
        <v>4787</v>
      </c>
      <c r="D371" t="s">
        <v>161</v>
      </c>
      <c r="E371">
        <v>1</v>
      </c>
      <c r="F371" t="s">
        <v>389</v>
      </c>
      <c r="G371" t="s">
        <v>130</v>
      </c>
      <c r="H371" t="s">
        <v>153</v>
      </c>
      <c r="I371">
        <v>7</v>
      </c>
      <c r="J371">
        <v>1</v>
      </c>
      <c r="K371">
        <v>0</v>
      </c>
      <c r="L371" t="s">
        <v>132</v>
      </c>
      <c r="N371" t="s">
        <v>133</v>
      </c>
      <c r="O371">
        <v>40</v>
      </c>
      <c r="P371">
        <v>20</v>
      </c>
      <c r="Q371" t="s">
        <v>154</v>
      </c>
      <c r="R371" t="s">
        <v>155</v>
      </c>
      <c r="S371" t="s">
        <v>156</v>
      </c>
      <c r="T371" t="s">
        <v>157</v>
      </c>
      <c r="U371" t="s">
        <v>187</v>
      </c>
      <c r="V371" t="s">
        <v>133</v>
      </c>
      <c r="W371" t="s">
        <v>139</v>
      </c>
      <c r="X371" t="s">
        <v>133</v>
      </c>
      <c r="Z371">
        <v>4</v>
      </c>
      <c r="AA371">
        <v>4</v>
      </c>
      <c r="AB371">
        <v>3</v>
      </c>
      <c r="AD371">
        <v>0</v>
      </c>
      <c r="AE371">
        <v>0</v>
      </c>
      <c r="AF371" t="s">
        <v>133</v>
      </c>
      <c r="AG371" t="s">
        <v>140</v>
      </c>
      <c r="AI371" s="4">
        <v>1</v>
      </c>
      <c r="AJ371" s="4">
        <v>40</v>
      </c>
      <c r="AK371" s="4">
        <v>0</v>
      </c>
      <c r="AL371" s="4">
        <v>41</v>
      </c>
      <c r="AM371" t="s">
        <v>574</v>
      </c>
    </row>
    <row r="372" spans="1:39" x14ac:dyDescent="0.3">
      <c r="A372" t="s">
        <v>127</v>
      </c>
      <c r="B372">
        <v>62</v>
      </c>
      <c r="C372">
        <v>1625</v>
      </c>
      <c r="D372" t="s">
        <v>161</v>
      </c>
      <c r="E372">
        <v>2</v>
      </c>
      <c r="F372" t="s">
        <v>391</v>
      </c>
      <c r="G372" t="s">
        <v>130</v>
      </c>
      <c r="H372" t="s">
        <v>153</v>
      </c>
      <c r="I372">
        <v>8</v>
      </c>
      <c r="J372">
        <v>27</v>
      </c>
      <c r="K372">
        <v>7</v>
      </c>
      <c r="L372" t="s">
        <v>165</v>
      </c>
      <c r="M372" t="s">
        <v>180</v>
      </c>
      <c r="N372" t="s">
        <v>133</v>
      </c>
      <c r="O372">
        <v>39</v>
      </c>
      <c r="P372">
        <v>10</v>
      </c>
      <c r="Q372" t="s">
        <v>145</v>
      </c>
      <c r="R372" t="s">
        <v>146</v>
      </c>
      <c r="S372" t="s">
        <v>147</v>
      </c>
      <c r="T372" t="s">
        <v>148</v>
      </c>
      <c r="U372" t="s">
        <v>149</v>
      </c>
      <c r="V372" t="s">
        <v>133</v>
      </c>
      <c r="W372" t="s">
        <v>139</v>
      </c>
      <c r="X372" t="s">
        <v>133</v>
      </c>
      <c r="Z372">
        <v>3</v>
      </c>
      <c r="AA372">
        <v>5</v>
      </c>
      <c r="AB372">
        <v>4</v>
      </c>
      <c r="AC372" t="s">
        <v>258</v>
      </c>
      <c r="AD372">
        <v>0</v>
      </c>
      <c r="AE372">
        <v>0</v>
      </c>
      <c r="AF372" t="s">
        <v>133</v>
      </c>
      <c r="AG372" t="s">
        <v>130</v>
      </c>
      <c r="AH372" t="s">
        <v>340</v>
      </c>
      <c r="AI372" s="4">
        <v>27</v>
      </c>
      <c r="AJ372" s="4">
        <v>39</v>
      </c>
      <c r="AK372" s="4">
        <v>0</v>
      </c>
      <c r="AL372" s="4">
        <v>66</v>
      </c>
      <c r="AM372" t="s">
        <v>575</v>
      </c>
    </row>
    <row r="373" spans="1:39" x14ac:dyDescent="0.3">
      <c r="A373" t="s">
        <v>127</v>
      </c>
      <c r="B373">
        <v>62</v>
      </c>
      <c r="C373">
        <v>648</v>
      </c>
      <c r="D373" t="s">
        <v>161</v>
      </c>
      <c r="E373">
        <v>3</v>
      </c>
      <c r="F373" t="s">
        <v>392</v>
      </c>
      <c r="G373" t="s">
        <v>130</v>
      </c>
      <c r="H373" t="s">
        <v>131</v>
      </c>
      <c r="I373">
        <v>8</v>
      </c>
      <c r="J373">
        <v>7</v>
      </c>
      <c r="K373">
        <v>2</v>
      </c>
      <c r="L373" t="s">
        <v>132</v>
      </c>
      <c r="N373" t="s">
        <v>133</v>
      </c>
      <c r="O373">
        <v>27</v>
      </c>
      <c r="P373">
        <v>9</v>
      </c>
      <c r="Q373" t="s">
        <v>154</v>
      </c>
      <c r="R373" t="s">
        <v>135</v>
      </c>
      <c r="T373" t="s">
        <v>191</v>
      </c>
      <c r="U373" t="s">
        <v>187</v>
      </c>
      <c r="V373" t="s">
        <v>138</v>
      </c>
      <c r="W373" t="s">
        <v>139</v>
      </c>
      <c r="X373" t="s">
        <v>133</v>
      </c>
      <c r="Z373">
        <v>1</v>
      </c>
      <c r="AA373">
        <v>3</v>
      </c>
      <c r="AB373">
        <v>3</v>
      </c>
      <c r="AD373">
        <v>0</v>
      </c>
      <c r="AE373">
        <v>0</v>
      </c>
      <c r="AF373" t="s">
        <v>133</v>
      </c>
      <c r="AG373" t="s">
        <v>139</v>
      </c>
      <c r="AH373" t="s">
        <v>201</v>
      </c>
      <c r="AI373" s="4">
        <v>7</v>
      </c>
      <c r="AJ373" s="4">
        <v>27</v>
      </c>
      <c r="AK373" s="4">
        <v>0</v>
      </c>
      <c r="AL373" s="4">
        <v>34</v>
      </c>
      <c r="AM373" t="s">
        <v>576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EDA31-ABC4-4299-A9B3-ED1395476863}">
  <dimension ref="A1:AC304"/>
  <sheetViews>
    <sheetView tabSelected="1"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 activeCell="A5" sqref="A5"/>
    </sheetView>
  </sheetViews>
  <sheetFormatPr defaultRowHeight="12.5" x14ac:dyDescent="0.25"/>
  <cols>
    <col min="1" max="18" width="11.6328125" customWidth="1"/>
    <col min="19" max="19" width="3.6328125" customWidth="1"/>
    <col min="20" max="29" width="11.6328125" customWidth="1"/>
  </cols>
  <sheetData>
    <row r="1" spans="1:29" ht="28" customHeight="1" x14ac:dyDescent="0.4">
      <c r="A1" s="6" t="s">
        <v>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29" ht="13" x14ac:dyDescent="0.3">
      <c r="A2" s="2" t="s">
        <v>40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29" ht="13" x14ac:dyDescent="0.3">
      <c r="T3" s="12" t="s">
        <v>58</v>
      </c>
    </row>
    <row r="4" spans="1:29" ht="30" customHeight="1" x14ac:dyDescent="0.25">
      <c r="A4" s="7" t="s">
        <v>2</v>
      </c>
      <c r="B4" s="7" t="s">
        <v>41</v>
      </c>
      <c r="C4" s="7" t="s">
        <v>42</v>
      </c>
      <c r="D4" s="7" t="s">
        <v>43</v>
      </c>
      <c r="E4" s="7" t="s">
        <v>44</v>
      </c>
      <c r="F4" s="7" t="s">
        <v>45</v>
      </c>
      <c r="G4" s="7" t="s">
        <v>46</v>
      </c>
      <c r="H4" s="7" t="s">
        <v>47</v>
      </c>
      <c r="I4" s="7" t="s">
        <v>48</v>
      </c>
      <c r="J4" s="7" t="s">
        <v>49</v>
      </c>
      <c r="K4" s="7" t="s">
        <v>50</v>
      </c>
      <c r="L4" s="7" t="s">
        <v>51</v>
      </c>
      <c r="M4" s="7" t="s">
        <v>52</v>
      </c>
      <c r="N4" s="7" t="s">
        <v>53</v>
      </c>
      <c r="O4" s="7" t="s">
        <v>54</v>
      </c>
      <c r="P4" s="7" t="s">
        <v>55</v>
      </c>
      <c r="Q4" s="7" t="s">
        <v>56</v>
      </c>
      <c r="R4" s="7" t="s">
        <v>57</v>
      </c>
      <c r="T4" s="3" t="s">
        <v>57</v>
      </c>
      <c r="U4" s="3" t="s">
        <v>2</v>
      </c>
      <c r="V4" s="3" t="s">
        <v>45</v>
      </c>
      <c r="W4" s="3" t="s">
        <v>42</v>
      </c>
      <c r="X4" s="3" t="s">
        <v>43</v>
      </c>
      <c r="Y4" s="3" t="s">
        <v>44</v>
      </c>
      <c r="Z4" s="3" t="s">
        <v>49</v>
      </c>
      <c r="AA4" s="3" t="s">
        <v>47</v>
      </c>
      <c r="AB4" s="3" t="s">
        <v>53</v>
      </c>
      <c r="AC4" s="3" t="s">
        <v>55</v>
      </c>
    </row>
    <row r="5" spans="1:29" ht="13" x14ac:dyDescent="0.3">
      <c r="A5" s="8" cm="1">
        <f t="array" ref="A5:A35">IFERROR(_xlfn._xlws.SORT(_xlfn.UNIQUE(_xlfn._xlws.FILTER(Scans[Team '#],Scans[Team '#]&lt;&gt;""))),"")</f>
        <v>648</v>
      </c>
      <c r="B5" s="9" cm="1">
        <f t="array" ref="B5:B35">IF(_xlfn.ANCHORARRAY(A5)="","",COUNTIFS(Scans[Team '#],_xlfn.ANCHORARRAY(A5)))</f>
        <v>12</v>
      </c>
      <c r="C5" s="10" cm="1">
        <f t="array" ref="C5:C35">IF(_xlfn.ANCHORARRAY(A5)="","",AVERAGEIFS(Scans[Auto pts],Scans[Team '#],_xlfn.ANCHORARRAY(A5)))</f>
        <v>8.1666666666666661</v>
      </c>
      <c r="D5" s="10" cm="1">
        <f t="array" ref="D5:D35">IF(_xlfn.ANCHORARRAY(A5)="","",AVERAGEIFS(Scans[Teleop fuel pts],Scans[Team '#],_xlfn.ANCHORARRAY(A5)))</f>
        <v>14</v>
      </c>
      <c r="E5" s="10" cm="1">
        <f t="array" ref="E5:E35">IF(_xlfn.ANCHORARRAY(A5)="","",AVERAGEIFS(Scans[Climb pts],Scans[Team '#],_xlfn.ANCHORARRAY(A5)))</f>
        <v>0</v>
      </c>
      <c r="F5" s="10" cm="1">
        <f t="array" ref="F5:F35">IF(_xlfn.ANCHORARRAY(A5)="","",AVERAGEIFS(Scans[Total pts],Scans[Team '#],_xlfn.ANCHORARRAY(A5)))</f>
        <v>22.166666666666668</v>
      </c>
      <c r="G5" s="9" cm="1">
        <f t="array" ref="G5:G35">IF(_xlfn.ANCHORARRAY(A5)="","",_xlfn.MAXIFS(Scans[Total pts],Scans[Team '#],_xlfn.ANCHORARRAY(A5)))</f>
        <v>37</v>
      </c>
      <c r="H5" s="11" cm="1">
        <f t="array" ref="H5:H35">IF(_xlfn.ANCHORARRAY(A5)="","",IFERROR((SUMIFS(Scans[Auto fuel scored],Scans[Team '#],_xlfn.ANCHORARRAY(A5))+SUMIFS(Scans[Teleop fuel scored],Scans[Team '#],_xlfn.ANCHORARRAY(A5)))/(SUMIFS(Scans[Auto fuel scored],Scans[Team '#],_xlfn.ANCHORARRAY(A5))+SUMIFS(Scans[Teleop fuel scored],Scans[Team '#],_xlfn.ANCHORARRAY(A5))+SUMIFS(Scans[Auto fuel missed],Scans[Team '#],_xlfn.ANCHORARRAY(A5))+SUMIFS(Scans[Teleop fuel missed],Scans[Team '#],_xlfn.ANCHORARRAY(A5))),""))</f>
        <v>0.67341772151898738</v>
      </c>
      <c r="I5" s="11" cm="1">
        <f t="array" ref="I5:I35">IF(_xlfn.ANCHORARRAY(A5)="","",COUNTIFS(Scans[Team '#],_xlfn.ANCHORARRAY(A5),Scans[Tower climb in auto],"Level 1")/_xlfn.ANCHORARRAY(B5))</f>
        <v>0</v>
      </c>
      <c r="J5" s="11" cm="1">
        <f t="array" ref="J5:J35">IF(_xlfn.ANCHORARRAY(A5)="","",COUNTIFS(Scans[Team '#],_xlfn.ANCHORARRAY(A5),Scans[Tower climb],"Level*")/_xlfn.ANCHORARRAY(B5))</f>
        <v>0</v>
      </c>
      <c r="K5" s="9" cm="1">
        <f t="array" ref="K5:K35">IF(_xlfn.ANCHORARRAY(A5)="","",COUNTIFS(Scans[Team '#],_xlfn.ANCHORARRAY(A5),Scans[Tower climb],"Level 3"))</f>
        <v>0</v>
      </c>
      <c r="L5" s="10" cm="1">
        <f t="array" ref="L5:L35">IF(_xlfn.ANCHORARRAY(A5)="","",IFERROR(AVERAGEIFS(Scans[Driver skill],Scans[Team '#],_xlfn.ANCHORARRAY(A5)),""))</f>
        <v>2</v>
      </c>
      <c r="M5" s="9" cm="1">
        <f t="array" ref="M5:M35">IF(_xlfn.ANCHORARRAY(A5)="","",COUNTIFS(Scans[Team '#],_xlfn.ANCHORARRAY(A5),Scans[Played defense],"Some")+COUNTIFS(Scans[Team '#],_xlfn.ANCHORARRAY(A5),Scans[Played defense],"A lot"))</f>
        <v>12</v>
      </c>
      <c r="N5" s="9" cm="1">
        <f t="array" ref="N5:N35">IF(_xlfn.ANCHORARRAY(A5)="","",COUNTIFS(Scans[Team '#],_xlfn.ANCHORARRAY(A5),Scans[Problems],"&lt;&gt;"))</f>
        <v>2</v>
      </c>
      <c r="O5" s="9" cm="1">
        <f t="array" ref="O5:O35">IF(_xlfn.ANCHORARRAY(A5)="","",SUMIFS(Scans[Minor fouls],Scans[Team '#],_xlfn.ANCHORARRAY(A5))+SUMIFS(Scans[Major fouls],Scans[Team '#],_xlfn.ANCHORARRAY(A5)))</f>
        <v>1</v>
      </c>
      <c r="P5" s="9" cm="1">
        <f t="array" ref="P5:P35">IF(_xlfn.ANCHORARRAY(A5)="","",COUNTIFS(Scans[Team '#],_xlfn.ANCHORARRAY(A5),Scans[Pick?],"Yes"))</f>
        <v>0</v>
      </c>
      <c r="Q5" s="9" cm="1">
        <f t="array" ref="Q5:Q35">IF(_xlfn.ANCHORARRAY(A5)="","",COUNTIFS(Scans[Team '#],_xlfn.ANCHORARRAY(A5),Scans[Robot on field?],"No show"))</f>
        <v>0</v>
      </c>
      <c r="R5" s="9" cm="1">
        <f t="array" ref="R5:R35">IF(_xlfn.ANCHORARRAY(A5)="","",_xlfn.RANK.EQ(_xlfn.ANCHORARRAY(F5),_xlfn.ANCHORARRAY(F5)))</f>
        <v>25</v>
      </c>
      <c r="T5" s="13" cm="1">
        <f t="array" ref="T5:T35">IF(A5="","",_xlfn.SEQUENCE(ROWS(_xlfn.ANCHORARRAY(A5))))</f>
        <v>1</v>
      </c>
      <c r="U5" s="14" cm="1">
        <f t="array" ref="U5:AC35">IF(A5="","",_xlfn.SORTBY(_xlfn.HSTACK(_xlfn.ANCHORARRAY(A5),_xlfn.ANCHORARRAY(F5),_xlfn.ANCHORARRAY(C5),_xlfn.ANCHORARRAY(D5),_xlfn.ANCHORARRAY(E5),_xlfn.ANCHORARRAY(J5),_xlfn.ANCHORARRAY(H5),_xlfn.ANCHORARRAY(N5),_xlfn.ANCHORARRAY(P5)),_xlfn.ANCHORARRAY(F5),-1))</f>
        <v>2481</v>
      </c>
      <c r="V5" s="10">
        <v>275.91666666666669</v>
      </c>
      <c r="W5" s="10">
        <v>75.416666666666671</v>
      </c>
      <c r="X5" s="10">
        <v>200.5</v>
      </c>
      <c r="Y5" s="10">
        <v>0</v>
      </c>
      <c r="Z5" s="11">
        <v>0</v>
      </c>
      <c r="AA5" s="11">
        <v>0.79572218216774815</v>
      </c>
      <c r="AB5" s="13">
        <v>1</v>
      </c>
      <c r="AC5" s="13">
        <v>12</v>
      </c>
    </row>
    <row r="6" spans="1:29" ht="13" x14ac:dyDescent="0.3">
      <c r="A6" s="8">
        <v>1625</v>
      </c>
      <c r="B6" s="9">
        <v>12</v>
      </c>
      <c r="C6" s="10">
        <v>26.416666666666668</v>
      </c>
      <c r="D6" s="10">
        <v>70.583333333333329</v>
      </c>
      <c r="E6" s="10">
        <v>0</v>
      </c>
      <c r="F6" s="10">
        <v>97</v>
      </c>
      <c r="G6" s="9">
        <v>137</v>
      </c>
      <c r="H6" s="11">
        <v>0.76679841897233203</v>
      </c>
      <c r="I6" s="11">
        <v>0</v>
      </c>
      <c r="J6" s="11">
        <v>0</v>
      </c>
      <c r="K6" s="9">
        <v>0</v>
      </c>
      <c r="L6" s="10">
        <v>4.083333333333333</v>
      </c>
      <c r="M6" s="9">
        <v>1</v>
      </c>
      <c r="N6" s="9">
        <v>1</v>
      </c>
      <c r="O6" s="9">
        <v>3</v>
      </c>
      <c r="P6" s="9">
        <v>12</v>
      </c>
      <c r="Q6" s="9">
        <v>0</v>
      </c>
      <c r="R6" s="9">
        <v>5</v>
      </c>
      <c r="T6" s="13">
        <v>2</v>
      </c>
      <c r="U6" s="14">
        <v>4143</v>
      </c>
      <c r="V6" s="10">
        <v>166.75</v>
      </c>
      <c r="W6" s="10">
        <v>35.666666666666664</v>
      </c>
      <c r="X6" s="10">
        <v>131.08333333333334</v>
      </c>
      <c r="Y6" s="10">
        <v>0</v>
      </c>
      <c r="Z6" s="11">
        <v>0</v>
      </c>
      <c r="AA6" s="11">
        <v>0.87341772151898733</v>
      </c>
      <c r="AB6" s="13">
        <v>3</v>
      </c>
      <c r="AC6" s="13">
        <v>12</v>
      </c>
    </row>
    <row r="7" spans="1:29" ht="13" x14ac:dyDescent="0.3">
      <c r="A7" s="8">
        <v>1736</v>
      </c>
      <c r="B7" s="9">
        <v>12</v>
      </c>
      <c r="C7" s="10">
        <v>3.8333333333333335</v>
      </c>
      <c r="D7" s="10">
        <v>20.916666666666668</v>
      </c>
      <c r="E7" s="10">
        <v>0</v>
      </c>
      <c r="F7" s="10">
        <v>24.75</v>
      </c>
      <c r="G7" s="9">
        <v>40</v>
      </c>
      <c r="H7" s="11">
        <v>0.6659192825112108</v>
      </c>
      <c r="I7" s="11">
        <v>0</v>
      </c>
      <c r="J7" s="11">
        <v>0</v>
      </c>
      <c r="K7" s="9">
        <v>0</v>
      </c>
      <c r="L7" s="10">
        <v>2.3333333333333335</v>
      </c>
      <c r="M7" s="9">
        <v>2</v>
      </c>
      <c r="N7" s="9">
        <v>0</v>
      </c>
      <c r="O7" s="9">
        <v>5</v>
      </c>
      <c r="P7" s="9">
        <v>0</v>
      </c>
      <c r="Q7" s="9">
        <v>0</v>
      </c>
      <c r="R7" s="9">
        <v>22</v>
      </c>
      <c r="T7" s="13">
        <v>3</v>
      </c>
      <c r="U7" s="14">
        <v>1756</v>
      </c>
      <c r="V7" s="10">
        <v>163.33333333333334</v>
      </c>
      <c r="W7" s="10">
        <v>19.166666666666668</v>
      </c>
      <c r="X7" s="10">
        <v>144.16666666666666</v>
      </c>
      <c r="Y7" s="10">
        <v>0</v>
      </c>
      <c r="Z7" s="11">
        <v>0</v>
      </c>
      <c r="AA7" s="11">
        <v>0.83333333333333337</v>
      </c>
      <c r="AB7" s="13">
        <v>1</v>
      </c>
      <c r="AC7" s="13">
        <v>12</v>
      </c>
    </row>
    <row r="8" spans="1:29" ht="13" x14ac:dyDescent="0.3">
      <c r="A8" s="8">
        <v>1756</v>
      </c>
      <c r="B8" s="9">
        <v>12</v>
      </c>
      <c r="C8" s="10">
        <v>19.166666666666668</v>
      </c>
      <c r="D8" s="10">
        <v>144.16666666666666</v>
      </c>
      <c r="E8" s="10">
        <v>0</v>
      </c>
      <c r="F8" s="10">
        <v>163.33333333333334</v>
      </c>
      <c r="G8" s="9">
        <v>261</v>
      </c>
      <c r="H8" s="11">
        <v>0.83333333333333337</v>
      </c>
      <c r="I8" s="11">
        <v>0</v>
      </c>
      <c r="J8" s="11">
        <v>0</v>
      </c>
      <c r="K8" s="9">
        <v>0</v>
      </c>
      <c r="L8" s="10">
        <v>4.333333333333333</v>
      </c>
      <c r="M8" s="9">
        <v>1</v>
      </c>
      <c r="N8" s="9">
        <v>1</v>
      </c>
      <c r="O8" s="9">
        <v>4</v>
      </c>
      <c r="P8" s="9">
        <v>12</v>
      </c>
      <c r="Q8" s="9">
        <v>0</v>
      </c>
      <c r="R8" s="9">
        <v>3</v>
      </c>
      <c r="T8" s="13">
        <v>4</v>
      </c>
      <c r="U8" s="14">
        <v>2040</v>
      </c>
      <c r="V8" s="10">
        <v>116.08333333333333</v>
      </c>
      <c r="W8" s="10">
        <v>23.416666666666668</v>
      </c>
      <c r="X8" s="10">
        <v>92.666666666666671</v>
      </c>
      <c r="Y8" s="10">
        <v>0</v>
      </c>
      <c r="Z8" s="11">
        <v>0</v>
      </c>
      <c r="AA8" s="11">
        <v>0.78700564971751408</v>
      </c>
      <c r="AB8" s="13">
        <v>1</v>
      </c>
      <c r="AC8" s="13">
        <v>12</v>
      </c>
    </row>
    <row r="9" spans="1:29" ht="13" x14ac:dyDescent="0.3">
      <c r="A9" s="8">
        <v>2022</v>
      </c>
      <c r="B9" s="9">
        <v>12</v>
      </c>
      <c r="C9" s="10">
        <v>3.1666666666666665</v>
      </c>
      <c r="D9" s="10">
        <v>35.666666666666664</v>
      </c>
      <c r="E9" s="10">
        <v>0</v>
      </c>
      <c r="F9" s="10">
        <v>38.833333333333336</v>
      </c>
      <c r="G9" s="9">
        <v>77</v>
      </c>
      <c r="H9" s="11">
        <v>0.85036496350364965</v>
      </c>
      <c r="I9" s="11">
        <v>0</v>
      </c>
      <c r="J9" s="11">
        <v>0</v>
      </c>
      <c r="K9" s="9">
        <v>0</v>
      </c>
      <c r="L9" s="10">
        <v>3</v>
      </c>
      <c r="M9" s="9">
        <v>2</v>
      </c>
      <c r="N9" s="9">
        <v>1</v>
      </c>
      <c r="O9" s="9">
        <v>4</v>
      </c>
      <c r="P9" s="9">
        <v>2</v>
      </c>
      <c r="Q9" s="9">
        <v>0</v>
      </c>
      <c r="R9" s="9">
        <v>17</v>
      </c>
      <c r="T9" s="13">
        <v>5</v>
      </c>
      <c r="U9" s="14">
        <v>1625</v>
      </c>
      <c r="V9" s="10">
        <v>97</v>
      </c>
      <c r="W9" s="10">
        <v>26.416666666666668</v>
      </c>
      <c r="X9" s="10">
        <v>70.583333333333329</v>
      </c>
      <c r="Y9" s="10">
        <v>0</v>
      </c>
      <c r="Z9" s="11">
        <v>0</v>
      </c>
      <c r="AA9" s="11">
        <v>0.76679841897233203</v>
      </c>
      <c r="AB9" s="13">
        <v>1</v>
      </c>
      <c r="AC9" s="13">
        <v>12</v>
      </c>
    </row>
    <row r="10" spans="1:29" ht="13" x14ac:dyDescent="0.3">
      <c r="A10" s="8">
        <v>2039</v>
      </c>
      <c r="B10" s="9">
        <v>12</v>
      </c>
      <c r="C10" s="10">
        <v>1.1666666666666667</v>
      </c>
      <c r="D10" s="10">
        <v>2.4166666666666665</v>
      </c>
      <c r="E10" s="10">
        <v>1.6666666666666667</v>
      </c>
      <c r="F10" s="10">
        <v>5.25</v>
      </c>
      <c r="G10" s="9">
        <v>15</v>
      </c>
      <c r="H10" s="11">
        <v>0.46236559139784944</v>
      </c>
      <c r="I10" s="11">
        <v>0</v>
      </c>
      <c r="J10" s="11">
        <v>0.16666666666666666</v>
      </c>
      <c r="K10" s="9">
        <v>0</v>
      </c>
      <c r="L10" s="10">
        <v>1.5</v>
      </c>
      <c r="M10" s="9">
        <v>12</v>
      </c>
      <c r="N10" s="9">
        <v>0</v>
      </c>
      <c r="O10" s="9">
        <v>5</v>
      </c>
      <c r="P10" s="9">
        <v>0</v>
      </c>
      <c r="Q10" s="9">
        <v>0</v>
      </c>
      <c r="R10" s="9">
        <v>31</v>
      </c>
      <c r="T10" s="13">
        <v>6</v>
      </c>
      <c r="U10" s="14">
        <v>8020</v>
      </c>
      <c r="V10" s="10">
        <v>92</v>
      </c>
      <c r="W10" s="10">
        <v>21.75</v>
      </c>
      <c r="X10" s="10">
        <v>70.25</v>
      </c>
      <c r="Y10" s="10">
        <v>0</v>
      </c>
      <c r="Z10" s="11">
        <v>0</v>
      </c>
      <c r="AA10" s="11">
        <v>0.84532924961715161</v>
      </c>
      <c r="AB10" s="13">
        <v>4</v>
      </c>
      <c r="AC10" s="13">
        <v>12</v>
      </c>
    </row>
    <row r="11" spans="1:29" ht="13" x14ac:dyDescent="0.3">
      <c r="A11" s="8">
        <v>2040</v>
      </c>
      <c r="B11" s="9">
        <v>12</v>
      </c>
      <c r="C11" s="10">
        <v>23.416666666666668</v>
      </c>
      <c r="D11" s="10">
        <v>92.666666666666671</v>
      </c>
      <c r="E11" s="10">
        <v>0</v>
      </c>
      <c r="F11" s="10">
        <v>116.08333333333333</v>
      </c>
      <c r="G11" s="9">
        <v>149</v>
      </c>
      <c r="H11" s="11">
        <v>0.78700564971751408</v>
      </c>
      <c r="I11" s="11">
        <v>0</v>
      </c>
      <c r="J11" s="11">
        <v>0</v>
      </c>
      <c r="K11" s="9">
        <v>0</v>
      </c>
      <c r="L11" s="10">
        <v>4.5</v>
      </c>
      <c r="M11" s="9">
        <v>0</v>
      </c>
      <c r="N11" s="9">
        <v>1</v>
      </c>
      <c r="O11" s="9">
        <v>1</v>
      </c>
      <c r="P11" s="9">
        <v>12</v>
      </c>
      <c r="Q11" s="9">
        <v>0</v>
      </c>
      <c r="R11" s="9">
        <v>4</v>
      </c>
      <c r="T11" s="13">
        <v>7</v>
      </c>
      <c r="U11" s="14">
        <v>2861</v>
      </c>
      <c r="V11" s="10">
        <v>83.083333333333329</v>
      </c>
      <c r="W11" s="10">
        <v>16.25</v>
      </c>
      <c r="X11" s="10">
        <v>66.833333333333329</v>
      </c>
      <c r="Y11" s="10">
        <v>0</v>
      </c>
      <c r="Z11" s="11">
        <v>0</v>
      </c>
      <c r="AA11" s="11">
        <v>0.86545138888888884</v>
      </c>
      <c r="AB11" s="13">
        <v>2</v>
      </c>
      <c r="AC11" s="13">
        <v>12</v>
      </c>
    </row>
    <row r="12" spans="1:29" ht="13" x14ac:dyDescent="0.3">
      <c r="A12" s="8">
        <v>2481</v>
      </c>
      <c r="B12" s="9">
        <v>12</v>
      </c>
      <c r="C12" s="10">
        <v>75.416666666666671</v>
      </c>
      <c r="D12" s="10">
        <v>200.5</v>
      </c>
      <c r="E12" s="10">
        <v>0</v>
      </c>
      <c r="F12" s="10">
        <v>275.91666666666669</v>
      </c>
      <c r="G12" s="9">
        <v>381</v>
      </c>
      <c r="H12" s="11">
        <v>0.79572218216774815</v>
      </c>
      <c r="I12" s="11">
        <v>0</v>
      </c>
      <c r="J12" s="11">
        <v>0</v>
      </c>
      <c r="K12" s="9">
        <v>0</v>
      </c>
      <c r="L12" s="10">
        <v>4.75</v>
      </c>
      <c r="M12" s="9">
        <v>0</v>
      </c>
      <c r="N12" s="9">
        <v>1</v>
      </c>
      <c r="O12" s="9">
        <v>5</v>
      </c>
      <c r="P12" s="9">
        <v>12</v>
      </c>
      <c r="Q12" s="9">
        <v>0</v>
      </c>
      <c r="R12" s="9">
        <v>1</v>
      </c>
      <c r="T12" s="13">
        <v>8</v>
      </c>
      <c r="U12" s="14">
        <v>9082</v>
      </c>
      <c r="V12" s="10">
        <v>76.25</v>
      </c>
      <c r="W12" s="10">
        <v>8.1666666666666661</v>
      </c>
      <c r="X12" s="10">
        <v>68.083333333333329</v>
      </c>
      <c r="Y12" s="10">
        <v>0</v>
      </c>
      <c r="Z12" s="11">
        <v>0</v>
      </c>
      <c r="AA12" s="11">
        <v>0.93462717058222677</v>
      </c>
      <c r="AB12" s="13">
        <v>1</v>
      </c>
      <c r="AC12" s="13">
        <v>12</v>
      </c>
    </row>
    <row r="13" spans="1:29" ht="13" x14ac:dyDescent="0.3">
      <c r="A13" s="8">
        <v>2861</v>
      </c>
      <c r="B13" s="9">
        <v>12</v>
      </c>
      <c r="C13" s="10">
        <v>16.25</v>
      </c>
      <c r="D13" s="10">
        <v>66.833333333333329</v>
      </c>
      <c r="E13" s="10">
        <v>0</v>
      </c>
      <c r="F13" s="10">
        <v>83.083333333333329</v>
      </c>
      <c r="G13" s="9">
        <v>130</v>
      </c>
      <c r="H13" s="11">
        <v>0.86545138888888884</v>
      </c>
      <c r="I13" s="11">
        <v>0</v>
      </c>
      <c r="J13" s="11">
        <v>0</v>
      </c>
      <c r="K13" s="9">
        <v>0</v>
      </c>
      <c r="L13" s="10">
        <v>4.666666666666667</v>
      </c>
      <c r="M13" s="9">
        <v>1</v>
      </c>
      <c r="N13" s="9">
        <v>2</v>
      </c>
      <c r="O13" s="9">
        <v>1</v>
      </c>
      <c r="P13" s="9">
        <v>12</v>
      </c>
      <c r="Q13" s="9">
        <v>0</v>
      </c>
      <c r="R13" s="9">
        <v>7</v>
      </c>
      <c r="T13" s="13">
        <v>9</v>
      </c>
      <c r="U13" s="14">
        <v>6237</v>
      </c>
      <c r="V13" s="10">
        <v>69.833333333333329</v>
      </c>
      <c r="W13" s="10">
        <v>2.4166666666666665</v>
      </c>
      <c r="X13" s="10">
        <v>67.416666666666671</v>
      </c>
      <c r="Y13" s="10">
        <v>0</v>
      </c>
      <c r="Z13" s="11">
        <v>0</v>
      </c>
      <c r="AA13" s="11">
        <v>0.7570009033423668</v>
      </c>
      <c r="AB13" s="13">
        <v>1</v>
      </c>
      <c r="AC13" s="13">
        <v>12</v>
      </c>
    </row>
    <row r="14" spans="1:29" ht="13" x14ac:dyDescent="0.3">
      <c r="A14" s="8">
        <v>3067</v>
      </c>
      <c r="B14" s="9">
        <v>12</v>
      </c>
      <c r="C14" s="10">
        <v>3.0833333333333335</v>
      </c>
      <c r="D14" s="10">
        <v>37.166666666666664</v>
      </c>
      <c r="E14" s="10">
        <v>0</v>
      </c>
      <c r="F14" s="10">
        <v>40.25</v>
      </c>
      <c r="G14" s="9">
        <v>85</v>
      </c>
      <c r="H14" s="11">
        <v>0.86096256684491979</v>
      </c>
      <c r="I14" s="11">
        <v>0</v>
      </c>
      <c r="J14" s="11">
        <v>0</v>
      </c>
      <c r="K14" s="9">
        <v>0</v>
      </c>
      <c r="L14" s="10">
        <v>3.75</v>
      </c>
      <c r="M14" s="9">
        <v>0</v>
      </c>
      <c r="N14" s="9">
        <v>2</v>
      </c>
      <c r="O14" s="9">
        <v>1</v>
      </c>
      <c r="P14" s="9">
        <v>2</v>
      </c>
      <c r="Q14" s="9">
        <v>0</v>
      </c>
      <c r="R14" s="9">
        <v>16</v>
      </c>
      <c r="T14" s="13">
        <v>10</v>
      </c>
      <c r="U14" s="14">
        <v>4096</v>
      </c>
      <c r="V14" s="10">
        <v>65.5</v>
      </c>
      <c r="W14" s="10">
        <v>9.0833333333333339</v>
      </c>
      <c r="X14" s="10">
        <v>56.416666666666664</v>
      </c>
      <c r="Y14" s="10">
        <v>0</v>
      </c>
      <c r="Z14" s="11">
        <v>0</v>
      </c>
      <c r="AA14" s="11">
        <v>0.8571428571428571</v>
      </c>
      <c r="AB14" s="13">
        <v>2</v>
      </c>
      <c r="AC14" s="13">
        <v>2</v>
      </c>
    </row>
    <row r="15" spans="1:29" ht="13" x14ac:dyDescent="0.3">
      <c r="A15" s="8">
        <v>3284</v>
      </c>
      <c r="B15" s="9">
        <v>12</v>
      </c>
      <c r="C15" s="10">
        <v>10.333333333333334</v>
      </c>
      <c r="D15" s="10">
        <v>14.75</v>
      </c>
      <c r="E15" s="10">
        <v>0</v>
      </c>
      <c r="F15" s="10">
        <v>25.083333333333332</v>
      </c>
      <c r="G15" s="9">
        <v>46</v>
      </c>
      <c r="H15" s="11">
        <v>0.66740576496674053</v>
      </c>
      <c r="I15" s="11">
        <v>0</v>
      </c>
      <c r="J15" s="11">
        <v>0</v>
      </c>
      <c r="K15" s="9">
        <v>0</v>
      </c>
      <c r="L15" s="10">
        <v>1.9166666666666667</v>
      </c>
      <c r="M15" s="9">
        <v>12</v>
      </c>
      <c r="N15" s="9">
        <v>0</v>
      </c>
      <c r="O15" s="9">
        <v>3</v>
      </c>
      <c r="P15" s="9">
        <v>0</v>
      </c>
      <c r="Q15" s="9">
        <v>0</v>
      </c>
      <c r="R15" s="9">
        <v>21</v>
      </c>
      <c r="T15" s="13">
        <v>11</v>
      </c>
      <c r="U15" s="14">
        <v>4655</v>
      </c>
      <c r="V15" s="10">
        <v>54.333333333333336</v>
      </c>
      <c r="W15" s="10">
        <v>11.5</v>
      </c>
      <c r="X15" s="10">
        <v>42.833333333333336</v>
      </c>
      <c r="Y15" s="10">
        <v>0</v>
      </c>
      <c r="Z15" s="11">
        <v>0</v>
      </c>
      <c r="AA15" s="11">
        <v>0.73589164785553052</v>
      </c>
      <c r="AB15" s="13">
        <v>3</v>
      </c>
      <c r="AC15" s="13">
        <v>0</v>
      </c>
    </row>
    <row r="16" spans="1:29" ht="13" x14ac:dyDescent="0.3">
      <c r="A16" s="8">
        <v>3488</v>
      </c>
      <c r="B16" s="9">
        <v>12</v>
      </c>
      <c r="C16" s="10">
        <v>0.41666666666666669</v>
      </c>
      <c r="D16" s="10">
        <v>29.25</v>
      </c>
      <c r="E16" s="10">
        <v>0</v>
      </c>
      <c r="F16" s="10">
        <v>29.666666666666668</v>
      </c>
      <c r="G16" s="9">
        <v>42</v>
      </c>
      <c r="H16" s="11">
        <v>0.61379310344827587</v>
      </c>
      <c r="I16" s="11">
        <v>0</v>
      </c>
      <c r="J16" s="11">
        <v>0</v>
      </c>
      <c r="K16" s="9">
        <v>0</v>
      </c>
      <c r="L16" s="10">
        <v>2.5</v>
      </c>
      <c r="M16" s="9">
        <v>1</v>
      </c>
      <c r="N16" s="9">
        <v>0</v>
      </c>
      <c r="O16" s="9">
        <v>2</v>
      </c>
      <c r="P16" s="9">
        <v>0</v>
      </c>
      <c r="Q16" s="9">
        <v>0</v>
      </c>
      <c r="R16" s="9">
        <v>20</v>
      </c>
      <c r="T16" s="13">
        <v>12</v>
      </c>
      <c r="U16" s="14">
        <v>4423</v>
      </c>
      <c r="V16" s="10">
        <v>51.166666666666664</v>
      </c>
      <c r="W16" s="10">
        <v>0.66666666666666663</v>
      </c>
      <c r="X16" s="10">
        <v>45.5</v>
      </c>
      <c r="Y16" s="10">
        <v>5</v>
      </c>
      <c r="Z16" s="11">
        <v>0.5</v>
      </c>
      <c r="AA16" s="11">
        <v>0.7847025495750708</v>
      </c>
      <c r="AB16" s="13">
        <v>3</v>
      </c>
      <c r="AC16" s="13">
        <v>3</v>
      </c>
    </row>
    <row r="17" spans="1:29" ht="13" x14ac:dyDescent="0.3">
      <c r="A17" s="8">
        <v>4096</v>
      </c>
      <c r="B17" s="9">
        <v>12</v>
      </c>
      <c r="C17" s="10">
        <v>9.0833333333333339</v>
      </c>
      <c r="D17" s="10">
        <v>56.416666666666664</v>
      </c>
      <c r="E17" s="10">
        <v>0</v>
      </c>
      <c r="F17" s="10">
        <v>65.5</v>
      </c>
      <c r="G17" s="9">
        <v>117</v>
      </c>
      <c r="H17" s="11">
        <v>0.8571428571428571</v>
      </c>
      <c r="I17" s="11">
        <v>0</v>
      </c>
      <c r="J17" s="11">
        <v>0</v>
      </c>
      <c r="K17" s="9">
        <v>0</v>
      </c>
      <c r="L17" s="10">
        <v>3.9166666666666665</v>
      </c>
      <c r="M17" s="9">
        <v>0</v>
      </c>
      <c r="N17" s="9">
        <v>2</v>
      </c>
      <c r="O17" s="9">
        <v>1</v>
      </c>
      <c r="P17" s="9">
        <v>2</v>
      </c>
      <c r="Q17" s="9">
        <v>0</v>
      </c>
      <c r="R17" s="9">
        <v>10</v>
      </c>
      <c r="T17" s="13">
        <v>13</v>
      </c>
      <c r="U17" s="14">
        <v>8096</v>
      </c>
      <c r="V17" s="10">
        <v>48.333333333333336</v>
      </c>
      <c r="W17" s="10">
        <v>12.5</v>
      </c>
      <c r="X17" s="10">
        <v>35.833333333333336</v>
      </c>
      <c r="Y17" s="10">
        <v>0</v>
      </c>
      <c r="Z17" s="11">
        <v>0</v>
      </c>
      <c r="AA17" s="11">
        <v>0.6888361045130641</v>
      </c>
      <c r="AB17" s="13">
        <v>2</v>
      </c>
      <c r="AC17" s="13">
        <v>1</v>
      </c>
    </row>
    <row r="18" spans="1:29" ht="13" x14ac:dyDescent="0.3">
      <c r="A18" s="8">
        <v>4143</v>
      </c>
      <c r="B18" s="9">
        <v>12</v>
      </c>
      <c r="C18" s="10">
        <v>35.666666666666664</v>
      </c>
      <c r="D18" s="10">
        <v>131.08333333333334</v>
      </c>
      <c r="E18" s="10">
        <v>0</v>
      </c>
      <c r="F18" s="10">
        <v>166.75</v>
      </c>
      <c r="G18" s="9">
        <v>280</v>
      </c>
      <c r="H18" s="11">
        <v>0.87341772151898733</v>
      </c>
      <c r="I18" s="11">
        <v>0</v>
      </c>
      <c r="J18" s="11">
        <v>0</v>
      </c>
      <c r="K18" s="9">
        <v>0</v>
      </c>
      <c r="L18" s="10">
        <v>4.583333333333333</v>
      </c>
      <c r="M18" s="9">
        <v>0</v>
      </c>
      <c r="N18" s="9">
        <v>3</v>
      </c>
      <c r="O18" s="9">
        <v>2</v>
      </c>
      <c r="P18" s="9">
        <v>12</v>
      </c>
      <c r="Q18" s="9">
        <v>0</v>
      </c>
      <c r="R18" s="9">
        <v>2</v>
      </c>
      <c r="T18" s="13">
        <v>14</v>
      </c>
      <c r="U18" s="14">
        <v>7848</v>
      </c>
      <c r="V18" s="10">
        <v>46.666666666666664</v>
      </c>
      <c r="W18" s="10">
        <v>2.1666666666666665</v>
      </c>
      <c r="X18" s="10">
        <v>44.5</v>
      </c>
      <c r="Y18" s="10">
        <v>0</v>
      </c>
      <c r="Z18" s="11">
        <v>0</v>
      </c>
      <c r="AA18" s="11">
        <v>0.76712328767123283</v>
      </c>
      <c r="AB18" s="13">
        <v>1</v>
      </c>
      <c r="AC18" s="13">
        <v>3</v>
      </c>
    </row>
    <row r="19" spans="1:29" ht="13" x14ac:dyDescent="0.3">
      <c r="A19" s="8">
        <v>4156</v>
      </c>
      <c r="B19" s="9">
        <v>12</v>
      </c>
      <c r="C19" s="10">
        <v>2.4166666666666665</v>
      </c>
      <c r="D19" s="10">
        <v>4.083333333333333</v>
      </c>
      <c r="E19" s="10">
        <v>0</v>
      </c>
      <c r="F19" s="10">
        <v>6.5</v>
      </c>
      <c r="G19" s="9">
        <v>15</v>
      </c>
      <c r="H19" s="11">
        <v>0.6964285714285714</v>
      </c>
      <c r="I19" s="11">
        <v>0</v>
      </c>
      <c r="J19" s="11">
        <v>0</v>
      </c>
      <c r="K19" s="9">
        <v>0</v>
      </c>
      <c r="L19" s="10">
        <v>1.4166666666666667</v>
      </c>
      <c r="M19" s="9">
        <v>3</v>
      </c>
      <c r="N19" s="9">
        <v>3</v>
      </c>
      <c r="O19" s="9">
        <v>2</v>
      </c>
      <c r="P19" s="9">
        <v>0</v>
      </c>
      <c r="Q19" s="9">
        <v>0</v>
      </c>
      <c r="R19" s="9">
        <v>30</v>
      </c>
      <c r="T19" s="13">
        <v>15</v>
      </c>
      <c r="U19" s="14">
        <v>4213</v>
      </c>
      <c r="V19" s="10">
        <v>43.083333333333336</v>
      </c>
      <c r="W19" s="10">
        <v>4.75</v>
      </c>
      <c r="X19" s="10">
        <v>38.333333333333336</v>
      </c>
      <c r="Y19" s="10">
        <v>0</v>
      </c>
      <c r="Z19" s="11">
        <v>0</v>
      </c>
      <c r="AA19" s="11">
        <v>0.75474452554744531</v>
      </c>
      <c r="AB19" s="13">
        <v>1</v>
      </c>
      <c r="AC19" s="13">
        <v>3</v>
      </c>
    </row>
    <row r="20" spans="1:29" ht="13" x14ac:dyDescent="0.3">
      <c r="A20" s="8">
        <v>4213</v>
      </c>
      <c r="B20" s="9">
        <v>12</v>
      </c>
      <c r="C20" s="10">
        <v>4.75</v>
      </c>
      <c r="D20" s="10">
        <v>38.333333333333336</v>
      </c>
      <c r="E20" s="10">
        <v>0</v>
      </c>
      <c r="F20" s="10">
        <v>43.083333333333336</v>
      </c>
      <c r="G20" s="9">
        <v>105</v>
      </c>
      <c r="H20" s="11">
        <v>0.75474452554744531</v>
      </c>
      <c r="I20" s="11">
        <v>0</v>
      </c>
      <c r="J20" s="11">
        <v>0</v>
      </c>
      <c r="K20" s="9">
        <v>0</v>
      </c>
      <c r="L20" s="10">
        <v>3.0833333333333335</v>
      </c>
      <c r="M20" s="9">
        <v>0</v>
      </c>
      <c r="N20" s="9">
        <v>1</v>
      </c>
      <c r="O20" s="9">
        <v>4</v>
      </c>
      <c r="P20" s="9">
        <v>3</v>
      </c>
      <c r="Q20" s="9">
        <v>0</v>
      </c>
      <c r="R20" s="9">
        <v>15</v>
      </c>
      <c r="T20" s="13">
        <v>16</v>
      </c>
      <c r="U20" s="14">
        <v>3067</v>
      </c>
      <c r="V20" s="10">
        <v>40.25</v>
      </c>
      <c r="W20" s="10">
        <v>3.0833333333333335</v>
      </c>
      <c r="X20" s="10">
        <v>37.166666666666664</v>
      </c>
      <c r="Y20" s="10">
        <v>0</v>
      </c>
      <c r="Z20" s="11">
        <v>0</v>
      </c>
      <c r="AA20" s="11">
        <v>0.86096256684491979</v>
      </c>
      <c r="AB20" s="13">
        <v>2</v>
      </c>
      <c r="AC20" s="13">
        <v>2</v>
      </c>
    </row>
    <row r="21" spans="1:29" ht="13" x14ac:dyDescent="0.3">
      <c r="A21" s="8">
        <v>4423</v>
      </c>
      <c r="B21" s="9">
        <v>12</v>
      </c>
      <c r="C21" s="10">
        <v>0.66666666666666663</v>
      </c>
      <c r="D21" s="10">
        <v>45.5</v>
      </c>
      <c r="E21" s="10">
        <v>5</v>
      </c>
      <c r="F21" s="10">
        <v>51.166666666666664</v>
      </c>
      <c r="G21" s="9">
        <v>84</v>
      </c>
      <c r="H21" s="11">
        <v>0.7847025495750708</v>
      </c>
      <c r="I21" s="11">
        <v>0</v>
      </c>
      <c r="J21" s="11">
        <v>0.5</v>
      </c>
      <c r="K21" s="9">
        <v>0</v>
      </c>
      <c r="L21" s="10">
        <v>3.5</v>
      </c>
      <c r="M21" s="9">
        <v>2</v>
      </c>
      <c r="N21" s="9">
        <v>3</v>
      </c>
      <c r="O21" s="9">
        <v>4</v>
      </c>
      <c r="P21" s="9">
        <v>3</v>
      </c>
      <c r="Q21" s="9">
        <v>0</v>
      </c>
      <c r="R21" s="9">
        <v>12</v>
      </c>
      <c r="T21" s="13">
        <v>17</v>
      </c>
      <c r="U21" s="14">
        <v>2022</v>
      </c>
      <c r="V21" s="10">
        <v>38.833333333333336</v>
      </c>
      <c r="W21" s="10">
        <v>3.1666666666666665</v>
      </c>
      <c r="X21" s="10">
        <v>35.666666666666664</v>
      </c>
      <c r="Y21" s="10">
        <v>0</v>
      </c>
      <c r="Z21" s="11">
        <v>0</v>
      </c>
      <c r="AA21" s="11">
        <v>0.85036496350364965</v>
      </c>
      <c r="AB21" s="13">
        <v>1</v>
      </c>
      <c r="AC21" s="13">
        <v>2</v>
      </c>
    </row>
    <row r="22" spans="1:29" ht="13" x14ac:dyDescent="0.3">
      <c r="A22" s="8">
        <v>4645</v>
      </c>
      <c r="B22" s="9">
        <v>12</v>
      </c>
      <c r="C22" s="10">
        <v>3</v>
      </c>
      <c r="D22" s="10">
        <v>33.166666666666664</v>
      </c>
      <c r="E22" s="10">
        <v>0</v>
      </c>
      <c r="F22" s="10">
        <v>36.166666666666664</v>
      </c>
      <c r="G22" s="9">
        <v>75</v>
      </c>
      <c r="H22" s="11">
        <v>0.78057553956834536</v>
      </c>
      <c r="I22" s="11">
        <v>0</v>
      </c>
      <c r="J22" s="11">
        <v>0</v>
      </c>
      <c r="K22" s="9">
        <v>0</v>
      </c>
      <c r="L22" s="10">
        <v>2.9166666666666665</v>
      </c>
      <c r="M22" s="9">
        <v>1</v>
      </c>
      <c r="N22" s="9">
        <v>2</v>
      </c>
      <c r="O22" s="9">
        <v>1</v>
      </c>
      <c r="P22" s="9">
        <v>3</v>
      </c>
      <c r="Q22" s="9">
        <v>0</v>
      </c>
      <c r="R22" s="9">
        <v>18</v>
      </c>
      <c r="T22" s="13">
        <v>18</v>
      </c>
      <c r="U22" s="14">
        <v>4645</v>
      </c>
      <c r="V22" s="10">
        <v>36.166666666666664</v>
      </c>
      <c r="W22" s="10">
        <v>3</v>
      </c>
      <c r="X22" s="10">
        <v>33.166666666666664</v>
      </c>
      <c r="Y22" s="10">
        <v>0</v>
      </c>
      <c r="Z22" s="11">
        <v>0</v>
      </c>
      <c r="AA22" s="11">
        <v>0.78057553956834536</v>
      </c>
      <c r="AB22" s="13">
        <v>2</v>
      </c>
      <c r="AC22" s="13">
        <v>3</v>
      </c>
    </row>
    <row r="23" spans="1:29" ht="13" x14ac:dyDescent="0.3">
      <c r="A23" s="8">
        <v>4655</v>
      </c>
      <c r="B23" s="9">
        <v>12</v>
      </c>
      <c r="C23" s="10">
        <v>11.5</v>
      </c>
      <c r="D23" s="10">
        <v>42.833333333333336</v>
      </c>
      <c r="E23" s="10">
        <v>0</v>
      </c>
      <c r="F23" s="10">
        <v>54.333333333333336</v>
      </c>
      <c r="G23" s="9">
        <v>111</v>
      </c>
      <c r="H23" s="11">
        <v>0.73589164785553052</v>
      </c>
      <c r="I23" s="11">
        <v>0</v>
      </c>
      <c r="J23" s="11">
        <v>0</v>
      </c>
      <c r="K23" s="9">
        <v>0</v>
      </c>
      <c r="L23" s="10">
        <v>3.9166666666666665</v>
      </c>
      <c r="M23" s="9">
        <v>2</v>
      </c>
      <c r="N23" s="9">
        <v>3</v>
      </c>
      <c r="O23" s="9">
        <v>4</v>
      </c>
      <c r="P23" s="9">
        <v>0</v>
      </c>
      <c r="Q23" s="9">
        <v>0</v>
      </c>
      <c r="R23" s="9">
        <v>11</v>
      </c>
      <c r="T23" s="13">
        <v>19</v>
      </c>
      <c r="U23" s="14">
        <v>5442</v>
      </c>
      <c r="V23" s="10">
        <v>34.25</v>
      </c>
      <c r="W23" s="10">
        <v>0.58333333333333337</v>
      </c>
      <c r="X23" s="10">
        <v>33.666666666666664</v>
      </c>
      <c r="Y23" s="10">
        <v>0</v>
      </c>
      <c r="Z23" s="11">
        <v>0</v>
      </c>
      <c r="AA23" s="11">
        <v>0.67710049423393737</v>
      </c>
      <c r="AB23" s="13">
        <v>4</v>
      </c>
      <c r="AC23" s="13">
        <v>4</v>
      </c>
    </row>
    <row r="24" spans="1:29" ht="13" x14ac:dyDescent="0.3">
      <c r="A24" s="8">
        <v>4787</v>
      </c>
      <c r="B24" s="9">
        <v>12</v>
      </c>
      <c r="C24" s="10">
        <v>0.66666666666666663</v>
      </c>
      <c r="D24" s="10">
        <v>23.333333333333332</v>
      </c>
      <c r="E24" s="10">
        <v>0</v>
      </c>
      <c r="F24" s="10">
        <v>24</v>
      </c>
      <c r="G24" s="9">
        <v>42</v>
      </c>
      <c r="H24" s="11">
        <v>0.66206896551724137</v>
      </c>
      <c r="I24" s="11">
        <v>0</v>
      </c>
      <c r="J24" s="11">
        <v>0</v>
      </c>
      <c r="K24" s="9">
        <v>0</v>
      </c>
      <c r="L24" s="10">
        <v>2.75</v>
      </c>
      <c r="M24" s="9">
        <v>2</v>
      </c>
      <c r="N24" s="9">
        <v>1</v>
      </c>
      <c r="O24" s="9">
        <v>2</v>
      </c>
      <c r="P24" s="9">
        <v>2</v>
      </c>
      <c r="Q24" s="9">
        <v>0</v>
      </c>
      <c r="R24" s="9">
        <v>24</v>
      </c>
      <c r="T24" s="13">
        <v>20</v>
      </c>
      <c r="U24" s="14">
        <v>3488</v>
      </c>
      <c r="V24" s="10">
        <v>29.666666666666668</v>
      </c>
      <c r="W24" s="10">
        <v>0.41666666666666669</v>
      </c>
      <c r="X24" s="10">
        <v>29.25</v>
      </c>
      <c r="Y24" s="10">
        <v>0</v>
      </c>
      <c r="Z24" s="11">
        <v>0</v>
      </c>
      <c r="AA24" s="11">
        <v>0.61379310344827587</v>
      </c>
      <c r="AB24" s="13">
        <v>0</v>
      </c>
      <c r="AC24" s="13">
        <v>0</v>
      </c>
    </row>
    <row r="25" spans="1:29" ht="13" x14ac:dyDescent="0.3">
      <c r="A25" s="8">
        <v>5442</v>
      </c>
      <c r="B25" s="9">
        <v>12</v>
      </c>
      <c r="C25" s="10">
        <v>0.58333333333333337</v>
      </c>
      <c r="D25" s="10">
        <v>33.666666666666664</v>
      </c>
      <c r="E25" s="10">
        <v>0</v>
      </c>
      <c r="F25" s="10">
        <v>34.25</v>
      </c>
      <c r="G25" s="9">
        <v>116</v>
      </c>
      <c r="H25" s="11">
        <v>0.67710049423393737</v>
      </c>
      <c r="I25" s="11">
        <v>0</v>
      </c>
      <c r="J25" s="11">
        <v>0</v>
      </c>
      <c r="K25" s="9">
        <v>0</v>
      </c>
      <c r="L25" s="10">
        <v>2.5833333333333335</v>
      </c>
      <c r="M25" s="9">
        <v>0</v>
      </c>
      <c r="N25" s="9">
        <v>4</v>
      </c>
      <c r="O25" s="9">
        <v>6</v>
      </c>
      <c r="P25" s="9">
        <v>4</v>
      </c>
      <c r="Q25" s="9">
        <v>0</v>
      </c>
      <c r="R25" s="9">
        <v>19</v>
      </c>
      <c r="T25" s="13">
        <v>21</v>
      </c>
      <c r="U25" s="14">
        <v>3284</v>
      </c>
      <c r="V25" s="10">
        <v>25.083333333333332</v>
      </c>
      <c r="W25" s="10">
        <v>10.333333333333334</v>
      </c>
      <c r="X25" s="10">
        <v>14.75</v>
      </c>
      <c r="Y25" s="10">
        <v>0</v>
      </c>
      <c r="Z25" s="11">
        <v>0</v>
      </c>
      <c r="AA25" s="11">
        <v>0.66740576496674053</v>
      </c>
      <c r="AB25" s="13">
        <v>0</v>
      </c>
      <c r="AC25" s="13">
        <v>0</v>
      </c>
    </row>
    <row r="26" spans="1:29" ht="13" x14ac:dyDescent="0.3">
      <c r="A26" s="8">
        <v>6237</v>
      </c>
      <c r="B26" s="9">
        <v>12</v>
      </c>
      <c r="C26" s="10">
        <v>2.4166666666666665</v>
      </c>
      <c r="D26" s="10">
        <v>67.416666666666671</v>
      </c>
      <c r="E26" s="10">
        <v>0</v>
      </c>
      <c r="F26" s="10">
        <v>69.833333333333329</v>
      </c>
      <c r="G26" s="9">
        <v>118</v>
      </c>
      <c r="H26" s="11">
        <v>0.7570009033423668</v>
      </c>
      <c r="I26" s="11">
        <v>0</v>
      </c>
      <c r="J26" s="11">
        <v>0</v>
      </c>
      <c r="K26" s="9">
        <v>0</v>
      </c>
      <c r="L26" s="10">
        <v>4.083333333333333</v>
      </c>
      <c r="M26" s="9">
        <v>2</v>
      </c>
      <c r="N26" s="9">
        <v>1</v>
      </c>
      <c r="O26" s="9">
        <v>7</v>
      </c>
      <c r="P26" s="9">
        <v>12</v>
      </c>
      <c r="Q26" s="9">
        <v>0</v>
      </c>
      <c r="R26" s="9">
        <v>9</v>
      </c>
      <c r="T26" s="13">
        <v>22</v>
      </c>
      <c r="U26" s="14">
        <v>1736</v>
      </c>
      <c r="V26" s="10">
        <v>24.75</v>
      </c>
      <c r="W26" s="10">
        <v>3.8333333333333335</v>
      </c>
      <c r="X26" s="10">
        <v>20.916666666666668</v>
      </c>
      <c r="Y26" s="10">
        <v>0</v>
      </c>
      <c r="Z26" s="11">
        <v>0</v>
      </c>
      <c r="AA26" s="11">
        <v>0.6659192825112108</v>
      </c>
      <c r="AB26" s="13">
        <v>0</v>
      </c>
      <c r="AC26" s="13">
        <v>0</v>
      </c>
    </row>
    <row r="27" spans="1:29" ht="13" x14ac:dyDescent="0.3">
      <c r="A27" s="8">
        <v>6651</v>
      </c>
      <c r="B27" s="9">
        <v>12</v>
      </c>
      <c r="C27" s="10">
        <v>7.5</v>
      </c>
      <c r="D27" s="10">
        <v>17.083333333333332</v>
      </c>
      <c r="E27" s="10">
        <v>0</v>
      </c>
      <c r="F27" s="10">
        <v>24.583333333333332</v>
      </c>
      <c r="G27" s="9">
        <v>43</v>
      </c>
      <c r="H27" s="11">
        <v>0.71951219512195119</v>
      </c>
      <c r="I27" s="11">
        <v>0</v>
      </c>
      <c r="J27" s="11">
        <v>0</v>
      </c>
      <c r="K27" s="9">
        <v>0</v>
      </c>
      <c r="L27" s="10">
        <v>1.9166666666666667</v>
      </c>
      <c r="M27" s="9">
        <v>1</v>
      </c>
      <c r="N27" s="9">
        <v>2</v>
      </c>
      <c r="O27" s="9">
        <v>4</v>
      </c>
      <c r="P27" s="9">
        <v>0</v>
      </c>
      <c r="Q27" s="9">
        <v>0</v>
      </c>
      <c r="R27" s="9">
        <v>23</v>
      </c>
      <c r="T27" s="13">
        <v>23</v>
      </c>
      <c r="U27" s="14">
        <v>6651</v>
      </c>
      <c r="V27" s="10">
        <v>24.583333333333332</v>
      </c>
      <c r="W27" s="10">
        <v>7.5</v>
      </c>
      <c r="X27" s="10">
        <v>17.083333333333332</v>
      </c>
      <c r="Y27" s="10">
        <v>0</v>
      </c>
      <c r="Z27" s="11">
        <v>0</v>
      </c>
      <c r="AA27" s="11">
        <v>0.71951219512195119</v>
      </c>
      <c r="AB27" s="13">
        <v>2</v>
      </c>
      <c r="AC27" s="13">
        <v>0</v>
      </c>
    </row>
    <row r="28" spans="1:29" ht="13" x14ac:dyDescent="0.3">
      <c r="A28" s="8">
        <v>7417</v>
      </c>
      <c r="B28" s="9">
        <v>12</v>
      </c>
      <c r="C28" s="10">
        <v>8.1666666666666661</v>
      </c>
      <c r="D28" s="10">
        <v>6.5</v>
      </c>
      <c r="E28" s="10">
        <v>0</v>
      </c>
      <c r="F28" s="10">
        <v>14.666666666666666</v>
      </c>
      <c r="G28" s="9">
        <v>23</v>
      </c>
      <c r="H28" s="11">
        <v>0.59661016949152545</v>
      </c>
      <c r="I28" s="11">
        <v>0</v>
      </c>
      <c r="J28" s="11">
        <v>0</v>
      </c>
      <c r="K28" s="9">
        <v>0</v>
      </c>
      <c r="L28" s="10">
        <v>1.6666666666666667</v>
      </c>
      <c r="M28" s="9">
        <v>1</v>
      </c>
      <c r="N28" s="9">
        <v>2</v>
      </c>
      <c r="O28" s="9">
        <v>2</v>
      </c>
      <c r="P28" s="9">
        <v>0</v>
      </c>
      <c r="Q28" s="9">
        <v>0</v>
      </c>
      <c r="R28" s="9">
        <v>27</v>
      </c>
      <c r="T28" s="13">
        <v>24</v>
      </c>
      <c r="U28" s="14">
        <v>4787</v>
      </c>
      <c r="V28" s="10">
        <v>24</v>
      </c>
      <c r="W28" s="10">
        <v>0.66666666666666663</v>
      </c>
      <c r="X28" s="10">
        <v>23.333333333333332</v>
      </c>
      <c r="Y28" s="10">
        <v>0</v>
      </c>
      <c r="Z28" s="11">
        <v>0</v>
      </c>
      <c r="AA28" s="11">
        <v>0.66206896551724137</v>
      </c>
      <c r="AB28" s="13">
        <v>1</v>
      </c>
      <c r="AC28" s="13">
        <v>2</v>
      </c>
    </row>
    <row r="29" spans="1:29" ht="13" x14ac:dyDescent="0.3">
      <c r="A29" s="8">
        <v>7472</v>
      </c>
      <c r="B29" s="9">
        <v>12</v>
      </c>
      <c r="C29" s="10">
        <v>6.583333333333333</v>
      </c>
      <c r="D29" s="10">
        <v>4.083333333333333</v>
      </c>
      <c r="E29" s="10">
        <v>0</v>
      </c>
      <c r="F29" s="10">
        <v>10.666666666666666</v>
      </c>
      <c r="G29" s="9">
        <v>22</v>
      </c>
      <c r="H29" s="11">
        <v>0.5446808510638298</v>
      </c>
      <c r="I29" s="11">
        <v>0</v>
      </c>
      <c r="J29" s="11">
        <v>0</v>
      </c>
      <c r="K29" s="9">
        <v>0</v>
      </c>
      <c r="L29" s="10">
        <v>1.25</v>
      </c>
      <c r="M29" s="9">
        <v>0</v>
      </c>
      <c r="N29" s="9">
        <v>1</v>
      </c>
      <c r="O29" s="9">
        <v>7</v>
      </c>
      <c r="P29" s="9">
        <v>0</v>
      </c>
      <c r="Q29" s="9">
        <v>0</v>
      </c>
      <c r="R29" s="9">
        <v>28</v>
      </c>
      <c r="T29" s="13">
        <v>25</v>
      </c>
      <c r="U29" s="14">
        <v>648</v>
      </c>
      <c r="V29" s="10">
        <v>22.166666666666668</v>
      </c>
      <c r="W29" s="10">
        <v>8.1666666666666661</v>
      </c>
      <c r="X29" s="10">
        <v>14</v>
      </c>
      <c r="Y29" s="10">
        <v>0</v>
      </c>
      <c r="Z29" s="11">
        <v>0</v>
      </c>
      <c r="AA29" s="11">
        <v>0.67341772151898738</v>
      </c>
      <c r="AB29" s="13">
        <v>2</v>
      </c>
      <c r="AC29" s="13">
        <v>0</v>
      </c>
    </row>
    <row r="30" spans="1:29" ht="13" x14ac:dyDescent="0.3">
      <c r="A30" s="8">
        <v>7848</v>
      </c>
      <c r="B30" s="9">
        <v>12</v>
      </c>
      <c r="C30" s="10">
        <v>2.1666666666666665</v>
      </c>
      <c r="D30" s="10">
        <v>44.5</v>
      </c>
      <c r="E30" s="10">
        <v>0</v>
      </c>
      <c r="F30" s="10">
        <v>46.666666666666664</v>
      </c>
      <c r="G30" s="9">
        <v>103</v>
      </c>
      <c r="H30" s="11">
        <v>0.76712328767123283</v>
      </c>
      <c r="I30" s="11">
        <v>0</v>
      </c>
      <c r="J30" s="11">
        <v>0</v>
      </c>
      <c r="K30" s="9">
        <v>0</v>
      </c>
      <c r="L30" s="10">
        <v>3.3333333333333335</v>
      </c>
      <c r="M30" s="9">
        <v>1</v>
      </c>
      <c r="N30" s="9">
        <v>1</v>
      </c>
      <c r="O30" s="9">
        <v>1</v>
      </c>
      <c r="P30" s="9">
        <v>3</v>
      </c>
      <c r="Q30" s="9">
        <v>0</v>
      </c>
      <c r="R30" s="9">
        <v>14</v>
      </c>
      <c r="T30" s="13">
        <v>26</v>
      </c>
      <c r="U30" s="14">
        <v>8029</v>
      </c>
      <c r="V30" s="10">
        <v>20.5</v>
      </c>
      <c r="W30" s="10">
        <v>11.166666666666666</v>
      </c>
      <c r="X30" s="10">
        <v>9.3333333333333339</v>
      </c>
      <c r="Y30" s="10">
        <v>0</v>
      </c>
      <c r="Z30" s="11">
        <v>0</v>
      </c>
      <c r="AA30" s="11">
        <v>0.54304635761589404</v>
      </c>
      <c r="AB30" s="13">
        <v>1</v>
      </c>
      <c r="AC30" s="13">
        <v>0</v>
      </c>
    </row>
    <row r="31" spans="1:29" ht="13" x14ac:dyDescent="0.3">
      <c r="A31" s="8">
        <v>8020</v>
      </c>
      <c r="B31" s="9">
        <v>12</v>
      </c>
      <c r="C31" s="10">
        <v>21.75</v>
      </c>
      <c r="D31" s="10">
        <v>70.25</v>
      </c>
      <c r="E31" s="10">
        <v>0</v>
      </c>
      <c r="F31" s="10">
        <v>92</v>
      </c>
      <c r="G31" s="9">
        <v>154</v>
      </c>
      <c r="H31" s="11">
        <v>0.84532924961715161</v>
      </c>
      <c r="I31" s="11">
        <v>0</v>
      </c>
      <c r="J31" s="11">
        <v>0</v>
      </c>
      <c r="K31" s="9">
        <v>0</v>
      </c>
      <c r="L31" s="10">
        <v>3.9166666666666665</v>
      </c>
      <c r="M31" s="9">
        <v>1</v>
      </c>
      <c r="N31" s="9">
        <v>4</v>
      </c>
      <c r="O31" s="9">
        <v>4</v>
      </c>
      <c r="P31" s="9">
        <v>12</v>
      </c>
      <c r="Q31" s="9">
        <v>0</v>
      </c>
      <c r="R31" s="9">
        <v>6</v>
      </c>
      <c r="T31" s="13">
        <v>27</v>
      </c>
      <c r="U31" s="14">
        <v>7417</v>
      </c>
      <c r="V31" s="10">
        <v>14.666666666666666</v>
      </c>
      <c r="W31" s="10">
        <v>8.1666666666666661</v>
      </c>
      <c r="X31" s="10">
        <v>6.5</v>
      </c>
      <c r="Y31" s="10">
        <v>0</v>
      </c>
      <c r="Z31" s="11">
        <v>0</v>
      </c>
      <c r="AA31" s="11">
        <v>0.59661016949152545</v>
      </c>
      <c r="AB31" s="13">
        <v>2</v>
      </c>
      <c r="AC31" s="13">
        <v>0</v>
      </c>
    </row>
    <row r="32" spans="1:29" ht="13" x14ac:dyDescent="0.3">
      <c r="A32" s="8">
        <v>8029</v>
      </c>
      <c r="B32" s="9">
        <v>12</v>
      </c>
      <c r="C32" s="10">
        <v>11.166666666666666</v>
      </c>
      <c r="D32" s="10">
        <v>9.3333333333333339</v>
      </c>
      <c r="E32" s="10">
        <v>0</v>
      </c>
      <c r="F32" s="10">
        <v>20.5</v>
      </c>
      <c r="G32" s="9">
        <v>32</v>
      </c>
      <c r="H32" s="11">
        <v>0.54304635761589404</v>
      </c>
      <c r="I32" s="11">
        <v>0</v>
      </c>
      <c r="J32" s="11">
        <v>0</v>
      </c>
      <c r="K32" s="9">
        <v>0</v>
      </c>
      <c r="L32" s="10">
        <v>1.5833333333333333</v>
      </c>
      <c r="M32" s="9">
        <v>12</v>
      </c>
      <c r="N32" s="9">
        <v>1</v>
      </c>
      <c r="O32" s="9">
        <v>2</v>
      </c>
      <c r="P32" s="9">
        <v>0</v>
      </c>
      <c r="Q32" s="9">
        <v>0</v>
      </c>
      <c r="R32" s="9">
        <v>26</v>
      </c>
      <c r="T32" s="13">
        <v>28</v>
      </c>
      <c r="U32" s="14">
        <v>7472</v>
      </c>
      <c r="V32" s="10">
        <v>10.666666666666666</v>
      </c>
      <c r="W32" s="10">
        <v>6.583333333333333</v>
      </c>
      <c r="X32" s="10">
        <v>4.083333333333333</v>
      </c>
      <c r="Y32" s="10">
        <v>0</v>
      </c>
      <c r="Z32" s="11">
        <v>0</v>
      </c>
      <c r="AA32" s="11">
        <v>0.5446808510638298</v>
      </c>
      <c r="AB32" s="13">
        <v>1</v>
      </c>
      <c r="AC32" s="13">
        <v>0</v>
      </c>
    </row>
    <row r="33" spans="1:29" ht="13" x14ac:dyDescent="0.3">
      <c r="A33" s="8">
        <v>8096</v>
      </c>
      <c r="B33" s="9">
        <v>12</v>
      </c>
      <c r="C33" s="10">
        <v>12.5</v>
      </c>
      <c r="D33" s="10">
        <v>35.833333333333336</v>
      </c>
      <c r="E33" s="10">
        <v>0</v>
      </c>
      <c r="F33" s="10">
        <v>48.333333333333336</v>
      </c>
      <c r="G33" s="9">
        <v>90</v>
      </c>
      <c r="H33" s="11">
        <v>0.6888361045130641</v>
      </c>
      <c r="I33" s="11">
        <v>0</v>
      </c>
      <c r="J33" s="11">
        <v>0</v>
      </c>
      <c r="K33" s="9">
        <v>0</v>
      </c>
      <c r="L33" s="10">
        <v>2.9166666666666665</v>
      </c>
      <c r="M33" s="9">
        <v>1</v>
      </c>
      <c r="N33" s="9">
        <v>2</v>
      </c>
      <c r="O33" s="9">
        <v>4</v>
      </c>
      <c r="P33" s="9">
        <v>1</v>
      </c>
      <c r="Q33" s="9">
        <v>0</v>
      </c>
      <c r="R33" s="9">
        <v>13</v>
      </c>
      <c r="T33" s="13">
        <v>29</v>
      </c>
      <c r="U33" s="14">
        <v>8719</v>
      </c>
      <c r="V33" s="10">
        <v>10.333333333333334</v>
      </c>
      <c r="W33" s="10">
        <v>6.333333333333333</v>
      </c>
      <c r="X33" s="10">
        <v>4</v>
      </c>
      <c r="Y33" s="10">
        <v>0</v>
      </c>
      <c r="Z33" s="11">
        <v>0</v>
      </c>
      <c r="AA33" s="11">
        <v>0.56880733944954132</v>
      </c>
      <c r="AB33" s="13">
        <v>1</v>
      </c>
      <c r="AC33" s="13">
        <v>0</v>
      </c>
    </row>
    <row r="34" spans="1:29" ht="13" x14ac:dyDescent="0.3">
      <c r="A34" s="8">
        <v>8719</v>
      </c>
      <c r="B34" s="9">
        <v>12</v>
      </c>
      <c r="C34" s="10">
        <v>6.333333333333333</v>
      </c>
      <c r="D34" s="10">
        <v>4</v>
      </c>
      <c r="E34" s="10">
        <v>0</v>
      </c>
      <c r="F34" s="10">
        <v>10.333333333333334</v>
      </c>
      <c r="G34" s="9">
        <v>19</v>
      </c>
      <c r="H34" s="11">
        <v>0.56880733944954132</v>
      </c>
      <c r="I34" s="11">
        <v>0</v>
      </c>
      <c r="J34" s="11">
        <v>0</v>
      </c>
      <c r="K34" s="9">
        <v>0</v>
      </c>
      <c r="L34" s="10">
        <v>1.4166666666666667</v>
      </c>
      <c r="M34" s="9">
        <v>12</v>
      </c>
      <c r="N34" s="9">
        <v>1</v>
      </c>
      <c r="O34" s="9">
        <v>3</v>
      </c>
      <c r="P34" s="9">
        <v>0</v>
      </c>
      <c r="Q34" s="9">
        <v>0</v>
      </c>
      <c r="R34" s="9">
        <v>29</v>
      </c>
      <c r="T34" s="13">
        <v>30</v>
      </c>
      <c r="U34" s="14">
        <v>4156</v>
      </c>
      <c r="V34" s="10">
        <v>6.5</v>
      </c>
      <c r="W34" s="10">
        <v>2.4166666666666665</v>
      </c>
      <c r="X34" s="10">
        <v>4.083333333333333</v>
      </c>
      <c r="Y34" s="10">
        <v>0</v>
      </c>
      <c r="Z34" s="11">
        <v>0</v>
      </c>
      <c r="AA34" s="11">
        <v>0.6964285714285714</v>
      </c>
      <c r="AB34" s="13">
        <v>3</v>
      </c>
      <c r="AC34" s="13">
        <v>0</v>
      </c>
    </row>
    <row r="35" spans="1:29" ht="13" x14ac:dyDescent="0.3">
      <c r="A35" s="8">
        <v>9082</v>
      </c>
      <c r="B35" s="9">
        <v>12</v>
      </c>
      <c r="C35" s="10">
        <v>8.1666666666666661</v>
      </c>
      <c r="D35" s="10">
        <v>68.083333333333329</v>
      </c>
      <c r="E35" s="10">
        <v>0</v>
      </c>
      <c r="F35" s="10">
        <v>76.25</v>
      </c>
      <c r="G35" s="9">
        <v>112</v>
      </c>
      <c r="H35" s="11">
        <v>0.93462717058222677</v>
      </c>
      <c r="I35" s="11">
        <v>0</v>
      </c>
      <c r="J35" s="11">
        <v>0</v>
      </c>
      <c r="K35" s="9">
        <v>0</v>
      </c>
      <c r="L35" s="10">
        <v>4.333333333333333</v>
      </c>
      <c r="M35" s="9">
        <v>0</v>
      </c>
      <c r="N35" s="9">
        <v>1</v>
      </c>
      <c r="O35" s="9">
        <v>3</v>
      </c>
      <c r="P35" s="9">
        <v>12</v>
      </c>
      <c r="Q35" s="9">
        <v>0</v>
      </c>
      <c r="R35" s="9">
        <v>8</v>
      </c>
      <c r="T35" s="13">
        <v>31</v>
      </c>
      <c r="U35" s="14">
        <v>2039</v>
      </c>
      <c r="V35" s="10">
        <v>5.25</v>
      </c>
      <c r="W35" s="10">
        <v>1.1666666666666667</v>
      </c>
      <c r="X35" s="10">
        <v>2.4166666666666665</v>
      </c>
      <c r="Y35" s="10">
        <v>1.6666666666666667</v>
      </c>
      <c r="Z35" s="11">
        <v>0.16666666666666666</v>
      </c>
      <c r="AA35" s="11">
        <v>0.46236559139784944</v>
      </c>
      <c r="AB35" s="13">
        <v>0</v>
      </c>
      <c r="AC35" s="13">
        <v>0</v>
      </c>
    </row>
    <row r="36" spans="1:29" ht="13" x14ac:dyDescent="0.3">
      <c r="A36" s="8"/>
      <c r="B36" s="9"/>
      <c r="C36" s="10"/>
      <c r="D36" s="10"/>
      <c r="E36" s="10"/>
      <c r="F36" s="10"/>
      <c r="G36" s="9"/>
      <c r="H36" s="11"/>
      <c r="I36" s="11"/>
      <c r="J36" s="11"/>
      <c r="K36" s="9"/>
      <c r="L36" s="10"/>
      <c r="M36" s="9"/>
      <c r="N36" s="9"/>
      <c r="O36" s="9"/>
      <c r="P36" s="9"/>
      <c r="Q36" s="9"/>
      <c r="R36" s="9"/>
      <c r="T36" s="13"/>
      <c r="U36" s="14"/>
      <c r="V36" s="10"/>
      <c r="W36" s="10"/>
      <c r="X36" s="10"/>
      <c r="Y36" s="10"/>
      <c r="Z36" s="11"/>
      <c r="AA36" s="11"/>
      <c r="AB36" s="13"/>
      <c r="AC36" s="13"/>
    </row>
    <row r="37" spans="1:29" ht="13" x14ac:dyDescent="0.3">
      <c r="A37" s="8"/>
      <c r="B37" s="9"/>
      <c r="C37" s="10"/>
      <c r="D37" s="10"/>
      <c r="E37" s="10"/>
      <c r="F37" s="10"/>
      <c r="G37" s="9"/>
      <c r="H37" s="11"/>
      <c r="I37" s="11"/>
      <c r="J37" s="11"/>
      <c r="K37" s="9"/>
      <c r="L37" s="10"/>
      <c r="M37" s="9"/>
      <c r="N37" s="9"/>
      <c r="O37" s="9"/>
      <c r="P37" s="9"/>
      <c r="Q37" s="9"/>
      <c r="R37" s="9"/>
      <c r="T37" s="13"/>
      <c r="U37" s="14"/>
      <c r="V37" s="10"/>
      <c r="W37" s="10"/>
      <c r="X37" s="10"/>
      <c r="Y37" s="10"/>
      <c r="Z37" s="11"/>
      <c r="AA37" s="11"/>
      <c r="AB37" s="13"/>
      <c r="AC37" s="13"/>
    </row>
    <row r="38" spans="1:29" ht="13" x14ac:dyDescent="0.3">
      <c r="A38" s="8"/>
      <c r="B38" s="9"/>
      <c r="C38" s="10"/>
      <c r="D38" s="10"/>
      <c r="E38" s="10"/>
      <c r="F38" s="10"/>
      <c r="G38" s="9"/>
      <c r="H38" s="11"/>
      <c r="I38" s="11"/>
      <c r="J38" s="11"/>
      <c r="K38" s="9"/>
      <c r="L38" s="10"/>
      <c r="M38" s="9"/>
      <c r="N38" s="9"/>
      <c r="O38" s="9"/>
      <c r="P38" s="9"/>
      <c r="Q38" s="9"/>
      <c r="R38" s="9"/>
      <c r="T38" s="13"/>
      <c r="U38" s="14"/>
      <c r="V38" s="10"/>
      <c r="W38" s="10"/>
      <c r="X38" s="10"/>
      <c r="Y38" s="10"/>
      <c r="Z38" s="11"/>
      <c r="AA38" s="11"/>
      <c r="AB38" s="13"/>
      <c r="AC38" s="13"/>
    </row>
    <row r="39" spans="1:29" ht="13" x14ac:dyDescent="0.3">
      <c r="A39" s="8"/>
      <c r="B39" s="9"/>
      <c r="C39" s="10"/>
      <c r="D39" s="10"/>
      <c r="E39" s="10"/>
      <c r="F39" s="10"/>
      <c r="G39" s="9"/>
      <c r="H39" s="11"/>
      <c r="I39" s="11"/>
      <c r="J39" s="11"/>
      <c r="K39" s="9"/>
      <c r="L39" s="10"/>
      <c r="M39" s="9"/>
      <c r="N39" s="9"/>
      <c r="O39" s="9"/>
      <c r="P39" s="9"/>
      <c r="Q39" s="9"/>
      <c r="R39" s="9"/>
      <c r="T39" s="13"/>
      <c r="U39" s="14"/>
      <c r="V39" s="10"/>
      <c r="W39" s="10"/>
      <c r="X39" s="10"/>
      <c r="Y39" s="10"/>
      <c r="Z39" s="11"/>
      <c r="AA39" s="11"/>
      <c r="AB39" s="13"/>
      <c r="AC39" s="13"/>
    </row>
    <row r="40" spans="1:29" ht="13" x14ac:dyDescent="0.3">
      <c r="A40" s="8"/>
      <c r="B40" s="9"/>
      <c r="C40" s="10"/>
      <c r="D40" s="10"/>
      <c r="E40" s="10"/>
      <c r="F40" s="10"/>
      <c r="G40" s="9"/>
      <c r="H40" s="11"/>
      <c r="I40" s="11"/>
      <c r="J40" s="11"/>
      <c r="K40" s="9"/>
      <c r="L40" s="10"/>
      <c r="M40" s="9"/>
      <c r="N40" s="9"/>
      <c r="O40" s="9"/>
      <c r="P40" s="9"/>
      <c r="Q40" s="9"/>
      <c r="R40" s="9"/>
      <c r="T40" s="13"/>
      <c r="U40" s="14"/>
      <c r="V40" s="10"/>
      <c r="W40" s="10"/>
      <c r="X40" s="10"/>
      <c r="Y40" s="10"/>
      <c r="Z40" s="11"/>
      <c r="AA40" s="11"/>
      <c r="AB40" s="13"/>
      <c r="AC40" s="13"/>
    </row>
    <row r="41" spans="1:29" ht="13" x14ac:dyDescent="0.3">
      <c r="A41" s="8"/>
      <c r="B41" s="9"/>
      <c r="C41" s="10"/>
      <c r="D41" s="10"/>
      <c r="E41" s="10"/>
      <c r="F41" s="10"/>
      <c r="G41" s="9"/>
      <c r="H41" s="11"/>
      <c r="I41" s="11"/>
      <c r="J41" s="11"/>
      <c r="K41" s="9"/>
      <c r="L41" s="10"/>
      <c r="M41" s="9"/>
      <c r="N41" s="9"/>
      <c r="O41" s="9"/>
      <c r="P41" s="9"/>
      <c r="Q41" s="9"/>
      <c r="R41" s="9"/>
      <c r="T41" s="13"/>
      <c r="U41" s="14"/>
      <c r="V41" s="10"/>
      <c r="W41" s="10"/>
      <c r="X41" s="10"/>
      <c r="Y41" s="10"/>
      <c r="Z41" s="11"/>
      <c r="AA41" s="11"/>
      <c r="AB41" s="13"/>
      <c r="AC41" s="13"/>
    </row>
    <row r="42" spans="1:29" ht="13" x14ac:dyDescent="0.3">
      <c r="A42" s="8"/>
      <c r="B42" s="9"/>
      <c r="C42" s="10"/>
      <c r="D42" s="10"/>
      <c r="E42" s="10"/>
      <c r="F42" s="10"/>
      <c r="G42" s="9"/>
      <c r="H42" s="11"/>
      <c r="I42" s="11"/>
      <c r="J42" s="11"/>
      <c r="K42" s="9"/>
      <c r="L42" s="10"/>
      <c r="M42" s="9"/>
      <c r="N42" s="9"/>
      <c r="O42" s="9"/>
      <c r="P42" s="9"/>
      <c r="Q42" s="9"/>
      <c r="R42" s="9"/>
      <c r="T42" s="13"/>
      <c r="U42" s="14"/>
      <c r="V42" s="10"/>
      <c r="W42" s="10"/>
      <c r="X42" s="10"/>
      <c r="Y42" s="10"/>
      <c r="Z42" s="11"/>
      <c r="AA42" s="11"/>
      <c r="AB42" s="13"/>
      <c r="AC42" s="13"/>
    </row>
    <row r="43" spans="1:29" ht="13" x14ac:dyDescent="0.3">
      <c r="A43" s="8"/>
      <c r="B43" s="9"/>
      <c r="C43" s="10"/>
      <c r="D43" s="10"/>
      <c r="E43" s="10"/>
      <c r="F43" s="10"/>
      <c r="G43" s="9"/>
      <c r="H43" s="11"/>
      <c r="I43" s="11"/>
      <c r="J43" s="11"/>
      <c r="K43" s="9"/>
      <c r="L43" s="10"/>
      <c r="M43" s="9"/>
      <c r="N43" s="9"/>
      <c r="O43" s="9"/>
      <c r="P43" s="9"/>
      <c r="Q43" s="9"/>
      <c r="R43" s="9"/>
      <c r="T43" s="13"/>
      <c r="U43" s="14"/>
      <c r="V43" s="10"/>
      <c r="W43" s="10"/>
      <c r="X43" s="10"/>
      <c r="Y43" s="10"/>
      <c r="Z43" s="11"/>
      <c r="AA43" s="11"/>
      <c r="AB43" s="13"/>
      <c r="AC43" s="13"/>
    </row>
    <row r="44" spans="1:29" ht="13" x14ac:dyDescent="0.3">
      <c r="A44" s="8"/>
      <c r="B44" s="9"/>
      <c r="C44" s="10"/>
      <c r="D44" s="10"/>
      <c r="E44" s="10"/>
      <c r="F44" s="10"/>
      <c r="G44" s="9"/>
      <c r="H44" s="11"/>
      <c r="I44" s="11"/>
      <c r="J44" s="11"/>
      <c r="K44" s="9"/>
      <c r="L44" s="10"/>
      <c r="M44" s="9"/>
      <c r="N44" s="9"/>
      <c r="O44" s="9"/>
      <c r="P44" s="9"/>
      <c r="Q44" s="9"/>
      <c r="R44" s="9"/>
      <c r="T44" s="13"/>
      <c r="U44" s="14"/>
      <c r="V44" s="10"/>
      <c r="W44" s="10"/>
      <c r="X44" s="10"/>
      <c r="Y44" s="10"/>
      <c r="Z44" s="11"/>
      <c r="AA44" s="11"/>
      <c r="AB44" s="13"/>
      <c r="AC44" s="13"/>
    </row>
    <row r="45" spans="1:29" ht="13" x14ac:dyDescent="0.3">
      <c r="A45" s="8"/>
      <c r="B45" s="9"/>
      <c r="C45" s="10"/>
      <c r="D45" s="10"/>
      <c r="E45" s="10"/>
      <c r="F45" s="10"/>
      <c r="G45" s="9"/>
      <c r="H45" s="11"/>
      <c r="I45" s="11"/>
      <c r="J45" s="11"/>
      <c r="K45" s="9"/>
      <c r="L45" s="10"/>
      <c r="M45" s="9"/>
      <c r="N45" s="9"/>
      <c r="O45" s="9"/>
      <c r="P45" s="9"/>
      <c r="Q45" s="9"/>
      <c r="R45" s="9"/>
      <c r="T45" s="13"/>
      <c r="U45" s="14"/>
      <c r="V45" s="10"/>
      <c r="W45" s="10"/>
      <c r="X45" s="10"/>
      <c r="Y45" s="10"/>
      <c r="Z45" s="11"/>
      <c r="AA45" s="11"/>
      <c r="AB45" s="13"/>
      <c r="AC45" s="13"/>
    </row>
    <row r="46" spans="1:29" ht="13" x14ac:dyDescent="0.3">
      <c r="A46" s="8"/>
      <c r="B46" s="9"/>
      <c r="C46" s="10"/>
      <c r="D46" s="10"/>
      <c r="E46" s="10"/>
      <c r="F46" s="10"/>
      <c r="G46" s="9"/>
      <c r="H46" s="11"/>
      <c r="I46" s="11"/>
      <c r="J46" s="11"/>
      <c r="K46" s="9"/>
      <c r="L46" s="10"/>
      <c r="M46" s="9"/>
      <c r="N46" s="9"/>
      <c r="O46" s="9"/>
      <c r="P46" s="9"/>
      <c r="Q46" s="9"/>
      <c r="R46" s="9"/>
      <c r="T46" s="13"/>
      <c r="U46" s="14"/>
      <c r="V46" s="10"/>
      <c r="W46" s="10"/>
      <c r="X46" s="10"/>
      <c r="Y46" s="10"/>
      <c r="Z46" s="11"/>
      <c r="AA46" s="11"/>
      <c r="AB46" s="13"/>
      <c r="AC46" s="13"/>
    </row>
    <row r="47" spans="1:29" ht="13" x14ac:dyDescent="0.3">
      <c r="A47" s="8"/>
      <c r="B47" s="9"/>
      <c r="C47" s="10"/>
      <c r="D47" s="10"/>
      <c r="E47" s="10"/>
      <c r="F47" s="10"/>
      <c r="G47" s="9"/>
      <c r="H47" s="11"/>
      <c r="I47" s="11"/>
      <c r="J47" s="11"/>
      <c r="K47" s="9"/>
      <c r="L47" s="10"/>
      <c r="M47" s="9"/>
      <c r="N47" s="9"/>
      <c r="O47" s="9"/>
      <c r="P47" s="9"/>
      <c r="Q47" s="9"/>
      <c r="R47" s="9"/>
      <c r="T47" s="13"/>
      <c r="U47" s="14"/>
      <c r="V47" s="10"/>
      <c r="W47" s="10"/>
      <c r="X47" s="10"/>
      <c r="Y47" s="10"/>
      <c r="Z47" s="11"/>
      <c r="AA47" s="11"/>
      <c r="AB47" s="13"/>
      <c r="AC47" s="13"/>
    </row>
    <row r="48" spans="1:29" ht="13" x14ac:dyDescent="0.3">
      <c r="A48" s="8"/>
      <c r="B48" s="9"/>
      <c r="C48" s="10"/>
      <c r="D48" s="10"/>
      <c r="E48" s="10"/>
      <c r="F48" s="10"/>
      <c r="G48" s="9"/>
      <c r="H48" s="11"/>
      <c r="I48" s="11"/>
      <c r="J48" s="11"/>
      <c r="K48" s="9"/>
      <c r="L48" s="10"/>
      <c r="M48" s="9"/>
      <c r="N48" s="9"/>
      <c r="O48" s="9"/>
      <c r="P48" s="9"/>
      <c r="Q48" s="9"/>
      <c r="R48" s="9"/>
      <c r="T48" s="13"/>
      <c r="U48" s="14"/>
      <c r="V48" s="10"/>
      <c r="W48" s="10"/>
      <c r="X48" s="10"/>
      <c r="Y48" s="10"/>
      <c r="Z48" s="11"/>
      <c r="AA48" s="11"/>
      <c r="AB48" s="13"/>
      <c r="AC48" s="13"/>
    </row>
    <row r="49" spans="1:29" ht="13" x14ac:dyDescent="0.3">
      <c r="A49" s="8"/>
      <c r="B49" s="9"/>
      <c r="C49" s="10"/>
      <c r="D49" s="10"/>
      <c r="E49" s="10"/>
      <c r="F49" s="10"/>
      <c r="G49" s="9"/>
      <c r="H49" s="11"/>
      <c r="I49" s="11"/>
      <c r="J49" s="11"/>
      <c r="K49" s="9"/>
      <c r="L49" s="10"/>
      <c r="M49" s="9"/>
      <c r="N49" s="9"/>
      <c r="O49" s="9"/>
      <c r="P49" s="9"/>
      <c r="Q49" s="9"/>
      <c r="R49" s="9"/>
      <c r="T49" s="13"/>
      <c r="U49" s="14"/>
      <c r="V49" s="10"/>
      <c r="W49" s="10"/>
      <c r="X49" s="10"/>
      <c r="Y49" s="10"/>
      <c r="Z49" s="11"/>
      <c r="AA49" s="11"/>
      <c r="AB49" s="13"/>
      <c r="AC49" s="13"/>
    </row>
    <row r="50" spans="1:29" ht="13" x14ac:dyDescent="0.3">
      <c r="A50" s="8"/>
      <c r="B50" s="9"/>
      <c r="C50" s="10"/>
      <c r="D50" s="10"/>
      <c r="E50" s="10"/>
      <c r="F50" s="10"/>
      <c r="G50" s="9"/>
      <c r="H50" s="11"/>
      <c r="I50" s="11"/>
      <c r="J50" s="11"/>
      <c r="K50" s="9"/>
      <c r="L50" s="10"/>
      <c r="M50" s="9"/>
      <c r="N50" s="9"/>
      <c r="O50" s="9"/>
      <c r="P50" s="9"/>
      <c r="Q50" s="9"/>
      <c r="R50" s="9"/>
      <c r="T50" s="13"/>
      <c r="U50" s="14"/>
      <c r="V50" s="10"/>
      <c r="W50" s="10"/>
      <c r="X50" s="10"/>
      <c r="Y50" s="10"/>
      <c r="Z50" s="11"/>
      <c r="AA50" s="11"/>
      <c r="AB50" s="13"/>
      <c r="AC50" s="13"/>
    </row>
    <row r="51" spans="1:29" ht="13" x14ac:dyDescent="0.3">
      <c r="A51" s="8"/>
      <c r="B51" s="9"/>
      <c r="C51" s="10"/>
      <c r="D51" s="10"/>
      <c r="E51" s="10"/>
      <c r="F51" s="10"/>
      <c r="G51" s="9"/>
      <c r="H51" s="11"/>
      <c r="I51" s="11"/>
      <c r="J51" s="11"/>
      <c r="K51" s="9"/>
      <c r="L51" s="10"/>
      <c r="M51" s="9"/>
      <c r="N51" s="9"/>
      <c r="O51" s="9"/>
      <c r="P51" s="9"/>
      <c r="Q51" s="9"/>
      <c r="R51" s="9"/>
      <c r="T51" s="13"/>
      <c r="U51" s="14"/>
      <c r="V51" s="10"/>
      <c r="W51" s="10"/>
      <c r="X51" s="10"/>
      <c r="Y51" s="10"/>
      <c r="Z51" s="11"/>
      <c r="AA51" s="11"/>
      <c r="AB51" s="13"/>
      <c r="AC51" s="13"/>
    </row>
    <row r="52" spans="1:29" ht="13" x14ac:dyDescent="0.3">
      <c r="A52" s="8"/>
      <c r="B52" s="9"/>
      <c r="C52" s="10"/>
      <c r="D52" s="10"/>
      <c r="E52" s="10"/>
      <c r="F52" s="10"/>
      <c r="G52" s="9"/>
      <c r="H52" s="11"/>
      <c r="I52" s="11"/>
      <c r="J52" s="11"/>
      <c r="K52" s="9"/>
      <c r="L52" s="10"/>
      <c r="M52" s="9"/>
      <c r="N52" s="9"/>
      <c r="O52" s="9"/>
      <c r="P52" s="9"/>
      <c r="Q52" s="9"/>
      <c r="R52" s="9"/>
      <c r="T52" s="13"/>
      <c r="U52" s="14"/>
      <c r="V52" s="10"/>
      <c r="W52" s="10"/>
      <c r="X52" s="10"/>
      <c r="Y52" s="10"/>
      <c r="Z52" s="11"/>
      <c r="AA52" s="11"/>
      <c r="AB52" s="13"/>
      <c r="AC52" s="13"/>
    </row>
    <row r="53" spans="1:29" ht="13" x14ac:dyDescent="0.3">
      <c r="A53" s="8"/>
      <c r="B53" s="9"/>
      <c r="C53" s="10"/>
      <c r="D53" s="10"/>
      <c r="E53" s="10"/>
      <c r="F53" s="10"/>
      <c r="G53" s="9"/>
      <c r="H53" s="11"/>
      <c r="I53" s="11"/>
      <c r="J53" s="11"/>
      <c r="K53" s="9"/>
      <c r="L53" s="10"/>
      <c r="M53" s="9"/>
      <c r="N53" s="9"/>
      <c r="O53" s="9"/>
      <c r="P53" s="9"/>
      <c r="Q53" s="9"/>
      <c r="R53" s="9"/>
      <c r="T53" s="13"/>
      <c r="U53" s="14"/>
      <c r="V53" s="10"/>
      <c r="W53" s="10"/>
      <c r="X53" s="10"/>
      <c r="Y53" s="10"/>
      <c r="Z53" s="11"/>
      <c r="AA53" s="11"/>
      <c r="AB53" s="13"/>
      <c r="AC53" s="13"/>
    </row>
    <row r="54" spans="1:29" ht="13" x14ac:dyDescent="0.3">
      <c r="A54" s="8"/>
      <c r="B54" s="9"/>
      <c r="C54" s="10"/>
      <c r="D54" s="10"/>
      <c r="E54" s="10"/>
      <c r="F54" s="10"/>
      <c r="G54" s="9"/>
      <c r="H54" s="11"/>
      <c r="I54" s="11"/>
      <c r="J54" s="11"/>
      <c r="K54" s="9"/>
      <c r="L54" s="10"/>
      <c r="M54" s="9"/>
      <c r="N54" s="9"/>
      <c r="O54" s="9"/>
      <c r="P54" s="9"/>
      <c r="Q54" s="9"/>
      <c r="R54" s="9"/>
      <c r="T54" s="13"/>
      <c r="U54" s="14"/>
      <c r="V54" s="10"/>
      <c r="W54" s="10"/>
      <c r="X54" s="10"/>
      <c r="Y54" s="10"/>
      <c r="Z54" s="11"/>
      <c r="AA54" s="11"/>
      <c r="AB54" s="13"/>
      <c r="AC54" s="13"/>
    </row>
    <row r="55" spans="1:29" ht="13" x14ac:dyDescent="0.3">
      <c r="A55" s="8"/>
      <c r="B55" s="9"/>
      <c r="C55" s="10"/>
      <c r="D55" s="10"/>
      <c r="E55" s="10"/>
      <c r="F55" s="10"/>
      <c r="G55" s="9"/>
      <c r="H55" s="11"/>
      <c r="I55" s="11"/>
      <c r="J55" s="11"/>
      <c r="K55" s="9"/>
      <c r="L55" s="10"/>
      <c r="M55" s="9"/>
      <c r="N55" s="9"/>
      <c r="O55" s="9"/>
      <c r="P55" s="9"/>
      <c r="Q55" s="9"/>
      <c r="R55" s="9"/>
      <c r="T55" s="13"/>
      <c r="U55" s="14"/>
      <c r="V55" s="10"/>
      <c r="W55" s="10"/>
      <c r="X55" s="10"/>
      <c r="Y55" s="10"/>
      <c r="Z55" s="11"/>
      <c r="AA55" s="11"/>
      <c r="AB55" s="13"/>
      <c r="AC55" s="13"/>
    </row>
    <row r="56" spans="1:29" ht="13" x14ac:dyDescent="0.3">
      <c r="A56" s="8"/>
      <c r="B56" s="9"/>
      <c r="C56" s="10"/>
      <c r="D56" s="10"/>
      <c r="E56" s="10"/>
      <c r="F56" s="10"/>
      <c r="G56" s="9"/>
      <c r="H56" s="11"/>
      <c r="I56" s="11"/>
      <c r="J56" s="11"/>
      <c r="K56" s="9"/>
      <c r="L56" s="10"/>
      <c r="M56" s="9"/>
      <c r="N56" s="9"/>
      <c r="O56" s="9"/>
      <c r="P56" s="9"/>
      <c r="Q56" s="9"/>
      <c r="R56" s="9"/>
      <c r="T56" s="13"/>
      <c r="U56" s="14"/>
      <c r="V56" s="10"/>
      <c r="W56" s="10"/>
      <c r="X56" s="10"/>
      <c r="Y56" s="10"/>
      <c r="Z56" s="11"/>
      <c r="AA56" s="11"/>
      <c r="AB56" s="13"/>
      <c r="AC56" s="13"/>
    </row>
    <row r="57" spans="1:29" ht="13" x14ac:dyDescent="0.3">
      <c r="A57" s="8"/>
      <c r="B57" s="9"/>
      <c r="C57" s="10"/>
      <c r="D57" s="10"/>
      <c r="E57" s="10"/>
      <c r="F57" s="10"/>
      <c r="G57" s="9"/>
      <c r="H57" s="11"/>
      <c r="I57" s="11"/>
      <c r="J57" s="11"/>
      <c r="K57" s="9"/>
      <c r="L57" s="10"/>
      <c r="M57" s="9"/>
      <c r="N57" s="9"/>
      <c r="O57" s="9"/>
      <c r="P57" s="9"/>
      <c r="Q57" s="9"/>
      <c r="R57" s="9"/>
      <c r="T57" s="13"/>
      <c r="U57" s="14"/>
      <c r="V57" s="10"/>
      <c r="W57" s="10"/>
      <c r="X57" s="10"/>
      <c r="Y57" s="10"/>
      <c r="Z57" s="11"/>
      <c r="AA57" s="11"/>
      <c r="AB57" s="13"/>
      <c r="AC57" s="13"/>
    </row>
    <row r="58" spans="1:29" ht="13" x14ac:dyDescent="0.3">
      <c r="A58" s="8"/>
      <c r="B58" s="9"/>
      <c r="C58" s="10"/>
      <c r="D58" s="10"/>
      <c r="E58" s="10"/>
      <c r="F58" s="10"/>
      <c r="G58" s="9"/>
      <c r="H58" s="11"/>
      <c r="I58" s="11"/>
      <c r="J58" s="11"/>
      <c r="K58" s="9"/>
      <c r="L58" s="10"/>
      <c r="M58" s="9"/>
      <c r="N58" s="9"/>
      <c r="O58" s="9"/>
      <c r="P58" s="9"/>
      <c r="Q58" s="9"/>
      <c r="R58" s="9"/>
      <c r="T58" s="13"/>
      <c r="U58" s="14"/>
      <c r="V58" s="10"/>
      <c r="W58" s="10"/>
      <c r="X58" s="10"/>
      <c r="Y58" s="10"/>
      <c r="Z58" s="11"/>
      <c r="AA58" s="11"/>
      <c r="AB58" s="13"/>
      <c r="AC58" s="13"/>
    </row>
    <row r="59" spans="1:29" ht="13" x14ac:dyDescent="0.3">
      <c r="A59" s="8"/>
      <c r="B59" s="9"/>
      <c r="C59" s="10"/>
      <c r="D59" s="10"/>
      <c r="E59" s="10"/>
      <c r="F59" s="10"/>
      <c r="G59" s="9"/>
      <c r="H59" s="11"/>
      <c r="I59" s="11"/>
      <c r="J59" s="11"/>
      <c r="K59" s="9"/>
      <c r="L59" s="10"/>
      <c r="M59" s="9"/>
      <c r="N59" s="9"/>
      <c r="O59" s="9"/>
      <c r="P59" s="9"/>
      <c r="Q59" s="9"/>
      <c r="R59" s="9"/>
      <c r="T59" s="13"/>
      <c r="U59" s="14"/>
      <c r="V59" s="10"/>
      <c r="W59" s="10"/>
      <c r="X59" s="10"/>
      <c r="Y59" s="10"/>
      <c r="Z59" s="11"/>
      <c r="AA59" s="11"/>
      <c r="AB59" s="13"/>
      <c r="AC59" s="13"/>
    </row>
    <row r="60" spans="1:29" ht="13" x14ac:dyDescent="0.3">
      <c r="A60" s="8"/>
      <c r="B60" s="9"/>
      <c r="C60" s="10"/>
      <c r="D60" s="10"/>
      <c r="E60" s="10"/>
      <c r="F60" s="10"/>
      <c r="G60" s="9"/>
      <c r="H60" s="11"/>
      <c r="I60" s="11"/>
      <c r="J60" s="11"/>
      <c r="K60" s="9"/>
      <c r="L60" s="10"/>
      <c r="M60" s="9"/>
      <c r="N60" s="9"/>
      <c r="O60" s="9"/>
      <c r="P60" s="9"/>
      <c r="Q60" s="9"/>
      <c r="R60" s="9"/>
      <c r="T60" s="13"/>
      <c r="U60" s="14"/>
      <c r="V60" s="10"/>
      <c r="W60" s="10"/>
      <c r="X60" s="10"/>
      <c r="Y60" s="10"/>
      <c r="Z60" s="11"/>
      <c r="AA60" s="11"/>
      <c r="AB60" s="13"/>
      <c r="AC60" s="13"/>
    </row>
    <row r="61" spans="1:29" ht="13" x14ac:dyDescent="0.3">
      <c r="A61" s="8"/>
      <c r="B61" s="9"/>
      <c r="C61" s="10"/>
      <c r="D61" s="10"/>
      <c r="E61" s="10"/>
      <c r="F61" s="10"/>
      <c r="G61" s="9"/>
      <c r="H61" s="11"/>
      <c r="I61" s="11"/>
      <c r="J61" s="11"/>
      <c r="K61" s="9"/>
      <c r="L61" s="10"/>
      <c r="M61" s="9"/>
      <c r="N61" s="9"/>
      <c r="O61" s="9"/>
      <c r="P61" s="9"/>
      <c r="Q61" s="9"/>
      <c r="R61" s="9"/>
      <c r="T61" s="13"/>
      <c r="U61" s="14"/>
      <c r="V61" s="10"/>
      <c r="W61" s="10"/>
      <c r="X61" s="10"/>
      <c r="Y61" s="10"/>
      <c r="Z61" s="11"/>
      <c r="AA61" s="11"/>
      <c r="AB61" s="13"/>
      <c r="AC61" s="13"/>
    </row>
    <row r="62" spans="1:29" ht="13" x14ac:dyDescent="0.3">
      <c r="A62" s="8"/>
      <c r="B62" s="9"/>
      <c r="C62" s="10"/>
      <c r="D62" s="10"/>
      <c r="E62" s="10"/>
      <c r="F62" s="10"/>
      <c r="G62" s="9"/>
      <c r="H62" s="11"/>
      <c r="I62" s="11"/>
      <c r="J62" s="11"/>
      <c r="K62" s="9"/>
      <c r="L62" s="10"/>
      <c r="M62" s="9"/>
      <c r="N62" s="9"/>
      <c r="O62" s="9"/>
      <c r="P62" s="9"/>
      <c r="Q62" s="9"/>
      <c r="R62" s="9"/>
      <c r="T62" s="13"/>
      <c r="U62" s="14"/>
      <c r="V62" s="10"/>
      <c r="W62" s="10"/>
      <c r="X62" s="10"/>
      <c r="Y62" s="10"/>
      <c r="Z62" s="11"/>
      <c r="AA62" s="11"/>
      <c r="AB62" s="13"/>
      <c r="AC62" s="13"/>
    </row>
    <row r="63" spans="1:29" ht="13" x14ac:dyDescent="0.3">
      <c r="A63" s="8"/>
      <c r="B63" s="9"/>
      <c r="C63" s="10"/>
      <c r="D63" s="10"/>
      <c r="E63" s="10"/>
      <c r="F63" s="10"/>
      <c r="G63" s="9"/>
      <c r="H63" s="11"/>
      <c r="I63" s="11"/>
      <c r="J63" s="11"/>
      <c r="K63" s="9"/>
      <c r="L63" s="10"/>
      <c r="M63" s="9"/>
      <c r="N63" s="9"/>
      <c r="O63" s="9"/>
      <c r="P63" s="9"/>
      <c r="Q63" s="9"/>
      <c r="R63" s="9"/>
      <c r="T63" s="13"/>
      <c r="U63" s="14"/>
      <c r="V63" s="10"/>
      <c r="W63" s="10"/>
      <c r="X63" s="10"/>
      <c r="Y63" s="10"/>
      <c r="Z63" s="11"/>
      <c r="AA63" s="11"/>
      <c r="AB63" s="13"/>
      <c r="AC63" s="13"/>
    </row>
    <row r="64" spans="1:29" ht="13" x14ac:dyDescent="0.3">
      <c r="A64" s="8"/>
      <c r="B64" s="9"/>
      <c r="C64" s="10"/>
      <c r="D64" s="10"/>
      <c r="E64" s="10"/>
      <c r="F64" s="10"/>
      <c r="G64" s="9"/>
      <c r="H64" s="11"/>
      <c r="I64" s="11"/>
      <c r="J64" s="11"/>
      <c r="K64" s="9"/>
      <c r="L64" s="10"/>
      <c r="M64" s="9"/>
      <c r="N64" s="9"/>
      <c r="O64" s="9"/>
      <c r="P64" s="9"/>
      <c r="Q64" s="9"/>
      <c r="R64" s="9"/>
      <c r="T64" s="13"/>
      <c r="U64" s="14"/>
      <c r="V64" s="10"/>
      <c r="W64" s="10"/>
      <c r="X64" s="10"/>
      <c r="Y64" s="10"/>
      <c r="Z64" s="11"/>
      <c r="AA64" s="11"/>
      <c r="AB64" s="13"/>
      <c r="AC64" s="13"/>
    </row>
    <row r="65" spans="1:29" ht="13" x14ac:dyDescent="0.3">
      <c r="A65" s="8"/>
      <c r="B65" s="9"/>
      <c r="C65" s="10"/>
      <c r="D65" s="10"/>
      <c r="E65" s="10"/>
      <c r="F65" s="10"/>
      <c r="G65" s="9"/>
      <c r="H65" s="11"/>
      <c r="I65" s="11"/>
      <c r="J65" s="11"/>
      <c r="K65" s="9"/>
      <c r="L65" s="10"/>
      <c r="M65" s="9"/>
      <c r="N65" s="9"/>
      <c r="O65" s="9"/>
      <c r="P65" s="9"/>
      <c r="Q65" s="9"/>
      <c r="R65" s="9"/>
      <c r="T65" s="13"/>
      <c r="U65" s="14"/>
      <c r="V65" s="10"/>
      <c r="W65" s="10"/>
      <c r="X65" s="10"/>
      <c r="Y65" s="10"/>
      <c r="Z65" s="11"/>
      <c r="AA65" s="11"/>
      <c r="AB65" s="13"/>
      <c r="AC65" s="13"/>
    </row>
    <row r="66" spans="1:29" ht="13" x14ac:dyDescent="0.3">
      <c r="A66" s="8"/>
      <c r="B66" s="9"/>
      <c r="C66" s="10"/>
      <c r="D66" s="10"/>
      <c r="E66" s="10"/>
      <c r="F66" s="10"/>
      <c r="G66" s="9"/>
      <c r="H66" s="11"/>
      <c r="I66" s="11"/>
      <c r="J66" s="11"/>
      <c r="K66" s="9"/>
      <c r="L66" s="10"/>
      <c r="M66" s="9"/>
      <c r="N66" s="9"/>
      <c r="O66" s="9"/>
      <c r="P66" s="9"/>
      <c r="Q66" s="9"/>
      <c r="R66" s="9"/>
      <c r="T66" s="13"/>
      <c r="U66" s="14"/>
      <c r="V66" s="10"/>
      <c r="W66" s="10"/>
      <c r="X66" s="10"/>
      <c r="Y66" s="10"/>
      <c r="Z66" s="11"/>
      <c r="AA66" s="11"/>
      <c r="AB66" s="13"/>
      <c r="AC66" s="13"/>
    </row>
    <row r="67" spans="1:29" ht="13" x14ac:dyDescent="0.3">
      <c r="A67" s="8"/>
      <c r="B67" s="9"/>
      <c r="C67" s="10"/>
      <c r="D67" s="10"/>
      <c r="E67" s="10"/>
      <c r="F67" s="10"/>
      <c r="G67" s="9"/>
      <c r="H67" s="11"/>
      <c r="I67" s="11"/>
      <c r="J67" s="11"/>
      <c r="K67" s="9"/>
      <c r="L67" s="10"/>
      <c r="M67" s="9"/>
      <c r="N67" s="9"/>
      <c r="O67" s="9"/>
      <c r="P67" s="9"/>
      <c r="Q67" s="9"/>
      <c r="R67" s="9"/>
      <c r="T67" s="13"/>
      <c r="U67" s="14"/>
      <c r="V67" s="10"/>
      <c r="W67" s="10"/>
      <c r="X67" s="10"/>
      <c r="Y67" s="10"/>
      <c r="Z67" s="11"/>
      <c r="AA67" s="11"/>
      <c r="AB67" s="13"/>
      <c r="AC67" s="13"/>
    </row>
    <row r="68" spans="1:29" ht="13" x14ac:dyDescent="0.3">
      <c r="A68" s="8"/>
      <c r="B68" s="9"/>
      <c r="C68" s="10"/>
      <c r="D68" s="10"/>
      <c r="E68" s="10"/>
      <c r="F68" s="10"/>
      <c r="G68" s="9"/>
      <c r="H68" s="11"/>
      <c r="I68" s="11"/>
      <c r="J68" s="11"/>
      <c r="K68" s="9"/>
      <c r="L68" s="10"/>
      <c r="M68" s="9"/>
      <c r="N68" s="9"/>
      <c r="O68" s="9"/>
      <c r="P68" s="9"/>
      <c r="Q68" s="9"/>
      <c r="R68" s="9"/>
      <c r="T68" s="13"/>
      <c r="U68" s="14"/>
      <c r="V68" s="10"/>
      <c r="W68" s="10"/>
      <c r="X68" s="10"/>
      <c r="Y68" s="10"/>
      <c r="Z68" s="11"/>
      <c r="AA68" s="11"/>
      <c r="AB68" s="13"/>
      <c r="AC68" s="13"/>
    </row>
    <row r="69" spans="1:29" ht="13" x14ac:dyDescent="0.3">
      <c r="A69" s="8"/>
      <c r="B69" s="9"/>
      <c r="C69" s="10"/>
      <c r="D69" s="10"/>
      <c r="E69" s="10"/>
      <c r="F69" s="10"/>
      <c r="G69" s="9"/>
      <c r="H69" s="11"/>
      <c r="I69" s="11"/>
      <c r="J69" s="11"/>
      <c r="K69" s="9"/>
      <c r="L69" s="10"/>
      <c r="M69" s="9"/>
      <c r="N69" s="9"/>
      <c r="O69" s="9"/>
      <c r="P69" s="9"/>
      <c r="Q69" s="9"/>
      <c r="R69" s="9"/>
      <c r="T69" s="13"/>
      <c r="U69" s="14"/>
      <c r="V69" s="10"/>
      <c r="W69" s="10"/>
      <c r="X69" s="10"/>
      <c r="Y69" s="10"/>
      <c r="Z69" s="11"/>
      <c r="AA69" s="11"/>
      <c r="AB69" s="13"/>
      <c r="AC69" s="13"/>
    </row>
    <row r="70" spans="1:29" ht="13" x14ac:dyDescent="0.3">
      <c r="A70" s="8"/>
      <c r="B70" s="9"/>
      <c r="C70" s="10"/>
      <c r="D70" s="10"/>
      <c r="E70" s="10"/>
      <c r="F70" s="10"/>
      <c r="G70" s="9"/>
      <c r="H70" s="11"/>
      <c r="I70" s="11"/>
      <c r="J70" s="11"/>
      <c r="K70" s="9"/>
      <c r="L70" s="10"/>
      <c r="M70" s="9"/>
      <c r="N70" s="9"/>
      <c r="O70" s="9"/>
      <c r="P70" s="9"/>
      <c r="Q70" s="9"/>
      <c r="R70" s="9"/>
      <c r="T70" s="13"/>
      <c r="U70" s="14"/>
      <c r="V70" s="10"/>
      <c r="W70" s="10"/>
      <c r="X70" s="10"/>
      <c r="Y70" s="10"/>
      <c r="Z70" s="11"/>
      <c r="AA70" s="11"/>
      <c r="AB70" s="13"/>
      <c r="AC70" s="13"/>
    </row>
    <row r="71" spans="1:29" ht="13" x14ac:dyDescent="0.3">
      <c r="A71" s="8"/>
      <c r="B71" s="9"/>
      <c r="C71" s="10"/>
      <c r="D71" s="10"/>
      <c r="E71" s="10"/>
      <c r="F71" s="10"/>
      <c r="G71" s="9"/>
      <c r="H71" s="11"/>
      <c r="I71" s="11"/>
      <c r="J71" s="11"/>
      <c r="K71" s="9"/>
      <c r="L71" s="10"/>
      <c r="M71" s="9"/>
      <c r="N71" s="9"/>
      <c r="O71" s="9"/>
      <c r="P71" s="9"/>
      <c r="Q71" s="9"/>
      <c r="R71" s="9"/>
      <c r="T71" s="13"/>
      <c r="U71" s="14"/>
      <c r="V71" s="10"/>
      <c r="W71" s="10"/>
      <c r="X71" s="10"/>
      <c r="Y71" s="10"/>
      <c r="Z71" s="11"/>
      <c r="AA71" s="11"/>
      <c r="AB71" s="13"/>
      <c r="AC71" s="13"/>
    </row>
    <row r="72" spans="1:29" ht="13" x14ac:dyDescent="0.3">
      <c r="A72" s="8"/>
      <c r="B72" s="9"/>
      <c r="C72" s="10"/>
      <c r="D72" s="10"/>
      <c r="E72" s="10"/>
      <c r="F72" s="10"/>
      <c r="G72" s="9"/>
      <c r="H72" s="11"/>
      <c r="I72" s="11"/>
      <c r="J72" s="11"/>
      <c r="K72" s="9"/>
      <c r="L72" s="10"/>
      <c r="M72" s="9"/>
      <c r="N72" s="9"/>
      <c r="O72" s="9"/>
      <c r="P72" s="9"/>
      <c r="Q72" s="9"/>
      <c r="R72" s="9"/>
      <c r="T72" s="13"/>
      <c r="U72" s="14"/>
      <c r="V72" s="10"/>
      <c r="W72" s="10"/>
      <c r="X72" s="10"/>
      <c r="Y72" s="10"/>
      <c r="Z72" s="11"/>
      <c r="AA72" s="11"/>
      <c r="AB72" s="13"/>
      <c r="AC72" s="13"/>
    </row>
    <row r="73" spans="1:29" ht="13" x14ac:dyDescent="0.3">
      <c r="A73" s="8"/>
      <c r="B73" s="9"/>
      <c r="C73" s="10"/>
      <c r="D73" s="10"/>
      <c r="E73" s="10"/>
      <c r="F73" s="10"/>
      <c r="G73" s="9"/>
      <c r="H73" s="11"/>
      <c r="I73" s="11"/>
      <c r="J73" s="11"/>
      <c r="K73" s="9"/>
      <c r="L73" s="10"/>
      <c r="M73" s="9"/>
      <c r="N73" s="9"/>
      <c r="O73" s="9"/>
      <c r="P73" s="9"/>
      <c r="Q73" s="9"/>
      <c r="R73" s="9"/>
      <c r="T73" s="13"/>
      <c r="U73" s="14"/>
      <c r="V73" s="10"/>
      <c r="W73" s="10"/>
      <c r="X73" s="10"/>
      <c r="Y73" s="10"/>
      <c r="Z73" s="11"/>
      <c r="AA73" s="11"/>
      <c r="AB73" s="13"/>
      <c r="AC73" s="13"/>
    </row>
    <row r="74" spans="1:29" ht="13" x14ac:dyDescent="0.3">
      <c r="A74" s="8"/>
      <c r="B74" s="9"/>
      <c r="C74" s="10"/>
      <c r="D74" s="10"/>
      <c r="E74" s="10"/>
      <c r="F74" s="10"/>
      <c r="G74" s="9"/>
      <c r="H74" s="11"/>
      <c r="I74" s="11"/>
      <c r="J74" s="11"/>
      <c r="K74" s="9"/>
      <c r="L74" s="10"/>
      <c r="M74" s="9"/>
      <c r="N74" s="9"/>
      <c r="O74" s="9"/>
      <c r="P74" s="9"/>
      <c r="Q74" s="9"/>
      <c r="R74" s="9"/>
      <c r="T74" s="13"/>
      <c r="U74" s="14"/>
      <c r="V74" s="10"/>
      <c r="W74" s="10"/>
      <c r="X74" s="10"/>
      <c r="Y74" s="10"/>
      <c r="Z74" s="11"/>
      <c r="AA74" s="11"/>
      <c r="AB74" s="13"/>
      <c r="AC74" s="13"/>
    </row>
    <row r="75" spans="1:29" ht="13" x14ac:dyDescent="0.3">
      <c r="A75" s="8"/>
      <c r="B75" s="9"/>
      <c r="C75" s="10"/>
      <c r="D75" s="10"/>
      <c r="E75" s="10"/>
      <c r="F75" s="10"/>
      <c r="G75" s="9"/>
      <c r="H75" s="11"/>
      <c r="I75" s="11"/>
      <c r="J75" s="11"/>
      <c r="K75" s="9"/>
      <c r="L75" s="10"/>
      <c r="M75" s="9"/>
      <c r="N75" s="9"/>
      <c r="O75" s="9"/>
      <c r="P75" s="9"/>
      <c r="Q75" s="9"/>
      <c r="R75" s="9"/>
      <c r="T75" s="13"/>
      <c r="U75" s="14"/>
      <c r="V75" s="10"/>
      <c r="W75" s="10"/>
      <c r="X75" s="10"/>
      <c r="Y75" s="10"/>
      <c r="Z75" s="11"/>
      <c r="AA75" s="11"/>
      <c r="AB75" s="13"/>
      <c r="AC75" s="13"/>
    </row>
    <row r="76" spans="1:29" ht="13" x14ac:dyDescent="0.3">
      <c r="A76" s="8"/>
      <c r="B76" s="9"/>
      <c r="C76" s="10"/>
      <c r="D76" s="10"/>
      <c r="E76" s="10"/>
      <c r="F76" s="10"/>
      <c r="G76" s="9"/>
      <c r="H76" s="11"/>
      <c r="I76" s="11"/>
      <c r="J76" s="11"/>
      <c r="K76" s="9"/>
      <c r="L76" s="10"/>
      <c r="M76" s="9"/>
      <c r="N76" s="9"/>
      <c r="O76" s="9"/>
      <c r="P76" s="9"/>
      <c r="Q76" s="9"/>
      <c r="R76" s="9"/>
      <c r="T76" s="13"/>
      <c r="U76" s="14"/>
      <c r="V76" s="10"/>
      <c r="W76" s="10"/>
      <c r="X76" s="10"/>
      <c r="Y76" s="10"/>
      <c r="Z76" s="11"/>
      <c r="AA76" s="11"/>
      <c r="AB76" s="13"/>
      <c r="AC76" s="13"/>
    </row>
    <row r="77" spans="1:29" ht="13" x14ac:dyDescent="0.3">
      <c r="A77" s="8"/>
      <c r="B77" s="9"/>
      <c r="C77" s="10"/>
      <c r="D77" s="10"/>
      <c r="E77" s="10"/>
      <c r="F77" s="10"/>
      <c r="G77" s="9"/>
      <c r="H77" s="11"/>
      <c r="I77" s="11"/>
      <c r="J77" s="11"/>
      <c r="K77" s="9"/>
      <c r="L77" s="10"/>
      <c r="M77" s="9"/>
      <c r="N77" s="9"/>
      <c r="O77" s="9"/>
      <c r="P77" s="9"/>
      <c r="Q77" s="9"/>
      <c r="R77" s="9"/>
      <c r="T77" s="13"/>
      <c r="U77" s="14"/>
      <c r="V77" s="10"/>
      <c r="W77" s="10"/>
      <c r="X77" s="10"/>
      <c r="Y77" s="10"/>
      <c r="Z77" s="11"/>
      <c r="AA77" s="11"/>
      <c r="AB77" s="13"/>
      <c r="AC77" s="13"/>
    </row>
    <row r="78" spans="1:29" ht="13" x14ac:dyDescent="0.3">
      <c r="A78" s="8"/>
      <c r="B78" s="9"/>
      <c r="C78" s="10"/>
      <c r="D78" s="10"/>
      <c r="E78" s="10"/>
      <c r="F78" s="10"/>
      <c r="G78" s="9"/>
      <c r="H78" s="11"/>
      <c r="I78" s="11"/>
      <c r="J78" s="11"/>
      <c r="K78" s="9"/>
      <c r="L78" s="10"/>
      <c r="M78" s="9"/>
      <c r="N78" s="9"/>
      <c r="O78" s="9"/>
      <c r="P78" s="9"/>
      <c r="Q78" s="9"/>
      <c r="R78" s="9"/>
      <c r="T78" s="13"/>
      <c r="U78" s="14"/>
      <c r="V78" s="10"/>
      <c r="W78" s="10"/>
      <c r="X78" s="10"/>
      <c r="Y78" s="10"/>
      <c r="Z78" s="11"/>
      <c r="AA78" s="11"/>
      <c r="AB78" s="13"/>
      <c r="AC78" s="13"/>
    </row>
    <row r="79" spans="1:29" ht="13" x14ac:dyDescent="0.3">
      <c r="A79" s="8"/>
      <c r="B79" s="9"/>
      <c r="C79" s="10"/>
      <c r="D79" s="10"/>
      <c r="E79" s="10"/>
      <c r="F79" s="10"/>
      <c r="G79" s="9"/>
      <c r="H79" s="11"/>
      <c r="I79" s="11"/>
      <c r="J79" s="11"/>
      <c r="K79" s="9"/>
      <c r="L79" s="10"/>
      <c r="M79" s="9"/>
      <c r="N79" s="9"/>
      <c r="O79" s="9"/>
      <c r="P79" s="9"/>
      <c r="Q79" s="9"/>
      <c r="R79" s="9"/>
      <c r="T79" s="13"/>
      <c r="U79" s="14"/>
      <c r="V79" s="10"/>
      <c r="W79" s="10"/>
      <c r="X79" s="10"/>
      <c r="Y79" s="10"/>
      <c r="Z79" s="11"/>
      <c r="AA79" s="11"/>
      <c r="AB79" s="13"/>
      <c r="AC79" s="13"/>
    </row>
    <row r="80" spans="1:29" ht="13" x14ac:dyDescent="0.3">
      <c r="A80" s="8"/>
      <c r="B80" s="9"/>
      <c r="C80" s="10"/>
      <c r="D80" s="10"/>
      <c r="E80" s="10"/>
      <c r="F80" s="10"/>
      <c r="G80" s="9"/>
      <c r="H80" s="11"/>
      <c r="I80" s="11"/>
      <c r="J80" s="11"/>
      <c r="K80" s="9"/>
      <c r="L80" s="10"/>
      <c r="M80" s="9"/>
      <c r="N80" s="9"/>
      <c r="O80" s="9"/>
      <c r="P80" s="9"/>
      <c r="Q80" s="9"/>
      <c r="R80" s="9"/>
      <c r="T80" s="13"/>
      <c r="U80" s="14"/>
      <c r="V80" s="10"/>
      <c r="W80" s="10"/>
      <c r="X80" s="10"/>
      <c r="Y80" s="10"/>
      <c r="Z80" s="11"/>
      <c r="AA80" s="11"/>
      <c r="AB80" s="13"/>
      <c r="AC80" s="13"/>
    </row>
    <row r="81" spans="1:29" ht="13" x14ac:dyDescent="0.3">
      <c r="A81" s="8"/>
      <c r="B81" s="9"/>
      <c r="C81" s="10"/>
      <c r="D81" s="10"/>
      <c r="E81" s="10"/>
      <c r="F81" s="10"/>
      <c r="G81" s="9"/>
      <c r="H81" s="11"/>
      <c r="I81" s="11"/>
      <c r="J81" s="11"/>
      <c r="K81" s="9"/>
      <c r="L81" s="10"/>
      <c r="M81" s="9"/>
      <c r="N81" s="9"/>
      <c r="O81" s="9"/>
      <c r="P81" s="9"/>
      <c r="Q81" s="9"/>
      <c r="R81" s="9"/>
      <c r="T81" s="13"/>
      <c r="U81" s="14"/>
      <c r="V81" s="10"/>
      <c r="W81" s="10"/>
      <c r="X81" s="10"/>
      <c r="Y81" s="10"/>
      <c r="Z81" s="11"/>
      <c r="AA81" s="11"/>
      <c r="AB81" s="13"/>
      <c r="AC81" s="13"/>
    </row>
    <row r="82" spans="1:29" ht="13" x14ac:dyDescent="0.3">
      <c r="A82" s="8"/>
      <c r="B82" s="9"/>
      <c r="C82" s="10"/>
      <c r="D82" s="10"/>
      <c r="E82" s="10"/>
      <c r="F82" s="10"/>
      <c r="G82" s="9"/>
      <c r="H82" s="11"/>
      <c r="I82" s="11"/>
      <c r="J82" s="11"/>
      <c r="K82" s="9"/>
      <c r="L82" s="10"/>
      <c r="M82" s="9"/>
      <c r="N82" s="9"/>
      <c r="O82" s="9"/>
      <c r="P82" s="9"/>
      <c r="Q82" s="9"/>
      <c r="R82" s="9"/>
      <c r="T82" s="13"/>
      <c r="U82" s="14"/>
      <c r="V82" s="10"/>
      <c r="W82" s="10"/>
      <c r="X82" s="10"/>
      <c r="Y82" s="10"/>
      <c r="Z82" s="11"/>
      <c r="AA82" s="11"/>
      <c r="AB82" s="13"/>
      <c r="AC82" s="13"/>
    </row>
    <row r="83" spans="1:29" ht="13" x14ac:dyDescent="0.3">
      <c r="A83" s="8"/>
      <c r="B83" s="9"/>
      <c r="C83" s="10"/>
      <c r="D83" s="10"/>
      <c r="E83" s="10"/>
      <c r="F83" s="10"/>
      <c r="G83" s="9"/>
      <c r="H83" s="11"/>
      <c r="I83" s="11"/>
      <c r="J83" s="11"/>
      <c r="K83" s="9"/>
      <c r="L83" s="10"/>
      <c r="M83" s="9"/>
      <c r="N83" s="9"/>
      <c r="O83" s="9"/>
      <c r="P83" s="9"/>
      <c r="Q83" s="9"/>
      <c r="R83" s="9"/>
      <c r="T83" s="13"/>
      <c r="U83" s="14"/>
      <c r="V83" s="10"/>
      <c r="W83" s="10"/>
      <c r="X83" s="10"/>
      <c r="Y83" s="10"/>
      <c r="Z83" s="11"/>
      <c r="AA83" s="11"/>
      <c r="AB83" s="13"/>
      <c r="AC83" s="13"/>
    </row>
    <row r="84" spans="1:29" ht="13" x14ac:dyDescent="0.3">
      <c r="A84" s="8"/>
      <c r="B84" s="9"/>
      <c r="C84" s="10"/>
      <c r="D84" s="10"/>
      <c r="E84" s="10"/>
      <c r="F84" s="10"/>
      <c r="G84" s="9"/>
      <c r="H84" s="11"/>
      <c r="I84" s="11"/>
      <c r="J84" s="11"/>
      <c r="K84" s="9"/>
      <c r="L84" s="10"/>
      <c r="M84" s="9"/>
      <c r="N84" s="9"/>
      <c r="O84" s="9"/>
      <c r="P84" s="9"/>
      <c r="Q84" s="9"/>
      <c r="R84" s="9"/>
      <c r="T84" s="13"/>
      <c r="U84" s="14"/>
      <c r="V84" s="10"/>
      <c r="W84" s="10"/>
      <c r="X84" s="10"/>
      <c r="Y84" s="10"/>
      <c r="Z84" s="11"/>
      <c r="AA84" s="11"/>
      <c r="AB84" s="13"/>
      <c r="AC84" s="13"/>
    </row>
    <row r="85" spans="1:29" ht="13" x14ac:dyDescent="0.3">
      <c r="A85" s="8"/>
      <c r="B85" s="9"/>
      <c r="C85" s="10"/>
      <c r="D85" s="10"/>
      <c r="E85" s="10"/>
      <c r="F85" s="10"/>
      <c r="G85" s="9"/>
      <c r="H85" s="11"/>
      <c r="I85" s="11"/>
      <c r="J85" s="11"/>
      <c r="K85" s="9"/>
      <c r="L85" s="10"/>
      <c r="M85" s="9"/>
      <c r="N85" s="9"/>
      <c r="O85" s="9"/>
      <c r="P85" s="9"/>
      <c r="Q85" s="9"/>
      <c r="R85" s="9"/>
      <c r="T85" s="13"/>
      <c r="U85" s="14"/>
      <c r="V85" s="10"/>
      <c r="W85" s="10"/>
      <c r="X85" s="10"/>
      <c r="Y85" s="10"/>
      <c r="Z85" s="11"/>
      <c r="AA85" s="11"/>
      <c r="AB85" s="13"/>
      <c r="AC85" s="13"/>
    </row>
    <row r="86" spans="1:29" ht="13" x14ac:dyDescent="0.3">
      <c r="A86" s="8"/>
      <c r="B86" s="9"/>
      <c r="C86" s="10"/>
      <c r="D86" s="10"/>
      <c r="E86" s="10"/>
      <c r="F86" s="10"/>
      <c r="G86" s="9"/>
      <c r="H86" s="11"/>
      <c r="I86" s="11"/>
      <c r="J86" s="11"/>
      <c r="K86" s="9"/>
      <c r="L86" s="10"/>
      <c r="M86" s="9"/>
      <c r="N86" s="9"/>
      <c r="O86" s="9"/>
      <c r="P86" s="9"/>
      <c r="Q86" s="9"/>
      <c r="R86" s="9"/>
      <c r="T86" s="13"/>
      <c r="U86" s="14"/>
      <c r="V86" s="10"/>
      <c r="W86" s="10"/>
      <c r="X86" s="10"/>
      <c r="Y86" s="10"/>
      <c r="Z86" s="11"/>
      <c r="AA86" s="11"/>
      <c r="AB86" s="13"/>
      <c r="AC86" s="13"/>
    </row>
    <row r="87" spans="1:29" ht="13" x14ac:dyDescent="0.3">
      <c r="A87" s="8"/>
      <c r="B87" s="9"/>
      <c r="C87" s="10"/>
      <c r="D87" s="10"/>
      <c r="E87" s="10"/>
      <c r="F87" s="10"/>
      <c r="G87" s="9"/>
      <c r="H87" s="11"/>
      <c r="I87" s="11"/>
      <c r="J87" s="11"/>
      <c r="K87" s="9"/>
      <c r="L87" s="10"/>
      <c r="M87" s="9"/>
      <c r="N87" s="9"/>
      <c r="O87" s="9"/>
      <c r="P87" s="9"/>
      <c r="Q87" s="9"/>
      <c r="R87" s="9"/>
      <c r="T87" s="13"/>
      <c r="U87" s="14"/>
      <c r="V87" s="10"/>
      <c r="W87" s="10"/>
      <c r="X87" s="10"/>
      <c r="Y87" s="10"/>
      <c r="Z87" s="11"/>
      <c r="AA87" s="11"/>
      <c r="AB87" s="13"/>
      <c r="AC87" s="13"/>
    </row>
    <row r="88" spans="1:29" ht="13" x14ac:dyDescent="0.3">
      <c r="A88" s="8"/>
      <c r="B88" s="9"/>
      <c r="C88" s="10"/>
      <c r="D88" s="10"/>
      <c r="E88" s="10"/>
      <c r="F88" s="10"/>
      <c r="G88" s="9"/>
      <c r="H88" s="11"/>
      <c r="I88" s="11"/>
      <c r="J88" s="11"/>
      <c r="K88" s="9"/>
      <c r="L88" s="10"/>
      <c r="M88" s="9"/>
      <c r="N88" s="9"/>
      <c r="O88" s="9"/>
      <c r="P88" s="9"/>
      <c r="Q88" s="9"/>
      <c r="R88" s="9"/>
      <c r="T88" s="13"/>
      <c r="U88" s="14"/>
      <c r="V88" s="10"/>
      <c r="W88" s="10"/>
      <c r="X88" s="10"/>
      <c r="Y88" s="10"/>
      <c r="Z88" s="11"/>
      <c r="AA88" s="11"/>
      <c r="AB88" s="13"/>
      <c r="AC88" s="13"/>
    </row>
    <row r="89" spans="1:29" ht="13" x14ac:dyDescent="0.3">
      <c r="A89" s="8"/>
      <c r="B89" s="9"/>
      <c r="C89" s="10"/>
      <c r="D89" s="10"/>
      <c r="E89" s="10"/>
      <c r="F89" s="10"/>
      <c r="G89" s="9"/>
      <c r="H89" s="11"/>
      <c r="I89" s="11"/>
      <c r="J89" s="11"/>
      <c r="K89" s="9"/>
      <c r="L89" s="10"/>
      <c r="M89" s="9"/>
      <c r="N89" s="9"/>
      <c r="O89" s="9"/>
      <c r="P89" s="9"/>
      <c r="Q89" s="9"/>
      <c r="R89" s="9"/>
      <c r="T89" s="13"/>
      <c r="U89" s="14"/>
      <c r="V89" s="10"/>
      <c r="W89" s="10"/>
      <c r="X89" s="10"/>
      <c r="Y89" s="10"/>
      <c r="Z89" s="11"/>
      <c r="AA89" s="11"/>
      <c r="AB89" s="13"/>
      <c r="AC89" s="13"/>
    </row>
    <row r="90" spans="1:29" ht="13" x14ac:dyDescent="0.3">
      <c r="A90" s="8"/>
      <c r="B90" s="9"/>
      <c r="C90" s="10"/>
      <c r="D90" s="10"/>
      <c r="E90" s="10"/>
      <c r="F90" s="10"/>
      <c r="G90" s="9"/>
      <c r="H90" s="11"/>
      <c r="I90" s="11"/>
      <c r="J90" s="11"/>
      <c r="K90" s="9"/>
      <c r="L90" s="10"/>
      <c r="M90" s="9"/>
      <c r="N90" s="9"/>
      <c r="O90" s="9"/>
      <c r="P90" s="9"/>
      <c r="Q90" s="9"/>
      <c r="R90" s="9"/>
      <c r="T90" s="13"/>
      <c r="U90" s="14"/>
      <c r="V90" s="10"/>
      <c r="W90" s="10"/>
      <c r="X90" s="10"/>
      <c r="Y90" s="10"/>
      <c r="Z90" s="11"/>
      <c r="AA90" s="11"/>
      <c r="AB90" s="13"/>
      <c r="AC90" s="13"/>
    </row>
    <row r="91" spans="1:29" ht="13" x14ac:dyDescent="0.3">
      <c r="A91" s="8"/>
      <c r="B91" s="9"/>
      <c r="C91" s="10"/>
      <c r="D91" s="10"/>
      <c r="E91" s="10"/>
      <c r="F91" s="10"/>
      <c r="G91" s="9"/>
      <c r="H91" s="11"/>
      <c r="I91" s="11"/>
      <c r="J91" s="11"/>
      <c r="K91" s="9"/>
      <c r="L91" s="10"/>
      <c r="M91" s="9"/>
      <c r="N91" s="9"/>
      <c r="O91" s="9"/>
      <c r="P91" s="9"/>
      <c r="Q91" s="9"/>
      <c r="R91" s="9"/>
      <c r="T91" s="13"/>
      <c r="U91" s="14"/>
      <c r="V91" s="10"/>
      <c r="W91" s="10"/>
      <c r="X91" s="10"/>
      <c r="Y91" s="10"/>
      <c r="Z91" s="11"/>
      <c r="AA91" s="11"/>
      <c r="AB91" s="13"/>
      <c r="AC91" s="13"/>
    </row>
    <row r="92" spans="1:29" ht="13" x14ac:dyDescent="0.3">
      <c r="A92" s="8"/>
      <c r="B92" s="9"/>
      <c r="C92" s="10"/>
      <c r="D92" s="10"/>
      <c r="E92" s="10"/>
      <c r="F92" s="10"/>
      <c r="G92" s="9"/>
      <c r="H92" s="11"/>
      <c r="I92" s="11"/>
      <c r="J92" s="11"/>
      <c r="K92" s="9"/>
      <c r="L92" s="10"/>
      <c r="M92" s="9"/>
      <c r="N92" s="9"/>
      <c r="O92" s="9"/>
      <c r="P92" s="9"/>
      <c r="Q92" s="9"/>
      <c r="R92" s="9"/>
      <c r="T92" s="13"/>
      <c r="U92" s="14"/>
      <c r="V92" s="10"/>
      <c r="W92" s="10"/>
      <c r="X92" s="10"/>
      <c r="Y92" s="10"/>
      <c r="Z92" s="11"/>
      <c r="AA92" s="11"/>
      <c r="AB92" s="13"/>
      <c r="AC92" s="13"/>
    </row>
    <row r="93" spans="1:29" ht="13" x14ac:dyDescent="0.3">
      <c r="A93" s="8"/>
      <c r="B93" s="9"/>
      <c r="C93" s="10"/>
      <c r="D93" s="10"/>
      <c r="E93" s="10"/>
      <c r="F93" s="10"/>
      <c r="G93" s="9"/>
      <c r="H93" s="11"/>
      <c r="I93" s="11"/>
      <c r="J93" s="11"/>
      <c r="K93" s="9"/>
      <c r="L93" s="10"/>
      <c r="M93" s="9"/>
      <c r="N93" s="9"/>
      <c r="O93" s="9"/>
      <c r="P93" s="9"/>
      <c r="Q93" s="9"/>
      <c r="R93" s="9"/>
      <c r="T93" s="13"/>
      <c r="U93" s="14"/>
      <c r="V93" s="10"/>
      <c r="W93" s="10"/>
      <c r="X93" s="10"/>
      <c r="Y93" s="10"/>
      <c r="Z93" s="11"/>
      <c r="AA93" s="11"/>
      <c r="AB93" s="13"/>
      <c r="AC93" s="13"/>
    </row>
    <row r="94" spans="1:29" ht="13" x14ac:dyDescent="0.3">
      <c r="A94" s="8"/>
      <c r="B94" s="9"/>
      <c r="C94" s="10"/>
      <c r="D94" s="10"/>
      <c r="E94" s="10"/>
      <c r="F94" s="10"/>
      <c r="G94" s="9"/>
      <c r="H94" s="11"/>
      <c r="I94" s="11"/>
      <c r="J94" s="11"/>
      <c r="K94" s="9"/>
      <c r="L94" s="10"/>
      <c r="M94" s="9"/>
      <c r="N94" s="9"/>
      <c r="O94" s="9"/>
      <c r="P94" s="9"/>
      <c r="Q94" s="9"/>
      <c r="R94" s="9"/>
      <c r="T94" s="13"/>
      <c r="U94" s="14"/>
      <c r="V94" s="10"/>
      <c r="W94" s="10"/>
      <c r="X94" s="10"/>
      <c r="Y94" s="10"/>
      <c r="Z94" s="11"/>
      <c r="AA94" s="11"/>
      <c r="AB94" s="13"/>
      <c r="AC94" s="13"/>
    </row>
    <row r="95" spans="1:29" ht="13" x14ac:dyDescent="0.3">
      <c r="A95" s="8"/>
      <c r="B95" s="9"/>
      <c r="C95" s="10"/>
      <c r="D95" s="10"/>
      <c r="E95" s="10"/>
      <c r="F95" s="10"/>
      <c r="G95" s="9"/>
      <c r="H95" s="11"/>
      <c r="I95" s="11"/>
      <c r="J95" s="11"/>
      <c r="K95" s="9"/>
      <c r="L95" s="10"/>
      <c r="M95" s="9"/>
      <c r="N95" s="9"/>
      <c r="O95" s="9"/>
      <c r="P95" s="9"/>
      <c r="Q95" s="9"/>
      <c r="R95" s="9"/>
      <c r="T95" s="13"/>
      <c r="U95" s="14"/>
      <c r="V95" s="10"/>
      <c r="W95" s="10"/>
      <c r="X95" s="10"/>
      <c r="Y95" s="10"/>
      <c r="Z95" s="11"/>
      <c r="AA95" s="11"/>
      <c r="AB95" s="13"/>
      <c r="AC95" s="13"/>
    </row>
    <row r="96" spans="1:29" ht="13" x14ac:dyDescent="0.3">
      <c r="A96" s="8"/>
      <c r="B96" s="9"/>
      <c r="C96" s="10"/>
      <c r="D96" s="10"/>
      <c r="E96" s="10"/>
      <c r="F96" s="10"/>
      <c r="G96" s="9"/>
      <c r="H96" s="11"/>
      <c r="I96" s="11"/>
      <c r="J96" s="11"/>
      <c r="K96" s="9"/>
      <c r="L96" s="10"/>
      <c r="M96" s="9"/>
      <c r="N96" s="9"/>
      <c r="O96" s="9"/>
      <c r="P96" s="9"/>
      <c r="Q96" s="9"/>
      <c r="R96" s="9"/>
      <c r="T96" s="13"/>
      <c r="U96" s="14"/>
      <c r="V96" s="10"/>
      <c r="W96" s="10"/>
      <c r="X96" s="10"/>
      <c r="Y96" s="10"/>
      <c r="Z96" s="11"/>
      <c r="AA96" s="11"/>
      <c r="AB96" s="13"/>
      <c r="AC96" s="13"/>
    </row>
    <row r="97" spans="1:29" ht="13" x14ac:dyDescent="0.3">
      <c r="A97" s="8"/>
      <c r="B97" s="9"/>
      <c r="C97" s="10"/>
      <c r="D97" s="10"/>
      <c r="E97" s="10"/>
      <c r="F97" s="10"/>
      <c r="G97" s="9"/>
      <c r="H97" s="11"/>
      <c r="I97" s="11"/>
      <c r="J97" s="11"/>
      <c r="K97" s="9"/>
      <c r="L97" s="10"/>
      <c r="M97" s="9"/>
      <c r="N97" s="9"/>
      <c r="O97" s="9"/>
      <c r="P97" s="9"/>
      <c r="Q97" s="9"/>
      <c r="R97" s="9"/>
      <c r="T97" s="13"/>
      <c r="U97" s="14"/>
      <c r="V97" s="10"/>
      <c r="W97" s="10"/>
      <c r="X97" s="10"/>
      <c r="Y97" s="10"/>
      <c r="Z97" s="11"/>
      <c r="AA97" s="11"/>
      <c r="AB97" s="13"/>
      <c r="AC97" s="13"/>
    </row>
    <row r="98" spans="1:29" ht="13" x14ac:dyDescent="0.3">
      <c r="A98" s="8"/>
      <c r="B98" s="9"/>
      <c r="C98" s="10"/>
      <c r="D98" s="10"/>
      <c r="E98" s="10"/>
      <c r="F98" s="10"/>
      <c r="G98" s="9"/>
      <c r="H98" s="11"/>
      <c r="I98" s="11"/>
      <c r="J98" s="11"/>
      <c r="K98" s="9"/>
      <c r="L98" s="10"/>
      <c r="M98" s="9"/>
      <c r="N98" s="9"/>
      <c r="O98" s="9"/>
      <c r="P98" s="9"/>
      <c r="Q98" s="9"/>
      <c r="R98" s="9"/>
      <c r="T98" s="13"/>
      <c r="U98" s="14"/>
      <c r="V98" s="10"/>
      <c r="W98" s="10"/>
      <c r="X98" s="10"/>
      <c r="Y98" s="10"/>
      <c r="Z98" s="11"/>
      <c r="AA98" s="11"/>
      <c r="AB98" s="13"/>
      <c r="AC98" s="13"/>
    </row>
    <row r="99" spans="1:29" ht="13" x14ac:dyDescent="0.3">
      <c r="A99" s="8"/>
      <c r="B99" s="9"/>
      <c r="C99" s="10"/>
      <c r="D99" s="10"/>
      <c r="E99" s="10"/>
      <c r="F99" s="10"/>
      <c r="G99" s="9"/>
      <c r="H99" s="11"/>
      <c r="I99" s="11"/>
      <c r="J99" s="11"/>
      <c r="K99" s="9"/>
      <c r="L99" s="10"/>
      <c r="M99" s="9"/>
      <c r="N99" s="9"/>
      <c r="O99" s="9"/>
      <c r="P99" s="9"/>
      <c r="Q99" s="9"/>
      <c r="R99" s="9"/>
      <c r="T99" s="13"/>
      <c r="U99" s="14"/>
      <c r="V99" s="10"/>
      <c r="W99" s="10"/>
      <c r="X99" s="10"/>
      <c r="Y99" s="10"/>
      <c r="Z99" s="11"/>
      <c r="AA99" s="11"/>
      <c r="AB99" s="13"/>
      <c r="AC99" s="13"/>
    </row>
    <row r="100" spans="1:29" ht="13" x14ac:dyDescent="0.3">
      <c r="A100" s="8"/>
      <c r="B100" s="9"/>
      <c r="C100" s="10"/>
      <c r="D100" s="10"/>
      <c r="E100" s="10"/>
      <c r="F100" s="10"/>
      <c r="G100" s="9"/>
      <c r="H100" s="11"/>
      <c r="I100" s="11"/>
      <c r="J100" s="11"/>
      <c r="K100" s="9"/>
      <c r="L100" s="10"/>
      <c r="M100" s="9"/>
      <c r="N100" s="9"/>
      <c r="O100" s="9"/>
      <c r="P100" s="9"/>
      <c r="Q100" s="9"/>
      <c r="R100" s="9"/>
      <c r="T100" s="13"/>
      <c r="U100" s="14"/>
      <c r="V100" s="10"/>
      <c r="W100" s="10"/>
      <c r="X100" s="10"/>
      <c r="Y100" s="10"/>
      <c r="Z100" s="11"/>
      <c r="AA100" s="11"/>
      <c r="AB100" s="13"/>
      <c r="AC100" s="13"/>
    </row>
    <row r="101" spans="1:29" ht="13" x14ac:dyDescent="0.3">
      <c r="A101" s="8"/>
      <c r="B101" s="9"/>
      <c r="C101" s="10"/>
      <c r="D101" s="10"/>
      <c r="E101" s="10"/>
      <c r="F101" s="10"/>
      <c r="G101" s="9"/>
      <c r="H101" s="11"/>
      <c r="I101" s="11"/>
      <c r="J101" s="11"/>
      <c r="K101" s="9"/>
      <c r="L101" s="10"/>
      <c r="M101" s="9"/>
      <c r="N101" s="9"/>
      <c r="O101" s="9"/>
      <c r="P101" s="9"/>
      <c r="Q101" s="9"/>
      <c r="R101" s="9"/>
      <c r="T101" s="13"/>
      <c r="U101" s="14"/>
      <c r="V101" s="10"/>
      <c r="W101" s="10"/>
      <c r="X101" s="10"/>
      <c r="Y101" s="10"/>
      <c r="Z101" s="11"/>
      <c r="AA101" s="11"/>
      <c r="AB101" s="13"/>
      <c r="AC101" s="13"/>
    </row>
    <row r="102" spans="1:29" ht="13" x14ac:dyDescent="0.3">
      <c r="A102" s="8"/>
      <c r="B102" s="9"/>
      <c r="C102" s="10"/>
      <c r="D102" s="10"/>
      <c r="E102" s="10"/>
      <c r="F102" s="10"/>
      <c r="G102" s="9"/>
      <c r="H102" s="11"/>
      <c r="I102" s="11"/>
      <c r="J102" s="11"/>
      <c r="K102" s="9"/>
      <c r="L102" s="10"/>
      <c r="M102" s="9"/>
      <c r="N102" s="9"/>
      <c r="O102" s="9"/>
      <c r="P102" s="9"/>
      <c r="Q102" s="9"/>
      <c r="R102" s="9"/>
      <c r="T102" s="13"/>
      <c r="U102" s="14"/>
      <c r="V102" s="10"/>
      <c r="W102" s="10"/>
      <c r="X102" s="10"/>
      <c r="Y102" s="10"/>
      <c r="Z102" s="11"/>
      <c r="AA102" s="11"/>
      <c r="AB102" s="13"/>
      <c r="AC102" s="13"/>
    </row>
    <row r="103" spans="1:29" ht="13" x14ac:dyDescent="0.3">
      <c r="A103" s="8"/>
      <c r="B103" s="9"/>
      <c r="C103" s="10"/>
      <c r="D103" s="10"/>
      <c r="E103" s="10"/>
      <c r="F103" s="10"/>
      <c r="G103" s="9"/>
      <c r="H103" s="11"/>
      <c r="I103" s="11"/>
      <c r="J103" s="11"/>
      <c r="K103" s="9"/>
      <c r="L103" s="10"/>
      <c r="M103" s="9"/>
      <c r="N103" s="9"/>
      <c r="O103" s="9"/>
      <c r="P103" s="9"/>
      <c r="Q103" s="9"/>
      <c r="R103" s="9"/>
      <c r="T103" s="13"/>
      <c r="U103" s="14"/>
      <c r="V103" s="10"/>
      <c r="W103" s="10"/>
      <c r="X103" s="10"/>
      <c r="Y103" s="10"/>
      <c r="Z103" s="11"/>
      <c r="AA103" s="11"/>
      <c r="AB103" s="13"/>
      <c r="AC103" s="13"/>
    </row>
    <row r="104" spans="1:29" ht="13" x14ac:dyDescent="0.3">
      <c r="A104" s="8"/>
      <c r="B104" s="9"/>
      <c r="C104" s="10"/>
      <c r="D104" s="10"/>
      <c r="E104" s="10"/>
      <c r="F104" s="10"/>
      <c r="G104" s="9"/>
      <c r="H104" s="11"/>
      <c r="I104" s="11"/>
      <c r="J104" s="11"/>
      <c r="K104" s="9"/>
      <c r="L104" s="10"/>
      <c r="M104" s="9"/>
      <c r="N104" s="9"/>
      <c r="O104" s="9"/>
      <c r="P104" s="9"/>
      <c r="Q104" s="9"/>
      <c r="R104" s="9"/>
      <c r="T104" s="13"/>
      <c r="U104" s="14"/>
      <c r="V104" s="10"/>
      <c r="W104" s="10"/>
      <c r="X104" s="10"/>
      <c r="Y104" s="10"/>
      <c r="Z104" s="11"/>
      <c r="AA104" s="11"/>
      <c r="AB104" s="13"/>
      <c r="AC104" s="13"/>
    </row>
    <row r="105" spans="1:29" ht="13" x14ac:dyDescent="0.3">
      <c r="A105" s="8"/>
      <c r="B105" s="9"/>
      <c r="C105" s="10"/>
      <c r="D105" s="10"/>
      <c r="E105" s="10"/>
      <c r="F105" s="10"/>
      <c r="G105" s="9"/>
      <c r="H105" s="11"/>
      <c r="I105" s="11"/>
      <c r="J105" s="11"/>
      <c r="K105" s="9"/>
      <c r="L105" s="10"/>
      <c r="M105" s="9"/>
      <c r="N105" s="9"/>
      <c r="O105" s="9"/>
      <c r="P105" s="9"/>
      <c r="Q105" s="9"/>
      <c r="R105" s="9"/>
      <c r="T105" s="13"/>
      <c r="U105" s="14"/>
      <c r="V105" s="10"/>
      <c r="W105" s="10"/>
      <c r="X105" s="10"/>
      <c r="Y105" s="10"/>
      <c r="Z105" s="11"/>
      <c r="AA105" s="11"/>
      <c r="AB105" s="13"/>
      <c r="AC105" s="13"/>
    </row>
    <row r="106" spans="1:29" ht="13" x14ac:dyDescent="0.3">
      <c r="A106" s="8"/>
      <c r="B106" s="9"/>
      <c r="C106" s="10"/>
      <c r="D106" s="10"/>
      <c r="E106" s="10"/>
      <c r="F106" s="10"/>
      <c r="G106" s="9"/>
      <c r="H106" s="11"/>
      <c r="I106" s="11"/>
      <c r="J106" s="11"/>
      <c r="K106" s="9"/>
      <c r="L106" s="10"/>
      <c r="M106" s="9"/>
      <c r="N106" s="9"/>
      <c r="O106" s="9"/>
      <c r="P106" s="9"/>
      <c r="Q106" s="9"/>
      <c r="R106" s="9"/>
      <c r="T106" s="13"/>
      <c r="U106" s="14"/>
      <c r="V106" s="10"/>
      <c r="W106" s="10"/>
      <c r="X106" s="10"/>
      <c r="Y106" s="10"/>
      <c r="Z106" s="11"/>
      <c r="AA106" s="11"/>
      <c r="AB106" s="13"/>
      <c r="AC106" s="13"/>
    </row>
    <row r="107" spans="1:29" ht="13" x14ac:dyDescent="0.3">
      <c r="A107" s="8"/>
      <c r="B107" s="9"/>
      <c r="C107" s="10"/>
      <c r="D107" s="10"/>
      <c r="E107" s="10"/>
      <c r="F107" s="10"/>
      <c r="G107" s="9"/>
      <c r="H107" s="11"/>
      <c r="I107" s="11"/>
      <c r="J107" s="11"/>
      <c r="K107" s="9"/>
      <c r="L107" s="10"/>
      <c r="M107" s="9"/>
      <c r="N107" s="9"/>
      <c r="O107" s="9"/>
      <c r="P107" s="9"/>
      <c r="Q107" s="9"/>
      <c r="R107" s="9"/>
      <c r="T107" s="13"/>
      <c r="U107" s="14"/>
      <c r="V107" s="10"/>
      <c r="W107" s="10"/>
      <c r="X107" s="10"/>
      <c r="Y107" s="10"/>
      <c r="Z107" s="11"/>
      <c r="AA107" s="11"/>
      <c r="AB107" s="13"/>
      <c r="AC107" s="13"/>
    </row>
    <row r="108" spans="1:29" ht="13" x14ac:dyDescent="0.3">
      <c r="A108" s="8"/>
      <c r="B108" s="9"/>
      <c r="C108" s="10"/>
      <c r="D108" s="10"/>
      <c r="E108" s="10"/>
      <c r="F108" s="10"/>
      <c r="G108" s="9"/>
      <c r="H108" s="11"/>
      <c r="I108" s="11"/>
      <c r="J108" s="11"/>
      <c r="K108" s="9"/>
      <c r="L108" s="10"/>
      <c r="M108" s="9"/>
      <c r="N108" s="9"/>
      <c r="O108" s="9"/>
      <c r="P108" s="9"/>
      <c r="Q108" s="9"/>
      <c r="R108" s="9"/>
      <c r="T108" s="13"/>
      <c r="U108" s="14"/>
      <c r="V108" s="10"/>
      <c r="W108" s="10"/>
      <c r="X108" s="10"/>
      <c r="Y108" s="10"/>
      <c r="Z108" s="11"/>
      <c r="AA108" s="11"/>
      <c r="AB108" s="13"/>
      <c r="AC108" s="13"/>
    </row>
    <row r="109" spans="1:29" ht="13" x14ac:dyDescent="0.3">
      <c r="A109" s="8"/>
      <c r="B109" s="9"/>
      <c r="C109" s="10"/>
      <c r="D109" s="10"/>
      <c r="E109" s="10"/>
      <c r="F109" s="10"/>
      <c r="G109" s="9"/>
      <c r="H109" s="11"/>
      <c r="I109" s="11"/>
      <c r="J109" s="11"/>
      <c r="K109" s="9"/>
      <c r="L109" s="10"/>
      <c r="M109" s="9"/>
      <c r="N109" s="9"/>
      <c r="O109" s="9"/>
      <c r="P109" s="9"/>
      <c r="Q109" s="9"/>
      <c r="R109" s="9"/>
      <c r="T109" s="13"/>
      <c r="U109" s="14"/>
      <c r="V109" s="10"/>
      <c r="W109" s="10"/>
      <c r="X109" s="10"/>
      <c r="Y109" s="10"/>
      <c r="Z109" s="11"/>
      <c r="AA109" s="11"/>
      <c r="AB109" s="13"/>
      <c r="AC109" s="13"/>
    </row>
    <row r="110" spans="1:29" ht="13" x14ac:dyDescent="0.3">
      <c r="A110" s="8"/>
      <c r="B110" s="9"/>
      <c r="C110" s="10"/>
      <c r="D110" s="10"/>
      <c r="E110" s="10"/>
      <c r="F110" s="10"/>
      <c r="G110" s="9"/>
      <c r="H110" s="11"/>
      <c r="I110" s="11"/>
      <c r="J110" s="11"/>
      <c r="K110" s="9"/>
      <c r="L110" s="10"/>
      <c r="M110" s="9"/>
      <c r="N110" s="9"/>
      <c r="O110" s="9"/>
      <c r="P110" s="9"/>
      <c r="Q110" s="9"/>
      <c r="R110" s="9"/>
      <c r="T110" s="13"/>
      <c r="U110" s="14"/>
      <c r="V110" s="10"/>
      <c r="W110" s="10"/>
      <c r="X110" s="10"/>
      <c r="Y110" s="10"/>
      <c r="Z110" s="11"/>
      <c r="AA110" s="11"/>
      <c r="AB110" s="13"/>
      <c r="AC110" s="13"/>
    </row>
    <row r="111" spans="1:29" ht="13" x14ac:dyDescent="0.3">
      <c r="A111" s="8"/>
      <c r="B111" s="9"/>
      <c r="C111" s="10"/>
      <c r="D111" s="10"/>
      <c r="E111" s="10"/>
      <c r="F111" s="10"/>
      <c r="G111" s="9"/>
      <c r="H111" s="11"/>
      <c r="I111" s="11"/>
      <c r="J111" s="11"/>
      <c r="K111" s="9"/>
      <c r="L111" s="10"/>
      <c r="M111" s="9"/>
      <c r="N111" s="9"/>
      <c r="O111" s="9"/>
      <c r="P111" s="9"/>
      <c r="Q111" s="9"/>
      <c r="R111" s="9"/>
      <c r="T111" s="13"/>
      <c r="U111" s="14"/>
      <c r="V111" s="10"/>
      <c r="W111" s="10"/>
      <c r="X111" s="10"/>
      <c r="Y111" s="10"/>
      <c r="Z111" s="11"/>
      <c r="AA111" s="11"/>
      <c r="AB111" s="13"/>
      <c r="AC111" s="13"/>
    </row>
    <row r="112" spans="1:29" ht="13" x14ac:dyDescent="0.3">
      <c r="A112" s="8"/>
      <c r="B112" s="9"/>
      <c r="C112" s="10"/>
      <c r="D112" s="10"/>
      <c r="E112" s="10"/>
      <c r="F112" s="10"/>
      <c r="G112" s="9"/>
      <c r="H112" s="11"/>
      <c r="I112" s="11"/>
      <c r="J112" s="11"/>
      <c r="K112" s="9"/>
      <c r="L112" s="10"/>
      <c r="M112" s="9"/>
      <c r="N112" s="9"/>
      <c r="O112" s="9"/>
      <c r="P112" s="9"/>
      <c r="Q112" s="9"/>
      <c r="R112" s="9"/>
      <c r="T112" s="13"/>
      <c r="U112" s="14"/>
      <c r="V112" s="10"/>
      <c r="W112" s="10"/>
      <c r="X112" s="10"/>
      <c r="Y112" s="10"/>
      <c r="Z112" s="11"/>
      <c r="AA112" s="11"/>
      <c r="AB112" s="13"/>
      <c r="AC112" s="13"/>
    </row>
    <row r="113" spans="1:29" ht="13" x14ac:dyDescent="0.3">
      <c r="A113" s="8"/>
      <c r="B113" s="9"/>
      <c r="C113" s="10"/>
      <c r="D113" s="10"/>
      <c r="E113" s="10"/>
      <c r="F113" s="10"/>
      <c r="G113" s="9"/>
      <c r="H113" s="11"/>
      <c r="I113" s="11"/>
      <c r="J113" s="11"/>
      <c r="K113" s="9"/>
      <c r="L113" s="10"/>
      <c r="M113" s="9"/>
      <c r="N113" s="9"/>
      <c r="O113" s="9"/>
      <c r="P113" s="9"/>
      <c r="Q113" s="9"/>
      <c r="R113" s="9"/>
      <c r="T113" s="13"/>
      <c r="U113" s="14"/>
      <c r="V113" s="10"/>
      <c r="W113" s="10"/>
      <c r="X113" s="10"/>
      <c r="Y113" s="10"/>
      <c r="Z113" s="11"/>
      <c r="AA113" s="11"/>
      <c r="AB113" s="13"/>
      <c r="AC113" s="13"/>
    </row>
    <row r="114" spans="1:29" ht="13" x14ac:dyDescent="0.3">
      <c r="A114" s="8"/>
      <c r="B114" s="9"/>
      <c r="C114" s="10"/>
      <c r="D114" s="10"/>
      <c r="E114" s="10"/>
      <c r="F114" s="10"/>
      <c r="G114" s="9"/>
      <c r="H114" s="11"/>
      <c r="I114" s="11"/>
      <c r="J114" s="11"/>
      <c r="K114" s="9"/>
      <c r="L114" s="10"/>
      <c r="M114" s="9"/>
      <c r="N114" s="9"/>
      <c r="O114" s="9"/>
      <c r="P114" s="9"/>
      <c r="Q114" s="9"/>
      <c r="R114" s="9"/>
      <c r="T114" s="13"/>
      <c r="U114" s="14"/>
      <c r="V114" s="10"/>
      <c r="W114" s="10"/>
      <c r="X114" s="10"/>
      <c r="Y114" s="10"/>
      <c r="Z114" s="11"/>
      <c r="AA114" s="11"/>
      <c r="AB114" s="13"/>
      <c r="AC114" s="13"/>
    </row>
    <row r="115" spans="1:29" ht="13" x14ac:dyDescent="0.3">
      <c r="A115" s="8"/>
      <c r="B115" s="9"/>
      <c r="C115" s="10"/>
      <c r="D115" s="10"/>
      <c r="E115" s="10"/>
      <c r="F115" s="10"/>
      <c r="G115" s="9"/>
      <c r="H115" s="11"/>
      <c r="I115" s="11"/>
      <c r="J115" s="11"/>
      <c r="K115" s="9"/>
      <c r="L115" s="10"/>
      <c r="M115" s="9"/>
      <c r="N115" s="9"/>
      <c r="O115" s="9"/>
      <c r="P115" s="9"/>
      <c r="Q115" s="9"/>
      <c r="R115" s="9"/>
      <c r="T115" s="13"/>
      <c r="U115" s="14"/>
      <c r="V115" s="10"/>
      <c r="W115" s="10"/>
      <c r="X115" s="10"/>
      <c r="Y115" s="10"/>
      <c r="Z115" s="11"/>
      <c r="AA115" s="11"/>
      <c r="AB115" s="13"/>
      <c r="AC115" s="13"/>
    </row>
    <row r="116" spans="1:29" ht="13" x14ac:dyDescent="0.3">
      <c r="A116" s="8"/>
      <c r="B116" s="9"/>
      <c r="C116" s="10"/>
      <c r="D116" s="10"/>
      <c r="E116" s="10"/>
      <c r="F116" s="10"/>
      <c r="G116" s="9"/>
      <c r="H116" s="11"/>
      <c r="I116" s="11"/>
      <c r="J116" s="11"/>
      <c r="K116" s="9"/>
      <c r="L116" s="10"/>
      <c r="M116" s="9"/>
      <c r="N116" s="9"/>
      <c r="O116" s="9"/>
      <c r="P116" s="9"/>
      <c r="Q116" s="9"/>
      <c r="R116" s="9"/>
      <c r="T116" s="13"/>
      <c r="U116" s="14"/>
      <c r="V116" s="10"/>
      <c r="W116" s="10"/>
      <c r="X116" s="10"/>
      <c r="Y116" s="10"/>
      <c r="Z116" s="11"/>
      <c r="AA116" s="11"/>
      <c r="AB116" s="13"/>
      <c r="AC116" s="13"/>
    </row>
    <row r="117" spans="1:29" ht="13" x14ac:dyDescent="0.3">
      <c r="A117" s="8"/>
      <c r="B117" s="9"/>
      <c r="C117" s="10"/>
      <c r="D117" s="10"/>
      <c r="E117" s="10"/>
      <c r="F117" s="10"/>
      <c r="G117" s="9"/>
      <c r="H117" s="11"/>
      <c r="I117" s="11"/>
      <c r="J117" s="11"/>
      <c r="K117" s="9"/>
      <c r="L117" s="10"/>
      <c r="M117" s="9"/>
      <c r="N117" s="9"/>
      <c r="O117" s="9"/>
      <c r="P117" s="9"/>
      <c r="Q117" s="9"/>
      <c r="R117" s="9"/>
      <c r="T117" s="13"/>
      <c r="U117" s="14"/>
      <c r="V117" s="10"/>
      <c r="W117" s="10"/>
      <c r="X117" s="10"/>
      <c r="Y117" s="10"/>
      <c r="Z117" s="11"/>
      <c r="AA117" s="11"/>
      <c r="AB117" s="13"/>
      <c r="AC117" s="13"/>
    </row>
    <row r="118" spans="1:29" ht="13" x14ac:dyDescent="0.3">
      <c r="A118" s="8"/>
      <c r="B118" s="9"/>
      <c r="C118" s="10"/>
      <c r="D118" s="10"/>
      <c r="E118" s="10"/>
      <c r="F118" s="10"/>
      <c r="G118" s="9"/>
      <c r="H118" s="11"/>
      <c r="I118" s="11"/>
      <c r="J118" s="11"/>
      <c r="K118" s="9"/>
      <c r="L118" s="10"/>
      <c r="M118" s="9"/>
      <c r="N118" s="9"/>
      <c r="O118" s="9"/>
      <c r="P118" s="9"/>
      <c r="Q118" s="9"/>
      <c r="R118" s="9"/>
      <c r="T118" s="13"/>
      <c r="U118" s="14"/>
      <c r="V118" s="10"/>
      <c r="W118" s="10"/>
      <c r="X118" s="10"/>
      <c r="Y118" s="10"/>
      <c r="Z118" s="11"/>
      <c r="AA118" s="11"/>
      <c r="AB118" s="13"/>
      <c r="AC118" s="13"/>
    </row>
    <row r="119" spans="1:29" ht="13" x14ac:dyDescent="0.3">
      <c r="A119" s="8"/>
      <c r="B119" s="9"/>
      <c r="C119" s="10"/>
      <c r="D119" s="10"/>
      <c r="E119" s="10"/>
      <c r="F119" s="10"/>
      <c r="G119" s="9"/>
      <c r="H119" s="11"/>
      <c r="I119" s="11"/>
      <c r="J119" s="11"/>
      <c r="K119" s="9"/>
      <c r="L119" s="10"/>
      <c r="M119" s="9"/>
      <c r="N119" s="9"/>
      <c r="O119" s="9"/>
      <c r="P119" s="9"/>
      <c r="Q119" s="9"/>
      <c r="R119" s="9"/>
      <c r="T119" s="13"/>
      <c r="U119" s="14"/>
      <c r="V119" s="10"/>
      <c r="W119" s="10"/>
      <c r="X119" s="10"/>
      <c r="Y119" s="10"/>
      <c r="Z119" s="11"/>
      <c r="AA119" s="11"/>
      <c r="AB119" s="13"/>
      <c r="AC119" s="13"/>
    </row>
    <row r="120" spans="1:29" ht="13" x14ac:dyDescent="0.3">
      <c r="A120" s="8"/>
      <c r="B120" s="9"/>
      <c r="C120" s="10"/>
      <c r="D120" s="10"/>
      <c r="E120" s="10"/>
      <c r="F120" s="10"/>
      <c r="G120" s="9"/>
      <c r="H120" s="11"/>
      <c r="I120" s="11"/>
      <c r="J120" s="11"/>
      <c r="K120" s="9"/>
      <c r="L120" s="10"/>
      <c r="M120" s="9"/>
      <c r="N120" s="9"/>
      <c r="O120" s="9"/>
      <c r="P120" s="9"/>
      <c r="Q120" s="9"/>
      <c r="R120" s="9"/>
      <c r="T120" s="13"/>
      <c r="U120" s="14"/>
      <c r="V120" s="10"/>
      <c r="W120" s="10"/>
      <c r="X120" s="10"/>
      <c r="Y120" s="10"/>
      <c r="Z120" s="11"/>
      <c r="AA120" s="11"/>
      <c r="AB120" s="13"/>
      <c r="AC120" s="13"/>
    </row>
    <row r="121" spans="1:29" ht="13" x14ac:dyDescent="0.3">
      <c r="A121" s="8"/>
      <c r="B121" s="9"/>
      <c r="C121" s="10"/>
      <c r="D121" s="10"/>
      <c r="E121" s="10"/>
      <c r="F121" s="10"/>
      <c r="G121" s="9"/>
      <c r="H121" s="11"/>
      <c r="I121" s="11"/>
      <c r="J121" s="11"/>
      <c r="K121" s="9"/>
      <c r="L121" s="10"/>
      <c r="M121" s="9"/>
      <c r="N121" s="9"/>
      <c r="O121" s="9"/>
      <c r="P121" s="9"/>
      <c r="Q121" s="9"/>
      <c r="R121" s="9"/>
      <c r="T121" s="13"/>
      <c r="U121" s="14"/>
      <c r="V121" s="10"/>
      <c r="W121" s="10"/>
      <c r="X121" s="10"/>
      <c r="Y121" s="10"/>
      <c r="Z121" s="11"/>
      <c r="AA121" s="11"/>
      <c r="AB121" s="13"/>
      <c r="AC121" s="13"/>
    </row>
    <row r="122" spans="1:29" ht="13" x14ac:dyDescent="0.3">
      <c r="A122" s="8"/>
      <c r="B122" s="9"/>
      <c r="C122" s="10"/>
      <c r="D122" s="10"/>
      <c r="E122" s="10"/>
      <c r="F122" s="10"/>
      <c r="G122" s="9"/>
      <c r="H122" s="11"/>
      <c r="I122" s="11"/>
      <c r="J122" s="11"/>
      <c r="K122" s="9"/>
      <c r="L122" s="10"/>
      <c r="M122" s="9"/>
      <c r="N122" s="9"/>
      <c r="O122" s="9"/>
      <c r="P122" s="9"/>
      <c r="Q122" s="9"/>
      <c r="R122" s="9"/>
      <c r="T122" s="13"/>
      <c r="U122" s="14"/>
      <c r="V122" s="10"/>
      <c r="W122" s="10"/>
      <c r="X122" s="10"/>
      <c r="Y122" s="10"/>
      <c r="Z122" s="11"/>
      <c r="AA122" s="11"/>
      <c r="AB122" s="13"/>
      <c r="AC122" s="13"/>
    </row>
    <row r="123" spans="1:29" ht="13" x14ac:dyDescent="0.3">
      <c r="A123" s="8"/>
      <c r="B123" s="9"/>
      <c r="C123" s="10"/>
      <c r="D123" s="10"/>
      <c r="E123" s="10"/>
      <c r="F123" s="10"/>
      <c r="G123" s="9"/>
      <c r="H123" s="11"/>
      <c r="I123" s="11"/>
      <c r="J123" s="11"/>
      <c r="K123" s="9"/>
      <c r="L123" s="10"/>
      <c r="M123" s="9"/>
      <c r="N123" s="9"/>
      <c r="O123" s="9"/>
      <c r="P123" s="9"/>
      <c r="Q123" s="9"/>
      <c r="R123" s="9"/>
      <c r="T123" s="13"/>
      <c r="U123" s="14"/>
      <c r="V123" s="10"/>
      <c r="W123" s="10"/>
      <c r="X123" s="10"/>
      <c r="Y123" s="10"/>
      <c r="Z123" s="11"/>
      <c r="AA123" s="11"/>
      <c r="AB123" s="13"/>
      <c r="AC123" s="13"/>
    </row>
    <row r="124" spans="1:29" ht="13" x14ac:dyDescent="0.3">
      <c r="A124" s="8"/>
      <c r="B124" s="9"/>
      <c r="C124" s="10"/>
      <c r="D124" s="10"/>
      <c r="E124" s="10"/>
      <c r="F124" s="10"/>
      <c r="G124" s="9"/>
      <c r="H124" s="11"/>
      <c r="I124" s="11"/>
      <c r="J124" s="11"/>
      <c r="K124" s="9"/>
      <c r="L124" s="10"/>
      <c r="M124" s="9"/>
      <c r="N124" s="9"/>
      <c r="O124" s="9"/>
      <c r="P124" s="9"/>
      <c r="Q124" s="9"/>
      <c r="R124" s="9"/>
      <c r="T124" s="13"/>
      <c r="U124" s="14"/>
      <c r="V124" s="10"/>
      <c r="W124" s="10"/>
      <c r="X124" s="10"/>
      <c r="Y124" s="10"/>
      <c r="Z124" s="11"/>
      <c r="AA124" s="11"/>
      <c r="AB124" s="13"/>
      <c r="AC124" s="13"/>
    </row>
    <row r="125" spans="1:29" ht="13" x14ac:dyDescent="0.3">
      <c r="A125" s="8"/>
      <c r="B125" s="9"/>
      <c r="C125" s="10"/>
      <c r="D125" s="10"/>
      <c r="E125" s="10"/>
      <c r="F125" s="10"/>
      <c r="G125" s="9"/>
      <c r="H125" s="11"/>
      <c r="I125" s="11"/>
      <c r="J125" s="11"/>
      <c r="K125" s="9"/>
      <c r="L125" s="10"/>
      <c r="M125" s="9"/>
      <c r="N125" s="9"/>
      <c r="O125" s="9"/>
      <c r="P125" s="9"/>
      <c r="Q125" s="9"/>
      <c r="R125" s="9"/>
      <c r="T125" s="13"/>
      <c r="U125" s="14"/>
      <c r="V125" s="10"/>
      <c r="W125" s="10"/>
      <c r="X125" s="10"/>
      <c r="Y125" s="10"/>
      <c r="Z125" s="11"/>
      <c r="AA125" s="11"/>
      <c r="AB125" s="13"/>
      <c r="AC125" s="13"/>
    </row>
    <row r="126" spans="1:29" ht="13" x14ac:dyDescent="0.3">
      <c r="A126" s="8"/>
      <c r="B126" s="9"/>
      <c r="C126" s="10"/>
      <c r="D126" s="10"/>
      <c r="E126" s="10"/>
      <c r="F126" s="10"/>
      <c r="G126" s="9"/>
      <c r="H126" s="11"/>
      <c r="I126" s="11"/>
      <c r="J126" s="11"/>
      <c r="K126" s="9"/>
      <c r="L126" s="10"/>
      <c r="M126" s="9"/>
      <c r="N126" s="9"/>
      <c r="O126" s="9"/>
      <c r="P126" s="9"/>
      <c r="Q126" s="9"/>
      <c r="R126" s="9"/>
      <c r="T126" s="13"/>
      <c r="U126" s="14"/>
      <c r="V126" s="10"/>
      <c r="W126" s="10"/>
      <c r="X126" s="10"/>
      <c r="Y126" s="10"/>
      <c r="Z126" s="11"/>
      <c r="AA126" s="11"/>
      <c r="AB126" s="13"/>
      <c r="AC126" s="13"/>
    </row>
    <row r="127" spans="1:29" ht="13" x14ac:dyDescent="0.3">
      <c r="A127" s="8"/>
      <c r="B127" s="9"/>
      <c r="C127" s="10"/>
      <c r="D127" s="10"/>
      <c r="E127" s="10"/>
      <c r="F127" s="10"/>
      <c r="G127" s="9"/>
      <c r="H127" s="11"/>
      <c r="I127" s="11"/>
      <c r="J127" s="11"/>
      <c r="K127" s="9"/>
      <c r="L127" s="10"/>
      <c r="M127" s="9"/>
      <c r="N127" s="9"/>
      <c r="O127" s="9"/>
      <c r="P127" s="9"/>
      <c r="Q127" s="9"/>
      <c r="R127" s="9"/>
      <c r="T127" s="13"/>
      <c r="U127" s="14"/>
      <c r="V127" s="10"/>
      <c r="W127" s="10"/>
      <c r="X127" s="10"/>
      <c r="Y127" s="10"/>
      <c r="Z127" s="11"/>
      <c r="AA127" s="11"/>
      <c r="AB127" s="13"/>
      <c r="AC127" s="13"/>
    </row>
    <row r="128" spans="1:29" ht="13" x14ac:dyDescent="0.3">
      <c r="A128" s="8"/>
      <c r="B128" s="9"/>
      <c r="C128" s="10"/>
      <c r="D128" s="10"/>
      <c r="E128" s="10"/>
      <c r="F128" s="10"/>
      <c r="G128" s="9"/>
      <c r="H128" s="11"/>
      <c r="I128" s="11"/>
      <c r="J128" s="11"/>
      <c r="K128" s="9"/>
      <c r="L128" s="10"/>
      <c r="M128" s="9"/>
      <c r="N128" s="9"/>
      <c r="O128" s="9"/>
      <c r="P128" s="9"/>
      <c r="Q128" s="9"/>
      <c r="R128" s="9"/>
      <c r="T128" s="13"/>
      <c r="U128" s="14"/>
      <c r="V128" s="10"/>
      <c r="W128" s="10"/>
      <c r="X128" s="10"/>
      <c r="Y128" s="10"/>
      <c r="Z128" s="11"/>
      <c r="AA128" s="11"/>
      <c r="AB128" s="13"/>
      <c r="AC128" s="13"/>
    </row>
    <row r="129" spans="1:29" ht="13" x14ac:dyDescent="0.3">
      <c r="A129" s="8"/>
      <c r="B129" s="9"/>
      <c r="C129" s="10"/>
      <c r="D129" s="10"/>
      <c r="E129" s="10"/>
      <c r="F129" s="10"/>
      <c r="G129" s="9"/>
      <c r="H129" s="11"/>
      <c r="I129" s="11"/>
      <c r="J129" s="11"/>
      <c r="K129" s="9"/>
      <c r="L129" s="10"/>
      <c r="M129" s="9"/>
      <c r="N129" s="9"/>
      <c r="O129" s="9"/>
      <c r="P129" s="9"/>
      <c r="Q129" s="9"/>
      <c r="R129" s="9"/>
      <c r="T129" s="13"/>
      <c r="U129" s="14"/>
      <c r="V129" s="10"/>
      <c r="W129" s="10"/>
      <c r="X129" s="10"/>
      <c r="Y129" s="10"/>
      <c r="Z129" s="11"/>
      <c r="AA129" s="11"/>
      <c r="AB129" s="13"/>
      <c r="AC129" s="13"/>
    </row>
    <row r="130" spans="1:29" ht="13" x14ac:dyDescent="0.3">
      <c r="A130" s="8"/>
      <c r="B130" s="9"/>
      <c r="C130" s="10"/>
      <c r="D130" s="10"/>
      <c r="E130" s="10"/>
      <c r="F130" s="10"/>
      <c r="G130" s="9"/>
      <c r="H130" s="11"/>
      <c r="I130" s="11"/>
      <c r="J130" s="11"/>
      <c r="K130" s="9"/>
      <c r="L130" s="10"/>
      <c r="M130" s="9"/>
      <c r="N130" s="9"/>
      <c r="O130" s="9"/>
      <c r="P130" s="9"/>
      <c r="Q130" s="9"/>
      <c r="R130" s="9"/>
      <c r="T130" s="13"/>
      <c r="U130" s="14"/>
      <c r="V130" s="10"/>
      <c r="W130" s="10"/>
      <c r="X130" s="10"/>
      <c r="Y130" s="10"/>
      <c r="Z130" s="11"/>
      <c r="AA130" s="11"/>
      <c r="AB130" s="13"/>
      <c r="AC130" s="13"/>
    </row>
    <row r="131" spans="1:29" ht="13" x14ac:dyDescent="0.3">
      <c r="A131" s="8"/>
      <c r="B131" s="9"/>
      <c r="C131" s="10"/>
      <c r="D131" s="10"/>
      <c r="E131" s="10"/>
      <c r="F131" s="10"/>
      <c r="G131" s="9"/>
      <c r="H131" s="11"/>
      <c r="I131" s="11"/>
      <c r="J131" s="11"/>
      <c r="K131" s="9"/>
      <c r="L131" s="10"/>
      <c r="M131" s="9"/>
      <c r="N131" s="9"/>
      <c r="O131" s="9"/>
      <c r="P131" s="9"/>
      <c r="Q131" s="9"/>
      <c r="R131" s="9"/>
      <c r="T131" s="13"/>
      <c r="U131" s="14"/>
      <c r="V131" s="10"/>
      <c r="W131" s="10"/>
      <c r="X131" s="10"/>
      <c r="Y131" s="10"/>
      <c r="Z131" s="11"/>
      <c r="AA131" s="11"/>
      <c r="AB131" s="13"/>
      <c r="AC131" s="13"/>
    </row>
    <row r="132" spans="1:29" ht="13" x14ac:dyDescent="0.3">
      <c r="A132" s="8"/>
      <c r="B132" s="9"/>
      <c r="C132" s="10"/>
      <c r="D132" s="10"/>
      <c r="E132" s="10"/>
      <c r="F132" s="10"/>
      <c r="G132" s="9"/>
      <c r="H132" s="11"/>
      <c r="I132" s="11"/>
      <c r="J132" s="11"/>
      <c r="K132" s="9"/>
      <c r="L132" s="10"/>
      <c r="M132" s="9"/>
      <c r="N132" s="9"/>
      <c r="O132" s="9"/>
      <c r="P132" s="9"/>
      <c r="Q132" s="9"/>
      <c r="R132" s="9"/>
      <c r="T132" s="13"/>
      <c r="U132" s="14"/>
      <c r="V132" s="10"/>
      <c r="W132" s="10"/>
      <c r="X132" s="10"/>
      <c r="Y132" s="10"/>
      <c r="Z132" s="11"/>
      <c r="AA132" s="11"/>
      <c r="AB132" s="13"/>
      <c r="AC132" s="13"/>
    </row>
    <row r="133" spans="1:29" ht="13" x14ac:dyDescent="0.3">
      <c r="A133" s="8"/>
      <c r="B133" s="9"/>
      <c r="C133" s="10"/>
      <c r="D133" s="10"/>
      <c r="E133" s="10"/>
      <c r="F133" s="10"/>
      <c r="G133" s="9"/>
      <c r="H133" s="11"/>
      <c r="I133" s="11"/>
      <c r="J133" s="11"/>
      <c r="K133" s="9"/>
      <c r="L133" s="10"/>
      <c r="M133" s="9"/>
      <c r="N133" s="9"/>
      <c r="O133" s="9"/>
      <c r="P133" s="9"/>
      <c r="Q133" s="9"/>
      <c r="R133" s="9"/>
      <c r="T133" s="13"/>
      <c r="U133" s="14"/>
      <c r="V133" s="10"/>
      <c r="W133" s="10"/>
      <c r="X133" s="10"/>
      <c r="Y133" s="10"/>
      <c r="Z133" s="11"/>
      <c r="AA133" s="11"/>
      <c r="AB133" s="13"/>
      <c r="AC133" s="13"/>
    </row>
    <row r="134" spans="1:29" ht="13" x14ac:dyDescent="0.3">
      <c r="A134" s="8"/>
      <c r="B134" s="9"/>
      <c r="C134" s="10"/>
      <c r="D134" s="10"/>
      <c r="E134" s="10"/>
      <c r="F134" s="10"/>
      <c r="G134" s="9"/>
      <c r="H134" s="11"/>
      <c r="I134" s="11"/>
      <c r="J134" s="11"/>
      <c r="K134" s="9"/>
      <c r="L134" s="10"/>
      <c r="M134" s="9"/>
      <c r="N134" s="9"/>
      <c r="O134" s="9"/>
      <c r="P134" s="9"/>
      <c r="Q134" s="9"/>
      <c r="R134" s="9"/>
      <c r="T134" s="13"/>
      <c r="U134" s="14"/>
      <c r="V134" s="10"/>
      <c r="W134" s="10"/>
      <c r="X134" s="10"/>
      <c r="Y134" s="10"/>
      <c r="Z134" s="11"/>
      <c r="AA134" s="11"/>
      <c r="AB134" s="13"/>
      <c r="AC134" s="13"/>
    </row>
    <row r="135" spans="1:29" ht="13" x14ac:dyDescent="0.3">
      <c r="A135" s="8"/>
      <c r="B135" s="9"/>
      <c r="C135" s="10"/>
      <c r="D135" s="10"/>
      <c r="E135" s="10"/>
      <c r="F135" s="10"/>
      <c r="G135" s="9"/>
      <c r="H135" s="11"/>
      <c r="I135" s="11"/>
      <c r="J135" s="11"/>
      <c r="K135" s="9"/>
      <c r="L135" s="10"/>
      <c r="M135" s="9"/>
      <c r="N135" s="9"/>
      <c r="O135" s="9"/>
      <c r="P135" s="9"/>
      <c r="Q135" s="9"/>
      <c r="R135" s="9"/>
      <c r="T135" s="13"/>
      <c r="U135" s="14"/>
      <c r="V135" s="10"/>
      <c r="W135" s="10"/>
      <c r="X135" s="10"/>
      <c r="Y135" s="10"/>
      <c r="Z135" s="11"/>
      <c r="AA135" s="11"/>
      <c r="AB135" s="13"/>
      <c r="AC135" s="13"/>
    </row>
    <row r="136" spans="1:29" ht="13" x14ac:dyDescent="0.3">
      <c r="A136" s="8"/>
      <c r="B136" s="9"/>
      <c r="C136" s="10"/>
      <c r="D136" s="10"/>
      <c r="E136" s="10"/>
      <c r="F136" s="10"/>
      <c r="G136" s="9"/>
      <c r="H136" s="11"/>
      <c r="I136" s="11"/>
      <c r="J136" s="11"/>
      <c r="K136" s="9"/>
      <c r="L136" s="10"/>
      <c r="M136" s="9"/>
      <c r="N136" s="9"/>
      <c r="O136" s="9"/>
      <c r="P136" s="9"/>
      <c r="Q136" s="9"/>
      <c r="R136" s="9"/>
      <c r="T136" s="13"/>
      <c r="U136" s="14"/>
      <c r="V136" s="10"/>
      <c r="W136" s="10"/>
      <c r="X136" s="10"/>
      <c r="Y136" s="10"/>
      <c r="Z136" s="11"/>
      <c r="AA136" s="11"/>
      <c r="AB136" s="13"/>
      <c r="AC136" s="13"/>
    </row>
    <row r="137" spans="1:29" ht="13" x14ac:dyDescent="0.3">
      <c r="A137" s="8"/>
      <c r="B137" s="9"/>
      <c r="C137" s="10"/>
      <c r="D137" s="10"/>
      <c r="E137" s="10"/>
      <c r="F137" s="10"/>
      <c r="G137" s="9"/>
      <c r="H137" s="11"/>
      <c r="I137" s="11"/>
      <c r="J137" s="11"/>
      <c r="K137" s="9"/>
      <c r="L137" s="10"/>
      <c r="M137" s="9"/>
      <c r="N137" s="9"/>
      <c r="O137" s="9"/>
      <c r="P137" s="9"/>
      <c r="Q137" s="9"/>
      <c r="R137" s="9"/>
      <c r="T137" s="13"/>
      <c r="U137" s="14"/>
      <c r="V137" s="10"/>
      <c r="W137" s="10"/>
      <c r="X137" s="10"/>
      <c r="Y137" s="10"/>
      <c r="Z137" s="11"/>
      <c r="AA137" s="11"/>
      <c r="AB137" s="13"/>
      <c r="AC137" s="13"/>
    </row>
    <row r="138" spans="1:29" ht="13" x14ac:dyDescent="0.3">
      <c r="A138" s="8"/>
      <c r="B138" s="9"/>
      <c r="C138" s="10"/>
      <c r="D138" s="10"/>
      <c r="E138" s="10"/>
      <c r="F138" s="10"/>
      <c r="G138" s="9"/>
      <c r="H138" s="11"/>
      <c r="I138" s="11"/>
      <c r="J138" s="11"/>
      <c r="K138" s="9"/>
      <c r="L138" s="10"/>
      <c r="M138" s="9"/>
      <c r="N138" s="9"/>
      <c r="O138" s="9"/>
      <c r="P138" s="9"/>
      <c r="Q138" s="9"/>
      <c r="R138" s="9"/>
      <c r="T138" s="13"/>
      <c r="U138" s="14"/>
      <c r="V138" s="10"/>
      <c r="W138" s="10"/>
      <c r="X138" s="10"/>
      <c r="Y138" s="10"/>
      <c r="Z138" s="11"/>
      <c r="AA138" s="11"/>
      <c r="AB138" s="13"/>
      <c r="AC138" s="13"/>
    </row>
    <row r="139" spans="1:29" ht="13" x14ac:dyDescent="0.3">
      <c r="A139" s="8"/>
      <c r="B139" s="9"/>
      <c r="C139" s="10"/>
      <c r="D139" s="10"/>
      <c r="E139" s="10"/>
      <c r="F139" s="10"/>
      <c r="G139" s="9"/>
      <c r="H139" s="11"/>
      <c r="I139" s="11"/>
      <c r="J139" s="11"/>
      <c r="K139" s="9"/>
      <c r="L139" s="10"/>
      <c r="M139" s="9"/>
      <c r="N139" s="9"/>
      <c r="O139" s="9"/>
      <c r="P139" s="9"/>
      <c r="Q139" s="9"/>
      <c r="R139" s="9"/>
      <c r="T139" s="13"/>
      <c r="U139" s="14"/>
      <c r="V139" s="10"/>
      <c r="W139" s="10"/>
      <c r="X139" s="10"/>
      <c r="Y139" s="10"/>
      <c r="Z139" s="11"/>
      <c r="AA139" s="11"/>
      <c r="AB139" s="13"/>
      <c r="AC139" s="13"/>
    </row>
    <row r="140" spans="1:29" ht="13" x14ac:dyDescent="0.3">
      <c r="A140" s="8"/>
      <c r="B140" s="9"/>
      <c r="C140" s="10"/>
      <c r="D140" s="10"/>
      <c r="E140" s="10"/>
      <c r="F140" s="10"/>
      <c r="G140" s="9"/>
      <c r="H140" s="11"/>
      <c r="I140" s="11"/>
      <c r="J140" s="11"/>
      <c r="K140" s="9"/>
      <c r="L140" s="10"/>
      <c r="M140" s="9"/>
      <c r="N140" s="9"/>
      <c r="O140" s="9"/>
      <c r="P140" s="9"/>
      <c r="Q140" s="9"/>
      <c r="R140" s="9"/>
      <c r="T140" s="13"/>
      <c r="U140" s="14"/>
      <c r="V140" s="10"/>
      <c r="W140" s="10"/>
      <c r="X140" s="10"/>
      <c r="Y140" s="10"/>
      <c r="Z140" s="11"/>
      <c r="AA140" s="11"/>
      <c r="AB140" s="13"/>
      <c r="AC140" s="13"/>
    </row>
    <row r="141" spans="1:29" ht="13" x14ac:dyDescent="0.3">
      <c r="A141" s="8"/>
      <c r="B141" s="9"/>
      <c r="C141" s="10"/>
      <c r="D141" s="10"/>
      <c r="E141" s="10"/>
      <c r="F141" s="10"/>
      <c r="G141" s="9"/>
      <c r="H141" s="11"/>
      <c r="I141" s="11"/>
      <c r="J141" s="11"/>
      <c r="K141" s="9"/>
      <c r="L141" s="10"/>
      <c r="M141" s="9"/>
      <c r="N141" s="9"/>
      <c r="O141" s="9"/>
      <c r="P141" s="9"/>
      <c r="Q141" s="9"/>
      <c r="R141" s="9"/>
      <c r="T141" s="13"/>
      <c r="U141" s="14"/>
      <c r="V141" s="10"/>
      <c r="W141" s="10"/>
      <c r="X141" s="10"/>
      <c r="Y141" s="10"/>
      <c r="Z141" s="11"/>
      <c r="AA141" s="11"/>
      <c r="AB141" s="13"/>
      <c r="AC141" s="13"/>
    </row>
    <row r="142" spans="1:29" ht="13" x14ac:dyDescent="0.3">
      <c r="A142" s="8"/>
      <c r="B142" s="9"/>
      <c r="C142" s="10"/>
      <c r="D142" s="10"/>
      <c r="E142" s="10"/>
      <c r="F142" s="10"/>
      <c r="G142" s="9"/>
      <c r="H142" s="11"/>
      <c r="I142" s="11"/>
      <c r="J142" s="11"/>
      <c r="K142" s="9"/>
      <c r="L142" s="10"/>
      <c r="M142" s="9"/>
      <c r="N142" s="9"/>
      <c r="O142" s="9"/>
      <c r="P142" s="9"/>
      <c r="Q142" s="9"/>
      <c r="R142" s="9"/>
      <c r="T142" s="13"/>
      <c r="U142" s="14"/>
      <c r="V142" s="10"/>
      <c r="W142" s="10"/>
      <c r="X142" s="10"/>
      <c r="Y142" s="10"/>
      <c r="Z142" s="11"/>
      <c r="AA142" s="11"/>
      <c r="AB142" s="13"/>
      <c r="AC142" s="13"/>
    </row>
    <row r="143" spans="1:29" ht="13" x14ac:dyDescent="0.3">
      <c r="A143" s="8"/>
      <c r="B143" s="9"/>
      <c r="C143" s="10"/>
      <c r="D143" s="10"/>
      <c r="E143" s="10"/>
      <c r="F143" s="10"/>
      <c r="G143" s="9"/>
      <c r="H143" s="11"/>
      <c r="I143" s="11"/>
      <c r="J143" s="11"/>
      <c r="K143" s="9"/>
      <c r="L143" s="10"/>
      <c r="M143" s="9"/>
      <c r="N143" s="9"/>
      <c r="O143" s="9"/>
      <c r="P143" s="9"/>
      <c r="Q143" s="9"/>
      <c r="R143" s="9"/>
      <c r="T143" s="13"/>
      <c r="U143" s="14"/>
      <c r="V143" s="10"/>
      <c r="W143" s="10"/>
      <c r="X143" s="10"/>
      <c r="Y143" s="10"/>
      <c r="Z143" s="11"/>
      <c r="AA143" s="11"/>
      <c r="AB143" s="13"/>
      <c r="AC143" s="13"/>
    </row>
    <row r="144" spans="1:29" ht="13" x14ac:dyDescent="0.3">
      <c r="A144" s="8"/>
      <c r="B144" s="9"/>
      <c r="C144" s="10"/>
      <c r="D144" s="10"/>
      <c r="E144" s="10"/>
      <c r="F144" s="10"/>
      <c r="G144" s="9"/>
      <c r="H144" s="11"/>
      <c r="I144" s="11"/>
      <c r="J144" s="11"/>
      <c r="K144" s="9"/>
      <c r="L144" s="10"/>
      <c r="M144" s="9"/>
      <c r="N144" s="9"/>
      <c r="O144" s="9"/>
      <c r="P144" s="9"/>
      <c r="Q144" s="9"/>
      <c r="R144" s="9"/>
      <c r="T144" s="13"/>
      <c r="U144" s="14"/>
      <c r="V144" s="10"/>
      <c r="W144" s="10"/>
      <c r="X144" s="10"/>
      <c r="Y144" s="10"/>
      <c r="Z144" s="11"/>
      <c r="AA144" s="11"/>
      <c r="AB144" s="13"/>
      <c r="AC144" s="13"/>
    </row>
    <row r="145" spans="1:29" ht="13" x14ac:dyDescent="0.3">
      <c r="A145" s="8"/>
      <c r="B145" s="9"/>
      <c r="C145" s="10"/>
      <c r="D145" s="10"/>
      <c r="E145" s="10"/>
      <c r="F145" s="10"/>
      <c r="G145" s="9"/>
      <c r="H145" s="11"/>
      <c r="I145" s="11"/>
      <c r="J145" s="11"/>
      <c r="K145" s="9"/>
      <c r="L145" s="10"/>
      <c r="M145" s="9"/>
      <c r="N145" s="9"/>
      <c r="O145" s="9"/>
      <c r="P145" s="9"/>
      <c r="Q145" s="9"/>
      <c r="R145" s="9"/>
      <c r="T145" s="13"/>
      <c r="U145" s="14"/>
      <c r="V145" s="10"/>
      <c r="W145" s="10"/>
      <c r="X145" s="10"/>
      <c r="Y145" s="10"/>
      <c r="Z145" s="11"/>
      <c r="AA145" s="11"/>
      <c r="AB145" s="13"/>
      <c r="AC145" s="13"/>
    </row>
    <row r="146" spans="1:29" ht="13" x14ac:dyDescent="0.3">
      <c r="A146" s="8"/>
      <c r="B146" s="9"/>
      <c r="C146" s="10"/>
      <c r="D146" s="10"/>
      <c r="E146" s="10"/>
      <c r="F146" s="10"/>
      <c r="G146" s="9"/>
      <c r="H146" s="11"/>
      <c r="I146" s="11"/>
      <c r="J146" s="11"/>
      <c r="K146" s="9"/>
      <c r="L146" s="10"/>
      <c r="M146" s="9"/>
      <c r="N146" s="9"/>
      <c r="O146" s="9"/>
      <c r="P146" s="9"/>
      <c r="Q146" s="9"/>
      <c r="R146" s="9"/>
      <c r="T146" s="13"/>
      <c r="U146" s="14"/>
      <c r="V146" s="10"/>
      <c r="W146" s="10"/>
      <c r="X146" s="10"/>
      <c r="Y146" s="10"/>
      <c r="Z146" s="11"/>
      <c r="AA146" s="11"/>
      <c r="AB146" s="13"/>
      <c r="AC146" s="13"/>
    </row>
    <row r="147" spans="1:29" ht="13" x14ac:dyDescent="0.3">
      <c r="A147" s="8"/>
      <c r="B147" s="9"/>
      <c r="C147" s="10"/>
      <c r="D147" s="10"/>
      <c r="E147" s="10"/>
      <c r="F147" s="10"/>
      <c r="G147" s="9"/>
      <c r="H147" s="11"/>
      <c r="I147" s="11"/>
      <c r="J147" s="11"/>
      <c r="K147" s="9"/>
      <c r="L147" s="10"/>
      <c r="M147" s="9"/>
      <c r="N147" s="9"/>
      <c r="O147" s="9"/>
      <c r="P147" s="9"/>
      <c r="Q147" s="9"/>
      <c r="R147" s="9"/>
      <c r="T147" s="13"/>
      <c r="U147" s="14"/>
      <c r="V147" s="10"/>
      <c r="W147" s="10"/>
      <c r="X147" s="10"/>
      <c r="Y147" s="10"/>
      <c r="Z147" s="11"/>
      <c r="AA147" s="11"/>
      <c r="AB147" s="13"/>
      <c r="AC147" s="13"/>
    </row>
    <row r="148" spans="1:29" ht="13" x14ac:dyDescent="0.3">
      <c r="A148" s="8"/>
      <c r="B148" s="9"/>
      <c r="C148" s="10"/>
      <c r="D148" s="10"/>
      <c r="E148" s="10"/>
      <c r="F148" s="10"/>
      <c r="G148" s="9"/>
      <c r="H148" s="11"/>
      <c r="I148" s="11"/>
      <c r="J148" s="11"/>
      <c r="K148" s="9"/>
      <c r="L148" s="10"/>
      <c r="M148" s="9"/>
      <c r="N148" s="9"/>
      <c r="O148" s="9"/>
      <c r="P148" s="9"/>
      <c r="Q148" s="9"/>
      <c r="R148" s="9"/>
      <c r="T148" s="13"/>
      <c r="U148" s="14"/>
      <c r="V148" s="10"/>
      <c r="W148" s="10"/>
      <c r="X148" s="10"/>
      <c r="Y148" s="10"/>
      <c r="Z148" s="11"/>
      <c r="AA148" s="11"/>
      <c r="AB148" s="13"/>
      <c r="AC148" s="13"/>
    </row>
    <row r="149" spans="1:29" ht="13" x14ac:dyDescent="0.3">
      <c r="A149" s="8"/>
      <c r="B149" s="9"/>
      <c r="C149" s="10"/>
      <c r="D149" s="10"/>
      <c r="E149" s="10"/>
      <c r="F149" s="10"/>
      <c r="G149" s="9"/>
      <c r="H149" s="11"/>
      <c r="I149" s="11"/>
      <c r="J149" s="11"/>
      <c r="K149" s="9"/>
      <c r="L149" s="10"/>
      <c r="M149" s="9"/>
      <c r="N149" s="9"/>
      <c r="O149" s="9"/>
      <c r="P149" s="9"/>
      <c r="Q149" s="9"/>
      <c r="R149" s="9"/>
      <c r="T149" s="13"/>
      <c r="U149" s="14"/>
      <c r="V149" s="10"/>
      <c r="W149" s="10"/>
      <c r="X149" s="10"/>
      <c r="Y149" s="10"/>
      <c r="Z149" s="11"/>
      <c r="AA149" s="11"/>
      <c r="AB149" s="13"/>
      <c r="AC149" s="13"/>
    </row>
    <row r="150" spans="1:29" ht="13" x14ac:dyDescent="0.3">
      <c r="A150" s="8"/>
      <c r="B150" s="9"/>
      <c r="C150" s="10"/>
      <c r="D150" s="10"/>
      <c r="E150" s="10"/>
      <c r="F150" s="10"/>
      <c r="G150" s="9"/>
      <c r="H150" s="11"/>
      <c r="I150" s="11"/>
      <c r="J150" s="11"/>
      <c r="K150" s="9"/>
      <c r="L150" s="10"/>
      <c r="M150" s="9"/>
      <c r="N150" s="9"/>
      <c r="O150" s="9"/>
      <c r="P150" s="9"/>
      <c r="Q150" s="9"/>
      <c r="R150" s="9"/>
      <c r="T150" s="13"/>
      <c r="U150" s="14"/>
      <c r="V150" s="10"/>
      <c r="W150" s="10"/>
      <c r="X150" s="10"/>
      <c r="Y150" s="10"/>
      <c r="Z150" s="11"/>
      <c r="AA150" s="11"/>
      <c r="AB150" s="13"/>
      <c r="AC150" s="13"/>
    </row>
    <row r="151" spans="1:29" ht="13" x14ac:dyDescent="0.3">
      <c r="A151" s="8"/>
      <c r="B151" s="9"/>
      <c r="C151" s="10"/>
      <c r="D151" s="10"/>
      <c r="E151" s="10"/>
      <c r="F151" s="10"/>
      <c r="G151" s="9"/>
      <c r="H151" s="11"/>
      <c r="I151" s="11"/>
      <c r="J151" s="11"/>
      <c r="K151" s="9"/>
      <c r="L151" s="10"/>
      <c r="M151" s="9"/>
      <c r="N151" s="9"/>
      <c r="O151" s="9"/>
      <c r="P151" s="9"/>
      <c r="Q151" s="9"/>
      <c r="R151" s="9"/>
      <c r="T151" s="13"/>
      <c r="U151" s="14"/>
      <c r="V151" s="10"/>
      <c r="W151" s="10"/>
      <c r="X151" s="10"/>
      <c r="Y151" s="10"/>
      <c r="Z151" s="11"/>
      <c r="AA151" s="11"/>
      <c r="AB151" s="13"/>
      <c r="AC151" s="13"/>
    </row>
    <row r="152" spans="1:29" ht="13" x14ac:dyDescent="0.3">
      <c r="A152" s="8"/>
      <c r="B152" s="9"/>
      <c r="C152" s="10"/>
      <c r="D152" s="10"/>
      <c r="E152" s="10"/>
      <c r="F152" s="10"/>
      <c r="G152" s="9"/>
      <c r="H152" s="11"/>
      <c r="I152" s="11"/>
      <c r="J152" s="11"/>
      <c r="K152" s="9"/>
      <c r="L152" s="10"/>
      <c r="M152" s="9"/>
      <c r="N152" s="9"/>
      <c r="O152" s="9"/>
      <c r="P152" s="9"/>
      <c r="Q152" s="9"/>
      <c r="R152" s="9"/>
      <c r="T152" s="13"/>
      <c r="U152" s="14"/>
      <c r="V152" s="10"/>
      <c r="W152" s="10"/>
      <c r="X152" s="10"/>
      <c r="Y152" s="10"/>
      <c r="Z152" s="11"/>
      <c r="AA152" s="11"/>
      <c r="AB152" s="13"/>
      <c r="AC152" s="13"/>
    </row>
    <row r="153" spans="1:29" ht="13" x14ac:dyDescent="0.3">
      <c r="A153" s="8"/>
      <c r="B153" s="9"/>
      <c r="C153" s="10"/>
      <c r="D153" s="10"/>
      <c r="E153" s="10"/>
      <c r="F153" s="10"/>
      <c r="G153" s="9"/>
      <c r="H153" s="11"/>
      <c r="I153" s="11"/>
      <c r="J153" s="11"/>
      <c r="K153" s="9"/>
      <c r="L153" s="10"/>
      <c r="M153" s="9"/>
      <c r="N153" s="9"/>
      <c r="O153" s="9"/>
      <c r="P153" s="9"/>
      <c r="Q153" s="9"/>
      <c r="R153" s="9"/>
      <c r="T153" s="13"/>
      <c r="U153" s="14"/>
      <c r="V153" s="10"/>
      <c r="W153" s="10"/>
      <c r="X153" s="10"/>
      <c r="Y153" s="10"/>
      <c r="Z153" s="11"/>
      <c r="AA153" s="11"/>
      <c r="AB153" s="13"/>
      <c r="AC153" s="13"/>
    </row>
    <row r="154" spans="1:29" ht="13" x14ac:dyDescent="0.3">
      <c r="A154" s="8"/>
      <c r="B154" s="9"/>
      <c r="C154" s="10"/>
      <c r="D154" s="10"/>
      <c r="E154" s="10"/>
      <c r="F154" s="10"/>
      <c r="G154" s="9"/>
      <c r="H154" s="11"/>
      <c r="I154" s="11"/>
      <c r="J154" s="11"/>
      <c r="K154" s="9"/>
      <c r="L154" s="10"/>
      <c r="M154" s="9"/>
      <c r="N154" s="9"/>
      <c r="O154" s="9"/>
      <c r="P154" s="9"/>
      <c r="Q154" s="9"/>
      <c r="R154" s="9"/>
      <c r="T154" s="13"/>
      <c r="U154" s="14"/>
      <c r="V154" s="10"/>
      <c r="W154" s="10"/>
      <c r="X154" s="10"/>
      <c r="Y154" s="10"/>
      <c r="Z154" s="11"/>
      <c r="AA154" s="11"/>
      <c r="AB154" s="13"/>
      <c r="AC154" s="13"/>
    </row>
    <row r="155" spans="1:29" ht="13" x14ac:dyDescent="0.3">
      <c r="A155" s="8"/>
      <c r="B155" s="9"/>
      <c r="C155" s="10"/>
      <c r="D155" s="10"/>
      <c r="E155" s="10"/>
      <c r="F155" s="10"/>
      <c r="G155" s="9"/>
      <c r="H155" s="11"/>
      <c r="I155" s="11"/>
      <c r="J155" s="11"/>
      <c r="K155" s="9"/>
      <c r="L155" s="10"/>
      <c r="M155" s="9"/>
      <c r="N155" s="9"/>
      <c r="O155" s="9"/>
      <c r="P155" s="9"/>
      <c r="Q155" s="9"/>
      <c r="R155" s="9"/>
      <c r="T155" s="13"/>
      <c r="U155" s="14"/>
      <c r="V155" s="10"/>
      <c r="W155" s="10"/>
      <c r="X155" s="10"/>
      <c r="Y155" s="10"/>
      <c r="Z155" s="11"/>
      <c r="AA155" s="11"/>
      <c r="AB155" s="13"/>
      <c r="AC155" s="13"/>
    </row>
    <row r="156" spans="1:29" ht="13" x14ac:dyDescent="0.3">
      <c r="A156" s="8"/>
      <c r="B156" s="9"/>
      <c r="C156" s="10"/>
      <c r="D156" s="10"/>
      <c r="E156" s="10"/>
      <c r="F156" s="10"/>
      <c r="G156" s="9"/>
      <c r="H156" s="11"/>
      <c r="I156" s="11"/>
      <c r="J156" s="11"/>
      <c r="K156" s="9"/>
      <c r="L156" s="10"/>
      <c r="M156" s="9"/>
      <c r="N156" s="9"/>
      <c r="O156" s="9"/>
      <c r="P156" s="9"/>
      <c r="Q156" s="9"/>
      <c r="R156" s="9"/>
      <c r="T156" s="13"/>
      <c r="U156" s="14"/>
      <c r="V156" s="10"/>
      <c r="W156" s="10"/>
      <c r="X156" s="10"/>
      <c r="Y156" s="10"/>
      <c r="Z156" s="11"/>
      <c r="AA156" s="11"/>
      <c r="AB156" s="13"/>
      <c r="AC156" s="13"/>
    </row>
    <row r="157" spans="1:29" ht="13" x14ac:dyDescent="0.3">
      <c r="A157" s="8"/>
      <c r="B157" s="9"/>
      <c r="C157" s="10"/>
      <c r="D157" s="10"/>
      <c r="E157" s="10"/>
      <c r="F157" s="10"/>
      <c r="G157" s="9"/>
      <c r="H157" s="11"/>
      <c r="I157" s="11"/>
      <c r="J157" s="11"/>
      <c r="K157" s="9"/>
      <c r="L157" s="10"/>
      <c r="M157" s="9"/>
      <c r="N157" s="9"/>
      <c r="O157" s="9"/>
      <c r="P157" s="9"/>
      <c r="Q157" s="9"/>
      <c r="R157" s="9"/>
      <c r="T157" s="13"/>
      <c r="U157" s="14"/>
      <c r="V157" s="10"/>
      <c r="W157" s="10"/>
      <c r="X157" s="10"/>
      <c r="Y157" s="10"/>
      <c r="Z157" s="11"/>
      <c r="AA157" s="11"/>
      <c r="AB157" s="13"/>
      <c r="AC157" s="13"/>
    </row>
    <row r="158" spans="1:29" ht="13" x14ac:dyDescent="0.3">
      <c r="A158" s="8"/>
      <c r="B158" s="9"/>
      <c r="C158" s="10"/>
      <c r="D158" s="10"/>
      <c r="E158" s="10"/>
      <c r="F158" s="10"/>
      <c r="G158" s="9"/>
      <c r="H158" s="11"/>
      <c r="I158" s="11"/>
      <c r="J158" s="11"/>
      <c r="K158" s="9"/>
      <c r="L158" s="10"/>
      <c r="M158" s="9"/>
      <c r="N158" s="9"/>
      <c r="O158" s="9"/>
      <c r="P158" s="9"/>
      <c r="Q158" s="9"/>
      <c r="R158" s="9"/>
      <c r="T158" s="13"/>
      <c r="U158" s="14"/>
      <c r="V158" s="10"/>
      <c r="W158" s="10"/>
      <c r="X158" s="10"/>
      <c r="Y158" s="10"/>
      <c r="Z158" s="11"/>
      <c r="AA158" s="11"/>
      <c r="AB158" s="13"/>
      <c r="AC158" s="13"/>
    </row>
    <row r="159" spans="1:29" ht="13" x14ac:dyDescent="0.3">
      <c r="A159" s="8"/>
      <c r="B159" s="9"/>
      <c r="C159" s="10"/>
      <c r="D159" s="10"/>
      <c r="E159" s="10"/>
      <c r="F159" s="10"/>
      <c r="G159" s="9"/>
      <c r="H159" s="11"/>
      <c r="I159" s="11"/>
      <c r="J159" s="11"/>
      <c r="K159" s="9"/>
      <c r="L159" s="10"/>
      <c r="M159" s="9"/>
      <c r="N159" s="9"/>
      <c r="O159" s="9"/>
      <c r="P159" s="9"/>
      <c r="Q159" s="9"/>
      <c r="R159" s="9"/>
      <c r="T159" s="13"/>
      <c r="U159" s="14"/>
      <c r="V159" s="10"/>
      <c r="W159" s="10"/>
      <c r="X159" s="10"/>
      <c r="Y159" s="10"/>
      <c r="Z159" s="11"/>
      <c r="AA159" s="11"/>
      <c r="AB159" s="13"/>
      <c r="AC159" s="13"/>
    </row>
    <row r="160" spans="1:29" ht="13" x14ac:dyDescent="0.3">
      <c r="A160" s="8"/>
      <c r="B160" s="9"/>
      <c r="C160" s="10"/>
      <c r="D160" s="10"/>
      <c r="E160" s="10"/>
      <c r="F160" s="10"/>
      <c r="G160" s="9"/>
      <c r="H160" s="11"/>
      <c r="I160" s="11"/>
      <c r="J160" s="11"/>
      <c r="K160" s="9"/>
      <c r="L160" s="10"/>
      <c r="M160" s="9"/>
      <c r="N160" s="9"/>
      <c r="O160" s="9"/>
      <c r="P160" s="9"/>
      <c r="Q160" s="9"/>
      <c r="R160" s="9"/>
      <c r="T160" s="13"/>
      <c r="U160" s="14"/>
      <c r="V160" s="10"/>
      <c r="W160" s="10"/>
      <c r="X160" s="10"/>
      <c r="Y160" s="10"/>
      <c r="Z160" s="11"/>
      <c r="AA160" s="11"/>
      <c r="AB160" s="13"/>
      <c r="AC160" s="13"/>
    </row>
    <row r="161" spans="1:29" ht="13" x14ac:dyDescent="0.3">
      <c r="A161" s="8"/>
      <c r="B161" s="9"/>
      <c r="C161" s="10"/>
      <c r="D161" s="10"/>
      <c r="E161" s="10"/>
      <c r="F161" s="10"/>
      <c r="G161" s="9"/>
      <c r="H161" s="11"/>
      <c r="I161" s="11"/>
      <c r="J161" s="11"/>
      <c r="K161" s="9"/>
      <c r="L161" s="10"/>
      <c r="M161" s="9"/>
      <c r="N161" s="9"/>
      <c r="O161" s="9"/>
      <c r="P161" s="9"/>
      <c r="Q161" s="9"/>
      <c r="R161" s="9"/>
      <c r="T161" s="13"/>
      <c r="U161" s="14"/>
      <c r="V161" s="10"/>
      <c r="W161" s="10"/>
      <c r="X161" s="10"/>
      <c r="Y161" s="10"/>
      <c r="Z161" s="11"/>
      <c r="AA161" s="11"/>
      <c r="AB161" s="13"/>
      <c r="AC161" s="13"/>
    </row>
    <row r="162" spans="1:29" ht="13" x14ac:dyDescent="0.3">
      <c r="A162" s="8"/>
      <c r="B162" s="9"/>
      <c r="C162" s="10"/>
      <c r="D162" s="10"/>
      <c r="E162" s="10"/>
      <c r="F162" s="10"/>
      <c r="G162" s="9"/>
      <c r="H162" s="11"/>
      <c r="I162" s="11"/>
      <c r="J162" s="11"/>
      <c r="K162" s="9"/>
      <c r="L162" s="10"/>
      <c r="M162" s="9"/>
      <c r="N162" s="9"/>
      <c r="O162" s="9"/>
      <c r="P162" s="9"/>
      <c r="Q162" s="9"/>
      <c r="R162" s="9"/>
      <c r="T162" s="13"/>
      <c r="U162" s="14"/>
      <c r="V162" s="10"/>
      <c r="W162" s="10"/>
      <c r="X162" s="10"/>
      <c r="Y162" s="10"/>
      <c r="Z162" s="11"/>
      <c r="AA162" s="11"/>
      <c r="AB162" s="13"/>
      <c r="AC162" s="13"/>
    </row>
    <row r="163" spans="1:29" ht="13" x14ac:dyDescent="0.3">
      <c r="A163" s="8"/>
      <c r="B163" s="9"/>
      <c r="C163" s="10"/>
      <c r="D163" s="10"/>
      <c r="E163" s="10"/>
      <c r="F163" s="10"/>
      <c r="G163" s="9"/>
      <c r="H163" s="11"/>
      <c r="I163" s="11"/>
      <c r="J163" s="11"/>
      <c r="K163" s="9"/>
      <c r="L163" s="10"/>
      <c r="M163" s="9"/>
      <c r="N163" s="9"/>
      <c r="O163" s="9"/>
      <c r="P163" s="9"/>
      <c r="Q163" s="9"/>
      <c r="R163" s="9"/>
      <c r="T163" s="13"/>
      <c r="U163" s="14"/>
      <c r="V163" s="10"/>
      <c r="W163" s="10"/>
      <c r="X163" s="10"/>
      <c r="Y163" s="10"/>
      <c r="Z163" s="11"/>
      <c r="AA163" s="11"/>
      <c r="AB163" s="13"/>
      <c r="AC163" s="13"/>
    </row>
    <row r="164" spans="1:29" ht="13" x14ac:dyDescent="0.3">
      <c r="A164" s="8"/>
      <c r="B164" s="9"/>
      <c r="C164" s="10"/>
      <c r="D164" s="10"/>
      <c r="E164" s="10"/>
      <c r="F164" s="10"/>
      <c r="G164" s="9"/>
      <c r="H164" s="11"/>
      <c r="I164" s="11"/>
      <c r="J164" s="11"/>
      <c r="K164" s="9"/>
      <c r="L164" s="10"/>
      <c r="M164" s="9"/>
      <c r="N164" s="9"/>
      <c r="O164" s="9"/>
      <c r="P164" s="9"/>
      <c r="Q164" s="9"/>
      <c r="R164" s="9"/>
      <c r="T164" s="13"/>
      <c r="U164" s="14"/>
      <c r="V164" s="10"/>
      <c r="W164" s="10"/>
      <c r="X164" s="10"/>
      <c r="Y164" s="10"/>
      <c r="Z164" s="11"/>
      <c r="AA164" s="11"/>
      <c r="AB164" s="13"/>
      <c r="AC164" s="13"/>
    </row>
    <row r="165" spans="1:29" ht="13" x14ac:dyDescent="0.3">
      <c r="A165" s="8"/>
      <c r="B165" s="9"/>
      <c r="C165" s="10"/>
      <c r="D165" s="10"/>
      <c r="E165" s="10"/>
      <c r="F165" s="10"/>
      <c r="G165" s="9"/>
      <c r="H165" s="11"/>
      <c r="I165" s="11"/>
      <c r="J165" s="11"/>
      <c r="K165" s="9"/>
      <c r="L165" s="10"/>
      <c r="M165" s="9"/>
      <c r="N165" s="9"/>
      <c r="O165" s="9"/>
      <c r="P165" s="9"/>
      <c r="Q165" s="9"/>
      <c r="R165" s="9"/>
      <c r="T165" s="13"/>
      <c r="U165" s="14"/>
      <c r="V165" s="10"/>
      <c r="W165" s="10"/>
      <c r="X165" s="10"/>
      <c r="Y165" s="10"/>
      <c r="Z165" s="11"/>
      <c r="AA165" s="11"/>
      <c r="AB165" s="13"/>
      <c r="AC165" s="13"/>
    </row>
    <row r="166" spans="1:29" ht="13" x14ac:dyDescent="0.3">
      <c r="A166" s="8"/>
      <c r="B166" s="9"/>
      <c r="C166" s="10"/>
      <c r="D166" s="10"/>
      <c r="E166" s="10"/>
      <c r="F166" s="10"/>
      <c r="G166" s="9"/>
      <c r="H166" s="11"/>
      <c r="I166" s="11"/>
      <c r="J166" s="11"/>
      <c r="K166" s="9"/>
      <c r="L166" s="10"/>
      <c r="M166" s="9"/>
      <c r="N166" s="9"/>
      <c r="O166" s="9"/>
      <c r="P166" s="9"/>
      <c r="Q166" s="9"/>
      <c r="R166" s="9"/>
      <c r="T166" s="13"/>
      <c r="U166" s="14"/>
      <c r="V166" s="10"/>
      <c r="W166" s="10"/>
      <c r="X166" s="10"/>
      <c r="Y166" s="10"/>
      <c r="Z166" s="11"/>
      <c r="AA166" s="11"/>
      <c r="AB166" s="13"/>
      <c r="AC166" s="13"/>
    </row>
    <row r="167" spans="1:29" ht="13" x14ac:dyDescent="0.3">
      <c r="A167" s="8"/>
      <c r="B167" s="9"/>
      <c r="C167" s="10"/>
      <c r="D167" s="10"/>
      <c r="E167" s="10"/>
      <c r="F167" s="10"/>
      <c r="G167" s="9"/>
      <c r="H167" s="11"/>
      <c r="I167" s="11"/>
      <c r="J167" s="11"/>
      <c r="K167" s="9"/>
      <c r="L167" s="10"/>
      <c r="M167" s="9"/>
      <c r="N167" s="9"/>
      <c r="O167" s="9"/>
      <c r="P167" s="9"/>
      <c r="Q167" s="9"/>
      <c r="R167" s="9"/>
      <c r="T167" s="13"/>
      <c r="U167" s="14"/>
      <c r="V167" s="10"/>
      <c r="W167" s="10"/>
      <c r="X167" s="10"/>
      <c r="Y167" s="10"/>
      <c r="Z167" s="11"/>
      <c r="AA167" s="11"/>
      <c r="AB167" s="13"/>
      <c r="AC167" s="13"/>
    </row>
    <row r="168" spans="1:29" ht="13" x14ac:dyDescent="0.3">
      <c r="A168" s="8"/>
      <c r="B168" s="9"/>
      <c r="C168" s="10"/>
      <c r="D168" s="10"/>
      <c r="E168" s="10"/>
      <c r="F168" s="10"/>
      <c r="G168" s="9"/>
      <c r="H168" s="11"/>
      <c r="I168" s="11"/>
      <c r="J168" s="11"/>
      <c r="K168" s="9"/>
      <c r="L168" s="10"/>
      <c r="M168" s="9"/>
      <c r="N168" s="9"/>
      <c r="O168" s="9"/>
      <c r="P168" s="9"/>
      <c r="Q168" s="9"/>
      <c r="R168" s="9"/>
      <c r="T168" s="13"/>
      <c r="U168" s="14"/>
      <c r="V168" s="10"/>
      <c r="W168" s="10"/>
      <c r="X168" s="10"/>
      <c r="Y168" s="10"/>
      <c r="Z168" s="11"/>
      <c r="AA168" s="11"/>
      <c r="AB168" s="13"/>
      <c r="AC168" s="13"/>
    </row>
    <row r="169" spans="1:29" ht="13" x14ac:dyDescent="0.3">
      <c r="A169" s="8"/>
      <c r="B169" s="9"/>
      <c r="C169" s="10"/>
      <c r="D169" s="10"/>
      <c r="E169" s="10"/>
      <c r="F169" s="10"/>
      <c r="G169" s="9"/>
      <c r="H169" s="11"/>
      <c r="I169" s="11"/>
      <c r="J169" s="11"/>
      <c r="K169" s="9"/>
      <c r="L169" s="10"/>
      <c r="M169" s="9"/>
      <c r="N169" s="9"/>
      <c r="O169" s="9"/>
      <c r="P169" s="9"/>
      <c r="Q169" s="9"/>
      <c r="R169" s="9"/>
      <c r="T169" s="13"/>
      <c r="U169" s="14"/>
      <c r="V169" s="10"/>
      <c r="W169" s="10"/>
      <c r="X169" s="10"/>
      <c r="Y169" s="10"/>
      <c r="Z169" s="11"/>
      <c r="AA169" s="11"/>
      <c r="AB169" s="13"/>
      <c r="AC169" s="13"/>
    </row>
    <row r="170" spans="1:29" ht="13" x14ac:dyDescent="0.3">
      <c r="A170" s="8"/>
      <c r="B170" s="9"/>
      <c r="C170" s="10"/>
      <c r="D170" s="10"/>
      <c r="E170" s="10"/>
      <c r="F170" s="10"/>
      <c r="G170" s="9"/>
      <c r="H170" s="11"/>
      <c r="I170" s="11"/>
      <c r="J170" s="11"/>
      <c r="K170" s="9"/>
      <c r="L170" s="10"/>
      <c r="M170" s="9"/>
      <c r="N170" s="9"/>
      <c r="O170" s="9"/>
      <c r="P170" s="9"/>
      <c r="Q170" s="9"/>
      <c r="R170" s="9"/>
      <c r="T170" s="13"/>
      <c r="U170" s="14"/>
      <c r="V170" s="10"/>
      <c r="W170" s="10"/>
      <c r="X170" s="10"/>
      <c r="Y170" s="10"/>
      <c r="Z170" s="11"/>
      <c r="AA170" s="11"/>
      <c r="AB170" s="13"/>
      <c r="AC170" s="13"/>
    </row>
    <row r="171" spans="1:29" ht="13" x14ac:dyDescent="0.3">
      <c r="A171" s="8"/>
      <c r="B171" s="9"/>
      <c r="C171" s="10"/>
      <c r="D171" s="10"/>
      <c r="E171" s="10"/>
      <c r="F171" s="10"/>
      <c r="G171" s="9"/>
      <c r="H171" s="11"/>
      <c r="I171" s="11"/>
      <c r="J171" s="11"/>
      <c r="K171" s="9"/>
      <c r="L171" s="10"/>
      <c r="M171" s="9"/>
      <c r="N171" s="9"/>
      <c r="O171" s="9"/>
      <c r="P171" s="9"/>
      <c r="Q171" s="9"/>
      <c r="R171" s="9"/>
      <c r="T171" s="13"/>
      <c r="U171" s="14"/>
      <c r="V171" s="10"/>
      <c r="W171" s="10"/>
      <c r="X171" s="10"/>
      <c r="Y171" s="10"/>
      <c r="Z171" s="11"/>
      <c r="AA171" s="11"/>
      <c r="AB171" s="13"/>
      <c r="AC171" s="13"/>
    </row>
    <row r="172" spans="1:29" ht="13" x14ac:dyDescent="0.3">
      <c r="A172" s="8"/>
      <c r="B172" s="9"/>
      <c r="C172" s="10"/>
      <c r="D172" s="10"/>
      <c r="E172" s="10"/>
      <c r="F172" s="10"/>
      <c r="G172" s="9"/>
      <c r="H172" s="11"/>
      <c r="I172" s="11"/>
      <c r="J172" s="11"/>
      <c r="K172" s="9"/>
      <c r="L172" s="10"/>
      <c r="M172" s="9"/>
      <c r="N172" s="9"/>
      <c r="O172" s="9"/>
      <c r="P172" s="9"/>
      <c r="Q172" s="9"/>
      <c r="R172" s="9"/>
      <c r="T172" s="13"/>
      <c r="U172" s="14"/>
      <c r="V172" s="10"/>
      <c r="W172" s="10"/>
      <c r="X172" s="10"/>
      <c r="Y172" s="10"/>
      <c r="Z172" s="11"/>
      <c r="AA172" s="11"/>
      <c r="AB172" s="13"/>
      <c r="AC172" s="13"/>
    </row>
    <row r="173" spans="1:29" ht="13" x14ac:dyDescent="0.3">
      <c r="A173" s="8"/>
      <c r="B173" s="9"/>
      <c r="C173" s="10"/>
      <c r="D173" s="10"/>
      <c r="E173" s="10"/>
      <c r="F173" s="10"/>
      <c r="G173" s="9"/>
      <c r="H173" s="11"/>
      <c r="I173" s="11"/>
      <c r="J173" s="11"/>
      <c r="K173" s="9"/>
      <c r="L173" s="10"/>
      <c r="M173" s="9"/>
      <c r="N173" s="9"/>
      <c r="O173" s="9"/>
      <c r="P173" s="9"/>
      <c r="Q173" s="9"/>
      <c r="R173" s="9"/>
      <c r="T173" s="13"/>
      <c r="U173" s="14"/>
      <c r="V173" s="10"/>
      <c r="W173" s="10"/>
      <c r="X173" s="10"/>
      <c r="Y173" s="10"/>
      <c r="Z173" s="11"/>
      <c r="AA173" s="11"/>
      <c r="AB173" s="13"/>
      <c r="AC173" s="13"/>
    </row>
    <row r="174" spans="1:29" ht="13" x14ac:dyDescent="0.3">
      <c r="A174" s="8"/>
      <c r="B174" s="9"/>
      <c r="C174" s="10"/>
      <c r="D174" s="10"/>
      <c r="E174" s="10"/>
      <c r="F174" s="10"/>
      <c r="G174" s="9"/>
      <c r="H174" s="11"/>
      <c r="I174" s="11"/>
      <c r="J174" s="11"/>
      <c r="K174" s="9"/>
      <c r="L174" s="10"/>
      <c r="M174" s="9"/>
      <c r="N174" s="9"/>
      <c r="O174" s="9"/>
      <c r="P174" s="9"/>
      <c r="Q174" s="9"/>
      <c r="R174" s="9"/>
      <c r="T174" s="13"/>
      <c r="U174" s="14"/>
      <c r="V174" s="10"/>
      <c r="W174" s="10"/>
      <c r="X174" s="10"/>
      <c r="Y174" s="10"/>
      <c r="Z174" s="11"/>
      <c r="AA174" s="11"/>
      <c r="AB174" s="13"/>
      <c r="AC174" s="13"/>
    </row>
    <row r="175" spans="1:29" ht="13" x14ac:dyDescent="0.3">
      <c r="A175" s="8"/>
      <c r="B175" s="9"/>
      <c r="C175" s="10"/>
      <c r="D175" s="10"/>
      <c r="E175" s="10"/>
      <c r="F175" s="10"/>
      <c r="G175" s="9"/>
      <c r="H175" s="11"/>
      <c r="I175" s="11"/>
      <c r="J175" s="11"/>
      <c r="K175" s="9"/>
      <c r="L175" s="10"/>
      <c r="M175" s="9"/>
      <c r="N175" s="9"/>
      <c r="O175" s="9"/>
      <c r="P175" s="9"/>
      <c r="Q175" s="9"/>
      <c r="R175" s="9"/>
      <c r="T175" s="13"/>
      <c r="U175" s="14"/>
      <c r="V175" s="10"/>
      <c r="W175" s="10"/>
      <c r="X175" s="10"/>
      <c r="Y175" s="10"/>
      <c r="Z175" s="11"/>
      <c r="AA175" s="11"/>
      <c r="AB175" s="13"/>
      <c r="AC175" s="13"/>
    </row>
    <row r="176" spans="1:29" ht="13" x14ac:dyDescent="0.3">
      <c r="A176" s="8"/>
      <c r="B176" s="9"/>
      <c r="C176" s="10"/>
      <c r="D176" s="10"/>
      <c r="E176" s="10"/>
      <c r="F176" s="10"/>
      <c r="G176" s="9"/>
      <c r="H176" s="11"/>
      <c r="I176" s="11"/>
      <c r="J176" s="11"/>
      <c r="K176" s="9"/>
      <c r="L176" s="10"/>
      <c r="M176" s="9"/>
      <c r="N176" s="9"/>
      <c r="O176" s="9"/>
      <c r="P176" s="9"/>
      <c r="Q176" s="9"/>
      <c r="R176" s="9"/>
      <c r="T176" s="13"/>
      <c r="U176" s="14"/>
      <c r="V176" s="10"/>
      <c r="W176" s="10"/>
      <c r="X176" s="10"/>
      <c r="Y176" s="10"/>
      <c r="Z176" s="11"/>
      <c r="AA176" s="11"/>
      <c r="AB176" s="13"/>
      <c r="AC176" s="13"/>
    </row>
    <row r="177" spans="1:29" ht="13" x14ac:dyDescent="0.3">
      <c r="A177" s="8"/>
      <c r="B177" s="9"/>
      <c r="C177" s="10"/>
      <c r="D177" s="10"/>
      <c r="E177" s="10"/>
      <c r="F177" s="10"/>
      <c r="G177" s="9"/>
      <c r="H177" s="11"/>
      <c r="I177" s="11"/>
      <c r="J177" s="11"/>
      <c r="K177" s="9"/>
      <c r="L177" s="10"/>
      <c r="M177" s="9"/>
      <c r="N177" s="9"/>
      <c r="O177" s="9"/>
      <c r="P177" s="9"/>
      <c r="Q177" s="9"/>
      <c r="R177" s="9"/>
      <c r="T177" s="13"/>
      <c r="U177" s="14"/>
      <c r="V177" s="10"/>
      <c r="W177" s="10"/>
      <c r="X177" s="10"/>
      <c r="Y177" s="10"/>
      <c r="Z177" s="11"/>
      <c r="AA177" s="11"/>
      <c r="AB177" s="13"/>
      <c r="AC177" s="13"/>
    </row>
    <row r="178" spans="1:29" ht="13" x14ac:dyDescent="0.3">
      <c r="A178" s="8"/>
      <c r="B178" s="9"/>
      <c r="C178" s="10"/>
      <c r="D178" s="10"/>
      <c r="E178" s="10"/>
      <c r="F178" s="10"/>
      <c r="G178" s="9"/>
      <c r="H178" s="11"/>
      <c r="I178" s="11"/>
      <c r="J178" s="11"/>
      <c r="K178" s="9"/>
      <c r="L178" s="10"/>
      <c r="M178" s="9"/>
      <c r="N178" s="9"/>
      <c r="O178" s="9"/>
      <c r="P178" s="9"/>
      <c r="Q178" s="9"/>
      <c r="R178" s="9"/>
      <c r="T178" s="13"/>
      <c r="U178" s="14"/>
      <c r="V178" s="10"/>
      <c r="W178" s="10"/>
      <c r="X178" s="10"/>
      <c r="Y178" s="10"/>
      <c r="Z178" s="11"/>
      <c r="AA178" s="11"/>
      <c r="AB178" s="13"/>
      <c r="AC178" s="13"/>
    </row>
    <row r="179" spans="1:29" ht="13" x14ac:dyDescent="0.3">
      <c r="A179" s="8"/>
      <c r="B179" s="9"/>
      <c r="C179" s="10"/>
      <c r="D179" s="10"/>
      <c r="E179" s="10"/>
      <c r="F179" s="10"/>
      <c r="G179" s="9"/>
      <c r="H179" s="11"/>
      <c r="I179" s="11"/>
      <c r="J179" s="11"/>
      <c r="K179" s="9"/>
      <c r="L179" s="10"/>
      <c r="M179" s="9"/>
      <c r="N179" s="9"/>
      <c r="O179" s="9"/>
      <c r="P179" s="9"/>
      <c r="Q179" s="9"/>
      <c r="R179" s="9"/>
      <c r="T179" s="13"/>
      <c r="U179" s="14"/>
      <c r="V179" s="10"/>
      <c r="W179" s="10"/>
      <c r="X179" s="10"/>
      <c r="Y179" s="10"/>
      <c r="Z179" s="11"/>
      <c r="AA179" s="11"/>
      <c r="AB179" s="13"/>
      <c r="AC179" s="13"/>
    </row>
    <row r="180" spans="1:29" ht="13" x14ac:dyDescent="0.3">
      <c r="A180" s="8"/>
      <c r="B180" s="9"/>
      <c r="C180" s="10"/>
      <c r="D180" s="10"/>
      <c r="E180" s="10"/>
      <c r="F180" s="10"/>
      <c r="G180" s="9"/>
      <c r="H180" s="11"/>
      <c r="I180" s="11"/>
      <c r="J180" s="11"/>
      <c r="K180" s="9"/>
      <c r="L180" s="10"/>
      <c r="M180" s="9"/>
      <c r="N180" s="9"/>
      <c r="O180" s="9"/>
      <c r="P180" s="9"/>
      <c r="Q180" s="9"/>
      <c r="R180" s="9"/>
      <c r="T180" s="13"/>
      <c r="U180" s="14"/>
      <c r="V180" s="10"/>
      <c r="W180" s="10"/>
      <c r="X180" s="10"/>
      <c r="Y180" s="10"/>
      <c r="Z180" s="11"/>
      <c r="AA180" s="11"/>
      <c r="AB180" s="13"/>
      <c r="AC180" s="13"/>
    </row>
    <row r="181" spans="1:29" ht="13" x14ac:dyDescent="0.3">
      <c r="A181" s="8"/>
      <c r="B181" s="9"/>
      <c r="C181" s="10"/>
      <c r="D181" s="10"/>
      <c r="E181" s="10"/>
      <c r="F181" s="10"/>
      <c r="G181" s="9"/>
      <c r="H181" s="11"/>
      <c r="I181" s="11"/>
      <c r="J181" s="11"/>
      <c r="K181" s="9"/>
      <c r="L181" s="10"/>
      <c r="M181" s="9"/>
      <c r="N181" s="9"/>
      <c r="O181" s="9"/>
      <c r="P181" s="9"/>
      <c r="Q181" s="9"/>
      <c r="R181" s="9"/>
      <c r="T181" s="13"/>
      <c r="U181" s="14"/>
      <c r="V181" s="10"/>
      <c r="W181" s="10"/>
      <c r="X181" s="10"/>
      <c r="Y181" s="10"/>
      <c r="Z181" s="11"/>
      <c r="AA181" s="11"/>
      <c r="AB181" s="13"/>
      <c r="AC181" s="13"/>
    </row>
    <row r="182" spans="1:29" ht="13" x14ac:dyDescent="0.3">
      <c r="A182" s="8"/>
      <c r="B182" s="9"/>
      <c r="C182" s="10"/>
      <c r="D182" s="10"/>
      <c r="E182" s="10"/>
      <c r="F182" s="10"/>
      <c r="G182" s="9"/>
      <c r="H182" s="11"/>
      <c r="I182" s="11"/>
      <c r="J182" s="11"/>
      <c r="K182" s="9"/>
      <c r="L182" s="10"/>
      <c r="M182" s="9"/>
      <c r="N182" s="9"/>
      <c r="O182" s="9"/>
      <c r="P182" s="9"/>
      <c r="Q182" s="9"/>
      <c r="R182" s="9"/>
      <c r="T182" s="13"/>
      <c r="U182" s="14"/>
      <c r="V182" s="10"/>
      <c r="W182" s="10"/>
      <c r="X182" s="10"/>
      <c r="Y182" s="10"/>
      <c r="Z182" s="11"/>
      <c r="AA182" s="11"/>
      <c r="AB182" s="13"/>
      <c r="AC182" s="13"/>
    </row>
    <row r="183" spans="1:29" ht="13" x14ac:dyDescent="0.3">
      <c r="A183" s="8"/>
      <c r="B183" s="9"/>
      <c r="C183" s="10"/>
      <c r="D183" s="10"/>
      <c r="E183" s="10"/>
      <c r="F183" s="10"/>
      <c r="G183" s="9"/>
      <c r="H183" s="11"/>
      <c r="I183" s="11"/>
      <c r="J183" s="11"/>
      <c r="K183" s="9"/>
      <c r="L183" s="10"/>
      <c r="M183" s="9"/>
      <c r="N183" s="9"/>
      <c r="O183" s="9"/>
      <c r="P183" s="9"/>
      <c r="Q183" s="9"/>
      <c r="R183" s="9"/>
      <c r="T183" s="13"/>
      <c r="U183" s="14"/>
      <c r="V183" s="10"/>
      <c r="W183" s="10"/>
      <c r="X183" s="10"/>
      <c r="Y183" s="10"/>
      <c r="Z183" s="11"/>
      <c r="AA183" s="11"/>
      <c r="AB183" s="13"/>
      <c r="AC183" s="13"/>
    </row>
    <row r="184" spans="1:29" ht="13" x14ac:dyDescent="0.3">
      <c r="A184" s="8"/>
      <c r="B184" s="9"/>
      <c r="C184" s="10"/>
      <c r="D184" s="10"/>
      <c r="E184" s="10"/>
      <c r="F184" s="10"/>
      <c r="G184" s="9"/>
      <c r="H184" s="11"/>
      <c r="I184" s="11"/>
      <c r="J184" s="11"/>
      <c r="K184" s="9"/>
      <c r="L184" s="10"/>
      <c r="M184" s="9"/>
      <c r="N184" s="9"/>
      <c r="O184" s="9"/>
      <c r="P184" s="9"/>
      <c r="Q184" s="9"/>
      <c r="R184" s="9"/>
      <c r="T184" s="13"/>
      <c r="U184" s="14"/>
      <c r="V184" s="10"/>
      <c r="W184" s="10"/>
      <c r="X184" s="10"/>
      <c r="Y184" s="10"/>
      <c r="Z184" s="11"/>
      <c r="AA184" s="11"/>
      <c r="AB184" s="13"/>
      <c r="AC184" s="13"/>
    </row>
    <row r="185" spans="1:29" ht="13" x14ac:dyDescent="0.3">
      <c r="A185" s="8"/>
      <c r="B185" s="9"/>
      <c r="C185" s="10"/>
      <c r="D185" s="10"/>
      <c r="E185" s="10"/>
      <c r="F185" s="10"/>
      <c r="G185" s="9"/>
      <c r="H185" s="11"/>
      <c r="I185" s="11"/>
      <c r="J185" s="11"/>
      <c r="K185" s="9"/>
      <c r="L185" s="10"/>
      <c r="M185" s="9"/>
      <c r="N185" s="9"/>
      <c r="O185" s="9"/>
      <c r="P185" s="9"/>
      <c r="Q185" s="9"/>
      <c r="R185" s="9"/>
      <c r="T185" s="13"/>
      <c r="U185" s="14"/>
      <c r="V185" s="10"/>
      <c r="W185" s="10"/>
      <c r="X185" s="10"/>
      <c r="Y185" s="10"/>
      <c r="Z185" s="11"/>
      <c r="AA185" s="11"/>
      <c r="AB185" s="13"/>
      <c r="AC185" s="13"/>
    </row>
    <row r="186" spans="1:29" ht="13" x14ac:dyDescent="0.3">
      <c r="A186" s="8"/>
      <c r="B186" s="9"/>
      <c r="C186" s="10"/>
      <c r="D186" s="10"/>
      <c r="E186" s="10"/>
      <c r="F186" s="10"/>
      <c r="G186" s="9"/>
      <c r="H186" s="11"/>
      <c r="I186" s="11"/>
      <c r="J186" s="11"/>
      <c r="K186" s="9"/>
      <c r="L186" s="10"/>
      <c r="M186" s="9"/>
      <c r="N186" s="9"/>
      <c r="O186" s="9"/>
      <c r="P186" s="9"/>
      <c r="Q186" s="9"/>
      <c r="R186" s="9"/>
      <c r="T186" s="13"/>
      <c r="U186" s="14"/>
      <c r="V186" s="10"/>
      <c r="W186" s="10"/>
      <c r="X186" s="10"/>
      <c r="Y186" s="10"/>
      <c r="Z186" s="11"/>
      <c r="AA186" s="11"/>
      <c r="AB186" s="13"/>
      <c r="AC186" s="13"/>
    </row>
    <row r="187" spans="1:29" ht="13" x14ac:dyDescent="0.3">
      <c r="A187" s="8"/>
      <c r="B187" s="9"/>
      <c r="C187" s="10"/>
      <c r="D187" s="10"/>
      <c r="E187" s="10"/>
      <c r="F187" s="10"/>
      <c r="G187" s="9"/>
      <c r="H187" s="11"/>
      <c r="I187" s="11"/>
      <c r="J187" s="11"/>
      <c r="K187" s="9"/>
      <c r="L187" s="10"/>
      <c r="M187" s="9"/>
      <c r="N187" s="9"/>
      <c r="O187" s="9"/>
      <c r="P187" s="9"/>
      <c r="Q187" s="9"/>
      <c r="R187" s="9"/>
      <c r="T187" s="13"/>
      <c r="U187" s="14"/>
      <c r="V187" s="10"/>
      <c r="W187" s="10"/>
      <c r="X187" s="10"/>
      <c r="Y187" s="10"/>
      <c r="Z187" s="11"/>
      <c r="AA187" s="11"/>
      <c r="AB187" s="13"/>
      <c r="AC187" s="13"/>
    </row>
    <row r="188" spans="1:29" ht="13" x14ac:dyDescent="0.3">
      <c r="A188" s="8"/>
      <c r="B188" s="9"/>
      <c r="C188" s="10"/>
      <c r="D188" s="10"/>
      <c r="E188" s="10"/>
      <c r="F188" s="10"/>
      <c r="G188" s="9"/>
      <c r="H188" s="11"/>
      <c r="I188" s="11"/>
      <c r="J188" s="11"/>
      <c r="K188" s="9"/>
      <c r="L188" s="10"/>
      <c r="M188" s="9"/>
      <c r="N188" s="9"/>
      <c r="O188" s="9"/>
      <c r="P188" s="9"/>
      <c r="Q188" s="9"/>
      <c r="R188" s="9"/>
      <c r="T188" s="13"/>
      <c r="U188" s="14"/>
      <c r="V188" s="10"/>
      <c r="W188" s="10"/>
      <c r="X188" s="10"/>
      <c r="Y188" s="10"/>
      <c r="Z188" s="11"/>
      <c r="AA188" s="11"/>
      <c r="AB188" s="13"/>
      <c r="AC188" s="13"/>
    </row>
    <row r="189" spans="1:29" ht="13" x14ac:dyDescent="0.3">
      <c r="A189" s="8"/>
      <c r="B189" s="9"/>
      <c r="C189" s="10"/>
      <c r="D189" s="10"/>
      <c r="E189" s="10"/>
      <c r="F189" s="10"/>
      <c r="G189" s="9"/>
      <c r="H189" s="11"/>
      <c r="I189" s="11"/>
      <c r="J189" s="11"/>
      <c r="K189" s="9"/>
      <c r="L189" s="10"/>
      <c r="M189" s="9"/>
      <c r="N189" s="9"/>
      <c r="O189" s="9"/>
      <c r="P189" s="9"/>
      <c r="Q189" s="9"/>
      <c r="R189" s="9"/>
      <c r="T189" s="13"/>
      <c r="U189" s="14"/>
      <c r="V189" s="10"/>
      <c r="W189" s="10"/>
      <c r="X189" s="10"/>
      <c r="Y189" s="10"/>
      <c r="Z189" s="11"/>
      <c r="AA189" s="11"/>
      <c r="AB189" s="13"/>
      <c r="AC189" s="13"/>
    </row>
    <row r="190" spans="1:29" ht="13" x14ac:dyDescent="0.3">
      <c r="A190" s="8"/>
      <c r="B190" s="9"/>
      <c r="C190" s="10"/>
      <c r="D190" s="10"/>
      <c r="E190" s="10"/>
      <c r="F190" s="10"/>
      <c r="G190" s="9"/>
      <c r="H190" s="11"/>
      <c r="I190" s="11"/>
      <c r="J190" s="11"/>
      <c r="K190" s="9"/>
      <c r="L190" s="10"/>
      <c r="M190" s="9"/>
      <c r="N190" s="9"/>
      <c r="O190" s="9"/>
      <c r="P190" s="9"/>
      <c r="Q190" s="9"/>
      <c r="R190" s="9"/>
      <c r="T190" s="13"/>
      <c r="U190" s="14"/>
      <c r="V190" s="10"/>
      <c r="W190" s="10"/>
      <c r="X190" s="10"/>
      <c r="Y190" s="10"/>
      <c r="Z190" s="11"/>
      <c r="AA190" s="11"/>
      <c r="AB190" s="13"/>
      <c r="AC190" s="13"/>
    </row>
    <row r="191" spans="1:29" ht="13" x14ac:dyDescent="0.3">
      <c r="A191" s="8"/>
      <c r="B191" s="9"/>
      <c r="C191" s="10"/>
      <c r="D191" s="10"/>
      <c r="E191" s="10"/>
      <c r="F191" s="10"/>
      <c r="G191" s="9"/>
      <c r="H191" s="11"/>
      <c r="I191" s="11"/>
      <c r="J191" s="11"/>
      <c r="K191" s="9"/>
      <c r="L191" s="10"/>
      <c r="M191" s="9"/>
      <c r="N191" s="9"/>
      <c r="O191" s="9"/>
      <c r="P191" s="9"/>
      <c r="Q191" s="9"/>
      <c r="R191" s="9"/>
      <c r="T191" s="13"/>
      <c r="U191" s="14"/>
      <c r="V191" s="10"/>
      <c r="W191" s="10"/>
      <c r="X191" s="10"/>
      <c r="Y191" s="10"/>
      <c r="Z191" s="11"/>
      <c r="AA191" s="11"/>
      <c r="AB191" s="13"/>
      <c r="AC191" s="13"/>
    </row>
    <row r="192" spans="1:29" ht="13" x14ac:dyDescent="0.3">
      <c r="A192" s="8"/>
      <c r="B192" s="9"/>
      <c r="C192" s="10"/>
      <c r="D192" s="10"/>
      <c r="E192" s="10"/>
      <c r="F192" s="10"/>
      <c r="G192" s="9"/>
      <c r="H192" s="11"/>
      <c r="I192" s="11"/>
      <c r="J192" s="11"/>
      <c r="K192" s="9"/>
      <c r="L192" s="10"/>
      <c r="M192" s="9"/>
      <c r="N192" s="9"/>
      <c r="O192" s="9"/>
      <c r="P192" s="9"/>
      <c r="Q192" s="9"/>
      <c r="R192" s="9"/>
      <c r="T192" s="13"/>
      <c r="U192" s="14"/>
      <c r="V192" s="10"/>
      <c r="W192" s="10"/>
      <c r="X192" s="10"/>
      <c r="Y192" s="10"/>
      <c r="Z192" s="11"/>
      <c r="AA192" s="11"/>
      <c r="AB192" s="13"/>
      <c r="AC192" s="13"/>
    </row>
    <row r="193" spans="1:29" ht="13" x14ac:dyDescent="0.3">
      <c r="A193" s="8"/>
      <c r="B193" s="9"/>
      <c r="C193" s="10"/>
      <c r="D193" s="10"/>
      <c r="E193" s="10"/>
      <c r="F193" s="10"/>
      <c r="G193" s="9"/>
      <c r="H193" s="11"/>
      <c r="I193" s="11"/>
      <c r="J193" s="11"/>
      <c r="K193" s="9"/>
      <c r="L193" s="10"/>
      <c r="M193" s="9"/>
      <c r="N193" s="9"/>
      <c r="O193" s="9"/>
      <c r="P193" s="9"/>
      <c r="Q193" s="9"/>
      <c r="R193" s="9"/>
      <c r="T193" s="13"/>
      <c r="U193" s="14"/>
      <c r="V193" s="10"/>
      <c r="W193" s="10"/>
      <c r="X193" s="10"/>
      <c r="Y193" s="10"/>
      <c r="Z193" s="11"/>
      <c r="AA193" s="11"/>
      <c r="AB193" s="13"/>
      <c r="AC193" s="13"/>
    </row>
    <row r="194" spans="1:29" ht="13" x14ac:dyDescent="0.3">
      <c r="A194" s="8"/>
      <c r="B194" s="9"/>
      <c r="C194" s="10"/>
      <c r="D194" s="10"/>
      <c r="E194" s="10"/>
      <c r="F194" s="10"/>
      <c r="G194" s="9"/>
      <c r="H194" s="11"/>
      <c r="I194" s="11"/>
      <c r="J194" s="11"/>
      <c r="K194" s="9"/>
      <c r="L194" s="10"/>
      <c r="M194" s="9"/>
      <c r="N194" s="9"/>
      <c r="O194" s="9"/>
      <c r="P194" s="9"/>
      <c r="Q194" s="9"/>
      <c r="R194" s="9"/>
      <c r="T194" s="13"/>
      <c r="U194" s="14"/>
      <c r="V194" s="10"/>
      <c r="W194" s="10"/>
      <c r="X194" s="10"/>
      <c r="Y194" s="10"/>
      <c r="Z194" s="11"/>
      <c r="AA194" s="11"/>
      <c r="AB194" s="13"/>
      <c r="AC194" s="13"/>
    </row>
    <row r="195" spans="1:29" ht="13" x14ac:dyDescent="0.3">
      <c r="A195" s="8"/>
      <c r="B195" s="9"/>
      <c r="C195" s="10"/>
      <c r="D195" s="10"/>
      <c r="E195" s="10"/>
      <c r="F195" s="10"/>
      <c r="G195" s="9"/>
      <c r="H195" s="11"/>
      <c r="I195" s="11"/>
      <c r="J195" s="11"/>
      <c r="K195" s="9"/>
      <c r="L195" s="10"/>
      <c r="M195" s="9"/>
      <c r="N195" s="9"/>
      <c r="O195" s="9"/>
      <c r="P195" s="9"/>
      <c r="Q195" s="9"/>
      <c r="R195" s="9"/>
      <c r="T195" s="13"/>
      <c r="U195" s="14"/>
      <c r="V195" s="10"/>
      <c r="W195" s="10"/>
      <c r="X195" s="10"/>
      <c r="Y195" s="10"/>
      <c r="Z195" s="11"/>
      <c r="AA195" s="11"/>
      <c r="AB195" s="13"/>
      <c r="AC195" s="13"/>
    </row>
    <row r="196" spans="1:29" ht="13" x14ac:dyDescent="0.3">
      <c r="A196" s="8"/>
      <c r="B196" s="9"/>
      <c r="C196" s="10"/>
      <c r="D196" s="10"/>
      <c r="E196" s="10"/>
      <c r="F196" s="10"/>
      <c r="G196" s="9"/>
      <c r="H196" s="11"/>
      <c r="I196" s="11"/>
      <c r="J196" s="11"/>
      <c r="K196" s="9"/>
      <c r="L196" s="10"/>
      <c r="M196" s="9"/>
      <c r="N196" s="9"/>
      <c r="O196" s="9"/>
      <c r="P196" s="9"/>
      <c r="Q196" s="9"/>
      <c r="R196" s="9"/>
      <c r="T196" s="13"/>
      <c r="U196" s="14"/>
      <c r="V196" s="10"/>
      <c r="W196" s="10"/>
      <c r="X196" s="10"/>
      <c r="Y196" s="10"/>
      <c r="Z196" s="11"/>
      <c r="AA196" s="11"/>
      <c r="AB196" s="13"/>
      <c r="AC196" s="13"/>
    </row>
    <row r="197" spans="1:29" ht="13" x14ac:dyDescent="0.3">
      <c r="A197" s="8"/>
      <c r="B197" s="9"/>
      <c r="C197" s="10"/>
      <c r="D197" s="10"/>
      <c r="E197" s="10"/>
      <c r="F197" s="10"/>
      <c r="G197" s="9"/>
      <c r="H197" s="11"/>
      <c r="I197" s="11"/>
      <c r="J197" s="11"/>
      <c r="K197" s="9"/>
      <c r="L197" s="10"/>
      <c r="M197" s="9"/>
      <c r="N197" s="9"/>
      <c r="O197" s="9"/>
      <c r="P197" s="9"/>
      <c r="Q197" s="9"/>
      <c r="R197" s="9"/>
      <c r="T197" s="13"/>
      <c r="U197" s="14"/>
      <c r="V197" s="10"/>
      <c r="W197" s="10"/>
      <c r="X197" s="10"/>
      <c r="Y197" s="10"/>
      <c r="Z197" s="11"/>
      <c r="AA197" s="11"/>
      <c r="AB197" s="13"/>
      <c r="AC197" s="13"/>
    </row>
    <row r="198" spans="1:29" ht="13" x14ac:dyDescent="0.3">
      <c r="A198" s="8"/>
      <c r="B198" s="9"/>
      <c r="C198" s="10"/>
      <c r="D198" s="10"/>
      <c r="E198" s="10"/>
      <c r="F198" s="10"/>
      <c r="G198" s="9"/>
      <c r="H198" s="11"/>
      <c r="I198" s="11"/>
      <c r="J198" s="11"/>
      <c r="K198" s="9"/>
      <c r="L198" s="10"/>
      <c r="M198" s="9"/>
      <c r="N198" s="9"/>
      <c r="O198" s="9"/>
      <c r="P198" s="9"/>
      <c r="Q198" s="9"/>
      <c r="R198" s="9"/>
      <c r="T198" s="13"/>
      <c r="U198" s="14"/>
      <c r="V198" s="10"/>
      <c r="W198" s="10"/>
      <c r="X198" s="10"/>
      <c r="Y198" s="10"/>
      <c r="Z198" s="11"/>
      <c r="AA198" s="11"/>
      <c r="AB198" s="13"/>
      <c r="AC198" s="13"/>
    </row>
    <row r="199" spans="1:29" ht="13" x14ac:dyDescent="0.3">
      <c r="A199" s="8"/>
      <c r="B199" s="9"/>
      <c r="C199" s="10"/>
      <c r="D199" s="10"/>
      <c r="E199" s="10"/>
      <c r="F199" s="10"/>
      <c r="G199" s="9"/>
      <c r="H199" s="11"/>
      <c r="I199" s="11"/>
      <c r="J199" s="11"/>
      <c r="K199" s="9"/>
      <c r="L199" s="10"/>
      <c r="M199" s="9"/>
      <c r="N199" s="9"/>
      <c r="O199" s="9"/>
      <c r="P199" s="9"/>
      <c r="Q199" s="9"/>
      <c r="R199" s="9"/>
      <c r="T199" s="13"/>
      <c r="U199" s="14"/>
      <c r="V199" s="10"/>
      <c r="W199" s="10"/>
      <c r="X199" s="10"/>
      <c r="Y199" s="10"/>
      <c r="Z199" s="11"/>
      <c r="AA199" s="11"/>
      <c r="AB199" s="13"/>
      <c r="AC199" s="13"/>
    </row>
    <row r="200" spans="1:29" ht="13" x14ac:dyDescent="0.3">
      <c r="A200" s="8"/>
      <c r="B200" s="9"/>
      <c r="C200" s="10"/>
      <c r="D200" s="10"/>
      <c r="E200" s="10"/>
      <c r="F200" s="10"/>
      <c r="G200" s="9"/>
      <c r="H200" s="11"/>
      <c r="I200" s="11"/>
      <c r="J200" s="11"/>
      <c r="K200" s="9"/>
      <c r="L200" s="10"/>
      <c r="M200" s="9"/>
      <c r="N200" s="9"/>
      <c r="O200" s="9"/>
      <c r="P200" s="9"/>
      <c r="Q200" s="9"/>
      <c r="R200" s="9"/>
      <c r="T200" s="13"/>
      <c r="U200" s="14"/>
      <c r="V200" s="10"/>
      <c r="W200" s="10"/>
      <c r="X200" s="10"/>
      <c r="Y200" s="10"/>
      <c r="Z200" s="11"/>
      <c r="AA200" s="11"/>
      <c r="AB200" s="13"/>
      <c r="AC200" s="13"/>
    </row>
    <row r="201" spans="1:29" ht="13" x14ac:dyDescent="0.3">
      <c r="A201" s="8"/>
      <c r="B201" s="9"/>
      <c r="C201" s="10"/>
      <c r="D201" s="10"/>
      <c r="E201" s="10"/>
      <c r="F201" s="10"/>
      <c r="G201" s="9"/>
      <c r="H201" s="11"/>
      <c r="I201" s="11"/>
      <c r="J201" s="11"/>
      <c r="K201" s="9"/>
      <c r="L201" s="10"/>
      <c r="M201" s="9"/>
      <c r="N201" s="9"/>
      <c r="O201" s="9"/>
      <c r="P201" s="9"/>
      <c r="Q201" s="9"/>
      <c r="R201" s="9"/>
      <c r="T201" s="13"/>
      <c r="U201" s="14"/>
      <c r="V201" s="10"/>
      <c r="W201" s="10"/>
      <c r="X201" s="10"/>
      <c r="Y201" s="10"/>
      <c r="Z201" s="11"/>
      <c r="AA201" s="11"/>
      <c r="AB201" s="13"/>
      <c r="AC201" s="13"/>
    </row>
    <row r="202" spans="1:29" ht="13" x14ac:dyDescent="0.3">
      <c r="A202" s="8"/>
      <c r="B202" s="9"/>
      <c r="C202" s="10"/>
      <c r="D202" s="10"/>
      <c r="E202" s="10"/>
      <c r="F202" s="10"/>
      <c r="G202" s="9"/>
      <c r="H202" s="11"/>
      <c r="I202" s="11"/>
      <c r="J202" s="11"/>
      <c r="K202" s="9"/>
      <c r="L202" s="10"/>
      <c r="M202" s="9"/>
      <c r="N202" s="9"/>
      <c r="O202" s="9"/>
      <c r="P202" s="9"/>
      <c r="Q202" s="9"/>
      <c r="R202" s="9"/>
      <c r="T202" s="13"/>
      <c r="U202" s="14"/>
      <c r="V202" s="10"/>
      <c r="W202" s="10"/>
      <c r="X202" s="10"/>
      <c r="Y202" s="10"/>
      <c r="Z202" s="11"/>
      <c r="AA202" s="11"/>
      <c r="AB202" s="13"/>
      <c r="AC202" s="13"/>
    </row>
    <row r="203" spans="1:29" ht="13" x14ac:dyDescent="0.3">
      <c r="A203" s="8"/>
      <c r="B203" s="9"/>
      <c r="C203" s="10"/>
      <c r="D203" s="10"/>
      <c r="E203" s="10"/>
      <c r="F203" s="10"/>
      <c r="G203" s="9"/>
      <c r="H203" s="11"/>
      <c r="I203" s="11"/>
      <c r="J203" s="11"/>
      <c r="K203" s="9"/>
      <c r="L203" s="10"/>
      <c r="M203" s="9"/>
      <c r="N203" s="9"/>
      <c r="O203" s="9"/>
      <c r="P203" s="9"/>
      <c r="Q203" s="9"/>
      <c r="R203" s="9"/>
      <c r="T203" s="13"/>
      <c r="U203" s="14"/>
      <c r="V203" s="10"/>
      <c r="W203" s="10"/>
      <c r="X203" s="10"/>
      <c r="Y203" s="10"/>
      <c r="Z203" s="11"/>
      <c r="AA203" s="11"/>
      <c r="AB203" s="13"/>
      <c r="AC203" s="13"/>
    </row>
    <row r="204" spans="1:29" ht="13" x14ac:dyDescent="0.3">
      <c r="A204" s="8"/>
      <c r="B204" s="9"/>
      <c r="C204" s="10"/>
      <c r="D204" s="10"/>
      <c r="E204" s="10"/>
      <c r="F204" s="10"/>
      <c r="G204" s="9"/>
      <c r="H204" s="11"/>
      <c r="I204" s="11"/>
      <c r="J204" s="11"/>
      <c r="K204" s="9"/>
      <c r="L204" s="10"/>
      <c r="M204" s="9"/>
      <c r="N204" s="9"/>
      <c r="O204" s="9"/>
      <c r="P204" s="9"/>
      <c r="Q204" s="9"/>
      <c r="R204" s="9"/>
      <c r="T204" s="13"/>
      <c r="U204" s="14"/>
      <c r="V204" s="10"/>
      <c r="W204" s="10"/>
      <c r="X204" s="10"/>
      <c r="Y204" s="10"/>
      <c r="Z204" s="11"/>
      <c r="AA204" s="11"/>
      <c r="AB204" s="13"/>
      <c r="AC204" s="13"/>
    </row>
    <row r="205" spans="1:29" ht="13" x14ac:dyDescent="0.3">
      <c r="A205" s="8"/>
      <c r="B205" s="9"/>
      <c r="C205" s="10"/>
      <c r="D205" s="10"/>
      <c r="E205" s="10"/>
      <c r="F205" s="10"/>
      <c r="G205" s="9"/>
      <c r="H205" s="11"/>
      <c r="I205" s="11"/>
      <c r="J205" s="11"/>
      <c r="K205" s="9"/>
      <c r="L205" s="10"/>
      <c r="M205" s="9"/>
      <c r="N205" s="9"/>
      <c r="O205" s="9"/>
      <c r="P205" s="9"/>
      <c r="Q205" s="9"/>
      <c r="R205" s="9"/>
      <c r="T205" s="13"/>
      <c r="U205" s="14"/>
      <c r="V205" s="10"/>
      <c r="W205" s="10"/>
      <c r="X205" s="10"/>
      <c r="Y205" s="10"/>
      <c r="Z205" s="11"/>
      <c r="AA205" s="11"/>
      <c r="AB205" s="13"/>
      <c r="AC205" s="13"/>
    </row>
    <row r="206" spans="1:29" ht="13" x14ac:dyDescent="0.3">
      <c r="A206" s="8"/>
      <c r="B206" s="9"/>
      <c r="C206" s="10"/>
      <c r="D206" s="10"/>
      <c r="E206" s="10"/>
      <c r="F206" s="10"/>
      <c r="G206" s="9"/>
      <c r="H206" s="11"/>
      <c r="I206" s="11"/>
      <c r="J206" s="11"/>
      <c r="K206" s="9"/>
      <c r="L206" s="10"/>
      <c r="M206" s="9"/>
      <c r="N206" s="9"/>
      <c r="O206" s="9"/>
      <c r="P206" s="9"/>
      <c r="Q206" s="9"/>
      <c r="R206" s="9"/>
      <c r="T206" s="13"/>
      <c r="U206" s="14"/>
      <c r="V206" s="10"/>
      <c r="W206" s="10"/>
      <c r="X206" s="10"/>
      <c r="Y206" s="10"/>
      <c r="Z206" s="11"/>
      <c r="AA206" s="11"/>
      <c r="AB206" s="13"/>
      <c r="AC206" s="13"/>
    </row>
    <row r="207" spans="1:29" ht="13" x14ac:dyDescent="0.3">
      <c r="A207" s="8"/>
      <c r="B207" s="9"/>
      <c r="C207" s="10"/>
      <c r="D207" s="10"/>
      <c r="E207" s="10"/>
      <c r="F207" s="10"/>
      <c r="G207" s="9"/>
      <c r="H207" s="11"/>
      <c r="I207" s="11"/>
      <c r="J207" s="11"/>
      <c r="K207" s="9"/>
      <c r="L207" s="10"/>
      <c r="M207" s="9"/>
      <c r="N207" s="9"/>
      <c r="O207" s="9"/>
      <c r="P207" s="9"/>
      <c r="Q207" s="9"/>
      <c r="R207" s="9"/>
      <c r="T207" s="13"/>
      <c r="U207" s="14"/>
      <c r="V207" s="10"/>
      <c r="W207" s="10"/>
      <c r="X207" s="10"/>
      <c r="Y207" s="10"/>
      <c r="Z207" s="11"/>
      <c r="AA207" s="11"/>
      <c r="AB207" s="13"/>
      <c r="AC207" s="13"/>
    </row>
    <row r="208" spans="1:29" ht="13" x14ac:dyDescent="0.3">
      <c r="A208" s="8"/>
      <c r="B208" s="9"/>
      <c r="C208" s="10"/>
      <c r="D208" s="10"/>
      <c r="E208" s="10"/>
      <c r="F208" s="10"/>
      <c r="G208" s="9"/>
      <c r="H208" s="11"/>
      <c r="I208" s="11"/>
      <c r="J208" s="11"/>
      <c r="K208" s="9"/>
      <c r="L208" s="10"/>
      <c r="M208" s="9"/>
      <c r="N208" s="9"/>
      <c r="O208" s="9"/>
      <c r="P208" s="9"/>
      <c r="Q208" s="9"/>
      <c r="R208" s="9"/>
      <c r="T208" s="13"/>
      <c r="U208" s="14"/>
      <c r="V208" s="10"/>
      <c r="W208" s="10"/>
      <c r="X208" s="10"/>
      <c r="Y208" s="10"/>
      <c r="Z208" s="11"/>
      <c r="AA208" s="11"/>
      <c r="AB208" s="13"/>
      <c r="AC208" s="13"/>
    </row>
    <row r="209" spans="1:29" ht="13" x14ac:dyDescent="0.3">
      <c r="A209" s="8"/>
      <c r="B209" s="9"/>
      <c r="C209" s="10"/>
      <c r="D209" s="10"/>
      <c r="E209" s="10"/>
      <c r="F209" s="10"/>
      <c r="G209" s="9"/>
      <c r="H209" s="11"/>
      <c r="I209" s="11"/>
      <c r="J209" s="11"/>
      <c r="K209" s="9"/>
      <c r="L209" s="10"/>
      <c r="M209" s="9"/>
      <c r="N209" s="9"/>
      <c r="O209" s="9"/>
      <c r="P209" s="9"/>
      <c r="Q209" s="9"/>
      <c r="R209" s="9"/>
      <c r="T209" s="13"/>
      <c r="U209" s="14"/>
      <c r="V209" s="10"/>
      <c r="W209" s="10"/>
      <c r="X209" s="10"/>
      <c r="Y209" s="10"/>
      <c r="Z209" s="11"/>
      <c r="AA209" s="11"/>
      <c r="AB209" s="13"/>
      <c r="AC209" s="13"/>
    </row>
    <row r="210" spans="1:29" ht="13" x14ac:dyDescent="0.3">
      <c r="A210" s="8"/>
      <c r="B210" s="9"/>
      <c r="C210" s="10"/>
      <c r="D210" s="10"/>
      <c r="E210" s="10"/>
      <c r="F210" s="10"/>
      <c r="G210" s="9"/>
      <c r="H210" s="11"/>
      <c r="I210" s="11"/>
      <c r="J210" s="11"/>
      <c r="K210" s="9"/>
      <c r="L210" s="10"/>
      <c r="M210" s="9"/>
      <c r="N210" s="9"/>
      <c r="O210" s="9"/>
      <c r="P210" s="9"/>
      <c r="Q210" s="9"/>
      <c r="R210" s="9"/>
      <c r="T210" s="13"/>
      <c r="U210" s="14"/>
      <c r="V210" s="10"/>
      <c r="W210" s="10"/>
      <c r="X210" s="10"/>
      <c r="Y210" s="10"/>
      <c r="Z210" s="11"/>
      <c r="AA210" s="11"/>
      <c r="AB210" s="13"/>
      <c r="AC210" s="13"/>
    </row>
    <row r="211" spans="1:29" ht="13" x14ac:dyDescent="0.3">
      <c r="A211" s="8"/>
      <c r="B211" s="9"/>
      <c r="C211" s="10"/>
      <c r="D211" s="10"/>
      <c r="E211" s="10"/>
      <c r="F211" s="10"/>
      <c r="G211" s="9"/>
      <c r="H211" s="11"/>
      <c r="I211" s="11"/>
      <c r="J211" s="11"/>
      <c r="K211" s="9"/>
      <c r="L211" s="10"/>
      <c r="M211" s="9"/>
      <c r="N211" s="9"/>
      <c r="O211" s="9"/>
      <c r="P211" s="9"/>
      <c r="Q211" s="9"/>
      <c r="R211" s="9"/>
      <c r="T211" s="13"/>
      <c r="U211" s="14"/>
      <c r="V211" s="10"/>
      <c r="W211" s="10"/>
      <c r="X211" s="10"/>
      <c r="Y211" s="10"/>
      <c r="Z211" s="11"/>
      <c r="AA211" s="11"/>
      <c r="AB211" s="13"/>
      <c r="AC211" s="13"/>
    </row>
    <row r="212" spans="1:29" ht="13" x14ac:dyDescent="0.3">
      <c r="A212" s="8"/>
      <c r="B212" s="9"/>
      <c r="C212" s="10"/>
      <c r="D212" s="10"/>
      <c r="E212" s="10"/>
      <c r="F212" s="10"/>
      <c r="G212" s="9"/>
      <c r="H212" s="11"/>
      <c r="I212" s="11"/>
      <c r="J212" s="11"/>
      <c r="K212" s="9"/>
      <c r="L212" s="10"/>
      <c r="M212" s="9"/>
      <c r="N212" s="9"/>
      <c r="O212" s="9"/>
      <c r="P212" s="9"/>
      <c r="Q212" s="9"/>
      <c r="R212" s="9"/>
      <c r="T212" s="13"/>
      <c r="U212" s="14"/>
      <c r="V212" s="10"/>
      <c r="W212" s="10"/>
      <c r="X212" s="10"/>
      <c r="Y212" s="10"/>
      <c r="Z212" s="11"/>
      <c r="AA212" s="11"/>
      <c r="AB212" s="13"/>
      <c r="AC212" s="13"/>
    </row>
    <row r="213" spans="1:29" ht="13" x14ac:dyDescent="0.3">
      <c r="A213" s="8"/>
      <c r="B213" s="9"/>
      <c r="C213" s="10"/>
      <c r="D213" s="10"/>
      <c r="E213" s="10"/>
      <c r="F213" s="10"/>
      <c r="G213" s="9"/>
      <c r="H213" s="11"/>
      <c r="I213" s="11"/>
      <c r="J213" s="11"/>
      <c r="K213" s="9"/>
      <c r="L213" s="10"/>
      <c r="M213" s="9"/>
      <c r="N213" s="9"/>
      <c r="O213" s="9"/>
      <c r="P213" s="9"/>
      <c r="Q213" s="9"/>
      <c r="R213" s="9"/>
      <c r="T213" s="13"/>
      <c r="U213" s="14"/>
      <c r="V213" s="10"/>
      <c r="W213" s="10"/>
      <c r="X213" s="10"/>
      <c r="Y213" s="10"/>
      <c r="Z213" s="11"/>
      <c r="AA213" s="11"/>
      <c r="AB213" s="13"/>
      <c r="AC213" s="13"/>
    </row>
    <row r="214" spans="1:29" ht="13" x14ac:dyDescent="0.3">
      <c r="A214" s="8"/>
      <c r="B214" s="9"/>
      <c r="C214" s="10"/>
      <c r="D214" s="10"/>
      <c r="E214" s="10"/>
      <c r="F214" s="10"/>
      <c r="G214" s="9"/>
      <c r="H214" s="11"/>
      <c r="I214" s="11"/>
      <c r="J214" s="11"/>
      <c r="K214" s="9"/>
      <c r="L214" s="10"/>
      <c r="M214" s="9"/>
      <c r="N214" s="9"/>
      <c r="O214" s="9"/>
      <c r="P214" s="9"/>
      <c r="Q214" s="9"/>
      <c r="R214" s="9"/>
      <c r="T214" s="13"/>
      <c r="U214" s="14"/>
      <c r="V214" s="10"/>
      <c r="W214" s="10"/>
      <c r="X214" s="10"/>
      <c r="Y214" s="10"/>
      <c r="Z214" s="11"/>
      <c r="AA214" s="11"/>
      <c r="AB214" s="13"/>
      <c r="AC214" s="13"/>
    </row>
    <row r="215" spans="1:29" ht="13" x14ac:dyDescent="0.3">
      <c r="A215" s="8"/>
      <c r="B215" s="9"/>
      <c r="C215" s="10"/>
      <c r="D215" s="10"/>
      <c r="E215" s="10"/>
      <c r="F215" s="10"/>
      <c r="G215" s="9"/>
      <c r="H215" s="11"/>
      <c r="I215" s="11"/>
      <c r="J215" s="11"/>
      <c r="K215" s="9"/>
      <c r="L215" s="10"/>
      <c r="M215" s="9"/>
      <c r="N215" s="9"/>
      <c r="O215" s="9"/>
      <c r="P215" s="9"/>
      <c r="Q215" s="9"/>
      <c r="R215" s="9"/>
      <c r="T215" s="13"/>
      <c r="U215" s="14"/>
      <c r="V215" s="10"/>
      <c r="W215" s="10"/>
      <c r="X215" s="10"/>
      <c r="Y215" s="10"/>
      <c r="Z215" s="11"/>
      <c r="AA215" s="11"/>
      <c r="AB215" s="13"/>
      <c r="AC215" s="13"/>
    </row>
    <row r="216" spans="1:29" ht="13" x14ac:dyDescent="0.3">
      <c r="A216" s="8"/>
      <c r="B216" s="9"/>
      <c r="C216" s="10"/>
      <c r="D216" s="10"/>
      <c r="E216" s="10"/>
      <c r="F216" s="10"/>
      <c r="G216" s="9"/>
      <c r="H216" s="11"/>
      <c r="I216" s="11"/>
      <c r="J216" s="11"/>
      <c r="K216" s="9"/>
      <c r="L216" s="10"/>
      <c r="M216" s="9"/>
      <c r="N216" s="9"/>
      <c r="O216" s="9"/>
      <c r="P216" s="9"/>
      <c r="Q216" s="9"/>
      <c r="R216" s="9"/>
      <c r="T216" s="13"/>
      <c r="U216" s="14"/>
      <c r="V216" s="10"/>
      <c r="W216" s="10"/>
      <c r="X216" s="10"/>
      <c r="Y216" s="10"/>
      <c r="Z216" s="11"/>
      <c r="AA216" s="11"/>
      <c r="AB216" s="13"/>
      <c r="AC216" s="13"/>
    </row>
    <row r="217" spans="1:29" ht="13" x14ac:dyDescent="0.3">
      <c r="A217" s="8"/>
      <c r="B217" s="9"/>
      <c r="C217" s="10"/>
      <c r="D217" s="10"/>
      <c r="E217" s="10"/>
      <c r="F217" s="10"/>
      <c r="G217" s="9"/>
      <c r="H217" s="11"/>
      <c r="I217" s="11"/>
      <c r="J217" s="11"/>
      <c r="K217" s="9"/>
      <c r="L217" s="10"/>
      <c r="M217" s="9"/>
      <c r="N217" s="9"/>
      <c r="O217" s="9"/>
      <c r="P217" s="9"/>
      <c r="Q217" s="9"/>
      <c r="R217" s="9"/>
      <c r="T217" s="13"/>
      <c r="U217" s="14"/>
      <c r="V217" s="10"/>
      <c r="W217" s="10"/>
      <c r="X217" s="10"/>
      <c r="Y217" s="10"/>
      <c r="Z217" s="11"/>
      <c r="AA217" s="11"/>
      <c r="AB217" s="13"/>
      <c r="AC217" s="13"/>
    </row>
    <row r="218" spans="1:29" ht="13" x14ac:dyDescent="0.3">
      <c r="A218" s="8"/>
      <c r="B218" s="9"/>
      <c r="C218" s="10"/>
      <c r="D218" s="10"/>
      <c r="E218" s="10"/>
      <c r="F218" s="10"/>
      <c r="G218" s="9"/>
      <c r="H218" s="11"/>
      <c r="I218" s="11"/>
      <c r="J218" s="11"/>
      <c r="K218" s="9"/>
      <c r="L218" s="10"/>
      <c r="M218" s="9"/>
      <c r="N218" s="9"/>
      <c r="O218" s="9"/>
      <c r="P218" s="9"/>
      <c r="Q218" s="9"/>
      <c r="R218" s="9"/>
      <c r="T218" s="13"/>
      <c r="U218" s="14"/>
      <c r="V218" s="10"/>
      <c r="W218" s="10"/>
      <c r="X218" s="10"/>
      <c r="Y218" s="10"/>
      <c r="Z218" s="11"/>
      <c r="AA218" s="11"/>
      <c r="AB218" s="13"/>
      <c r="AC218" s="13"/>
    </row>
    <row r="219" spans="1:29" ht="13" x14ac:dyDescent="0.3">
      <c r="A219" s="8"/>
      <c r="B219" s="9"/>
      <c r="C219" s="10"/>
      <c r="D219" s="10"/>
      <c r="E219" s="10"/>
      <c r="F219" s="10"/>
      <c r="G219" s="9"/>
      <c r="H219" s="11"/>
      <c r="I219" s="11"/>
      <c r="J219" s="11"/>
      <c r="K219" s="9"/>
      <c r="L219" s="10"/>
      <c r="M219" s="9"/>
      <c r="N219" s="9"/>
      <c r="O219" s="9"/>
      <c r="P219" s="9"/>
      <c r="Q219" s="9"/>
      <c r="R219" s="9"/>
      <c r="T219" s="13"/>
      <c r="U219" s="14"/>
      <c r="V219" s="10"/>
      <c r="W219" s="10"/>
      <c r="X219" s="10"/>
      <c r="Y219" s="10"/>
      <c r="Z219" s="11"/>
      <c r="AA219" s="11"/>
      <c r="AB219" s="13"/>
      <c r="AC219" s="13"/>
    </row>
    <row r="220" spans="1:29" ht="13" x14ac:dyDescent="0.3">
      <c r="A220" s="8"/>
      <c r="B220" s="9"/>
      <c r="C220" s="10"/>
      <c r="D220" s="10"/>
      <c r="E220" s="10"/>
      <c r="F220" s="10"/>
      <c r="G220" s="9"/>
      <c r="H220" s="11"/>
      <c r="I220" s="11"/>
      <c r="J220" s="11"/>
      <c r="K220" s="9"/>
      <c r="L220" s="10"/>
      <c r="M220" s="9"/>
      <c r="N220" s="9"/>
      <c r="O220" s="9"/>
      <c r="P220" s="9"/>
      <c r="Q220" s="9"/>
      <c r="R220" s="9"/>
      <c r="T220" s="13"/>
      <c r="U220" s="14"/>
      <c r="V220" s="10"/>
      <c r="W220" s="10"/>
      <c r="X220" s="10"/>
      <c r="Y220" s="10"/>
      <c r="Z220" s="11"/>
      <c r="AA220" s="11"/>
      <c r="AB220" s="13"/>
      <c r="AC220" s="13"/>
    </row>
    <row r="221" spans="1:29" ht="13" x14ac:dyDescent="0.3">
      <c r="A221" s="8"/>
      <c r="B221" s="9"/>
      <c r="C221" s="10"/>
      <c r="D221" s="10"/>
      <c r="E221" s="10"/>
      <c r="F221" s="10"/>
      <c r="G221" s="9"/>
      <c r="H221" s="11"/>
      <c r="I221" s="11"/>
      <c r="J221" s="11"/>
      <c r="K221" s="9"/>
      <c r="L221" s="10"/>
      <c r="M221" s="9"/>
      <c r="N221" s="9"/>
      <c r="O221" s="9"/>
      <c r="P221" s="9"/>
      <c r="Q221" s="9"/>
      <c r="R221" s="9"/>
      <c r="T221" s="13"/>
      <c r="U221" s="14"/>
      <c r="V221" s="10"/>
      <c r="W221" s="10"/>
      <c r="X221" s="10"/>
      <c r="Y221" s="10"/>
      <c r="Z221" s="11"/>
      <c r="AA221" s="11"/>
      <c r="AB221" s="13"/>
      <c r="AC221" s="13"/>
    </row>
    <row r="222" spans="1:29" ht="13" x14ac:dyDescent="0.3">
      <c r="A222" s="8"/>
      <c r="B222" s="9"/>
      <c r="C222" s="10"/>
      <c r="D222" s="10"/>
      <c r="E222" s="10"/>
      <c r="F222" s="10"/>
      <c r="G222" s="9"/>
      <c r="H222" s="11"/>
      <c r="I222" s="11"/>
      <c r="J222" s="11"/>
      <c r="K222" s="9"/>
      <c r="L222" s="10"/>
      <c r="M222" s="9"/>
      <c r="N222" s="9"/>
      <c r="O222" s="9"/>
      <c r="P222" s="9"/>
      <c r="Q222" s="9"/>
      <c r="R222" s="9"/>
      <c r="T222" s="13"/>
      <c r="U222" s="14"/>
      <c r="V222" s="10"/>
      <c r="W222" s="10"/>
      <c r="X222" s="10"/>
      <c r="Y222" s="10"/>
      <c r="Z222" s="11"/>
      <c r="AA222" s="11"/>
      <c r="AB222" s="13"/>
      <c r="AC222" s="13"/>
    </row>
    <row r="223" spans="1:29" ht="13" x14ac:dyDescent="0.3">
      <c r="A223" s="8"/>
      <c r="B223" s="9"/>
      <c r="C223" s="10"/>
      <c r="D223" s="10"/>
      <c r="E223" s="10"/>
      <c r="F223" s="10"/>
      <c r="G223" s="9"/>
      <c r="H223" s="11"/>
      <c r="I223" s="11"/>
      <c r="J223" s="11"/>
      <c r="K223" s="9"/>
      <c r="L223" s="10"/>
      <c r="M223" s="9"/>
      <c r="N223" s="9"/>
      <c r="O223" s="9"/>
      <c r="P223" s="9"/>
      <c r="Q223" s="9"/>
      <c r="R223" s="9"/>
      <c r="T223" s="13"/>
      <c r="U223" s="14"/>
      <c r="V223" s="10"/>
      <c r="W223" s="10"/>
      <c r="X223" s="10"/>
      <c r="Y223" s="10"/>
      <c r="Z223" s="11"/>
      <c r="AA223" s="11"/>
      <c r="AB223" s="13"/>
      <c r="AC223" s="13"/>
    </row>
    <row r="224" spans="1:29" ht="13" x14ac:dyDescent="0.3">
      <c r="A224" s="8"/>
      <c r="B224" s="9"/>
      <c r="C224" s="10"/>
      <c r="D224" s="10"/>
      <c r="E224" s="10"/>
      <c r="F224" s="10"/>
      <c r="G224" s="9"/>
      <c r="H224" s="11"/>
      <c r="I224" s="11"/>
      <c r="J224" s="11"/>
      <c r="K224" s="9"/>
      <c r="L224" s="10"/>
      <c r="M224" s="9"/>
      <c r="N224" s="9"/>
      <c r="O224" s="9"/>
      <c r="P224" s="9"/>
      <c r="Q224" s="9"/>
      <c r="R224" s="9"/>
      <c r="T224" s="13"/>
      <c r="U224" s="14"/>
      <c r="V224" s="10"/>
      <c r="W224" s="10"/>
      <c r="X224" s="10"/>
      <c r="Y224" s="10"/>
      <c r="Z224" s="11"/>
      <c r="AA224" s="11"/>
      <c r="AB224" s="13"/>
      <c r="AC224" s="13"/>
    </row>
    <row r="225" spans="1:29" ht="13" x14ac:dyDescent="0.3">
      <c r="A225" s="8"/>
      <c r="B225" s="9"/>
      <c r="C225" s="10"/>
      <c r="D225" s="10"/>
      <c r="E225" s="10"/>
      <c r="F225" s="10"/>
      <c r="G225" s="9"/>
      <c r="H225" s="11"/>
      <c r="I225" s="11"/>
      <c r="J225" s="11"/>
      <c r="K225" s="9"/>
      <c r="L225" s="10"/>
      <c r="M225" s="9"/>
      <c r="N225" s="9"/>
      <c r="O225" s="9"/>
      <c r="P225" s="9"/>
      <c r="Q225" s="9"/>
      <c r="R225" s="9"/>
      <c r="T225" s="13"/>
      <c r="U225" s="14"/>
      <c r="V225" s="10"/>
      <c r="W225" s="10"/>
      <c r="X225" s="10"/>
      <c r="Y225" s="10"/>
      <c r="Z225" s="11"/>
      <c r="AA225" s="11"/>
      <c r="AB225" s="13"/>
      <c r="AC225" s="13"/>
    </row>
    <row r="226" spans="1:29" ht="13" x14ac:dyDescent="0.3">
      <c r="A226" s="8"/>
      <c r="B226" s="9"/>
      <c r="C226" s="10"/>
      <c r="D226" s="10"/>
      <c r="E226" s="10"/>
      <c r="F226" s="10"/>
      <c r="G226" s="9"/>
      <c r="H226" s="11"/>
      <c r="I226" s="11"/>
      <c r="J226" s="11"/>
      <c r="K226" s="9"/>
      <c r="L226" s="10"/>
      <c r="M226" s="9"/>
      <c r="N226" s="9"/>
      <c r="O226" s="9"/>
      <c r="P226" s="9"/>
      <c r="Q226" s="9"/>
      <c r="R226" s="9"/>
      <c r="T226" s="13"/>
      <c r="U226" s="14"/>
      <c r="V226" s="10"/>
      <c r="W226" s="10"/>
      <c r="X226" s="10"/>
      <c r="Y226" s="10"/>
      <c r="Z226" s="11"/>
      <c r="AA226" s="11"/>
      <c r="AB226" s="13"/>
      <c r="AC226" s="13"/>
    </row>
    <row r="227" spans="1:29" ht="13" x14ac:dyDescent="0.3">
      <c r="A227" s="8"/>
      <c r="B227" s="9"/>
      <c r="C227" s="10"/>
      <c r="D227" s="10"/>
      <c r="E227" s="10"/>
      <c r="F227" s="10"/>
      <c r="G227" s="9"/>
      <c r="H227" s="11"/>
      <c r="I227" s="11"/>
      <c r="J227" s="11"/>
      <c r="K227" s="9"/>
      <c r="L227" s="10"/>
      <c r="M227" s="9"/>
      <c r="N227" s="9"/>
      <c r="O227" s="9"/>
      <c r="P227" s="9"/>
      <c r="Q227" s="9"/>
      <c r="R227" s="9"/>
      <c r="T227" s="13"/>
      <c r="U227" s="14"/>
      <c r="V227" s="10"/>
      <c r="W227" s="10"/>
      <c r="X227" s="10"/>
      <c r="Y227" s="10"/>
      <c r="Z227" s="11"/>
      <c r="AA227" s="11"/>
      <c r="AB227" s="13"/>
      <c r="AC227" s="13"/>
    </row>
    <row r="228" spans="1:29" ht="13" x14ac:dyDescent="0.3">
      <c r="A228" s="8"/>
      <c r="B228" s="9"/>
      <c r="C228" s="10"/>
      <c r="D228" s="10"/>
      <c r="E228" s="10"/>
      <c r="F228" s="10"/>
      <c r="G228" s="9"/>
      <c r="H228" s="11"/>
      <c r="I228" s="11"/>
      <c r="J228" s="11"/>
      <c r="K228" s="9"/>
      <c r="L228" s="10"/>
      <c r="M228" s="9"/>
      <c r="N228" s="9"/>
      <c r="O228" s="9"/>
      <c r="P228" s="9"/>
      <c r="Q228" s="9"/>
      <c r="R228" s="9"/>
      <c r="T228" s="13"/>
      <c r="U228" s="14"/>
      <c r="V228" s="10"/>
      <c r="W228" s="10"/>
      <c r="X228" s="10"/>
      <c r="Y228" s="10"/>
      <c r="Z228" s="11"/>
      <c r="AA228" s="11"/>
      <c r="AB228" s="13"/>
      <c r="AC228" s="13"/>
    </row>
    <row r="229" spans="1:29" ht="13" x14ac:dyDescent="0.3">
      <c r="A229" s="8"/>
      <c r="B229" s="9"/>
      <c r="C229" s="10"/>
      <c r="D229" s="10"/>
      <c r="E229" s="10"/>
      <c r="F229" s="10"/>
      <c r="G229" s="9"/>
      <c r="H229" s="11"/>
      <c r="I229" s="11"/>
      <c r="J229" s="11"/>
      <c r="K229" s="9"/>
      <c r="L229" s="10"/>
      <c r="M229" s="9"/>
      <c r="N229" s="9"/>
      <c r="O229" s="9"/>
      <c r="P229" s="9"/>
      <c r="Q229" s="9"/>
      <c r="R229" s="9"/>
      <c r="T229" s="13"/>
      <c r="U229" s="14"/>
      <c r="V229" s="10"/>
      <c r="W229" s="10"/>
      <c r="X229" s="10"/>
      <c r="Y229" s="10"/>
      <c r="Z229" s="11"/>
      <c r="AA229" s="11"/>
      <c r="AB229" s="13"/>
      <c r="AC229" s="13"/>
    </row>
    <row r="230" spans="1:29" ht="13" x14ac:dyDescent="0.3">
      <c r="A230" s="8"/>
      <c r="B230" s="9"/>
      <c r="C230" s="10"/>
      <c r="D230" s="10"/>
      <c r="E230" s="10"/>
      <c r="F230" s="10"/>
      <c r="G230" s="9"/>
      <c r="H230" s="11"/>
      <c r="I230" s="11"/>
      <c r="J230" s="11"/>
      <c r="K230" s="9"/>
      <c r="L230" s="10"/>
      <c r="M230" s="9"/>
      <c r="N230" s="9"/>
      <c r="O230" s="9"/>
      <c r="P230" s="9"/>
      <c r="Q230" s="9"/>
      <c r="R230" s="9"/>
      <c r="T230" s="13"/>
      <c r="U230" s="14"/>
      <c r="V230" s="10"/>
      <c r="W230" s="10"/>
      <c r="X230" s="10"/>
      <c r="Y230" s="10"/>
      <c r="Z230" s="11"/>
      <c r="AA230" s="11"/>
      <c r="AB230" s="13"/>
      <c r="AC230" s="13"/>
    </row>
    <row r="231" spans="1:29" ht="13" x14ac:dyDescent="0.3">
      <c r="A231" s="8"/>
      <c r="B231" s="9"/>
      <c r="C231" s="10"/>
      <c r="D231" s="10"/>
      <c r="E231" s="10"/>
      <c r="F231" s="10"/>
      <c r="G231" s="9"/>
      <c r="H231" s="11"/>
      <c r="I231" s="11"/>
      <c r="J231" s="11"/>
      <c r="K231" s="9"/>
      <c r="L231" s="10"/>
      <c r="M231" s="9"/>
      <c r="N231" s="9"/>
      <c r="O231" s="9"/>
      <c r="P231" s="9"/>
      <c r="Q231" s="9"/>
      <c r="R231" s="9"/>
      <c r="T231" s="13"/>
      <c r="U231" s="14"/>
      <c r="V231" s="10"/>
      <c r="W231" s="10"/>
      <c r="X231" s="10"/>
      <c r="Y231" s="10"/>
      <c r="Z231" s="11"/>
      <c r="AA231" s="11"/>
      <c r="AB231" s="13"/>
      <c r="AC231" s="13"/>
    </row>
    <row r="232" spans="1:29" ht="13" x14ac:dyDescent="0.3">
      <c r="A232" s="8"/>
      <c r="B232" s="9"/>
      <c r="C232" s="10"/>
      <c r="D232" s="10"/>
      <c r="E232" s="10"/>
      <c r="F232" s="10"/>
      <c r="G232" s="9"/>
      <c r="H232" s="11"/>
      <c r="I232" s="11"/>
      <c r="J232" s="11"/>
      <c r="K232" s="9"/>
      <c r="L232" s="10"/>
      <c r="M232" s="9"/>
      <c r="N232" s="9"/>
      <c r="O232" s="9"/>
      <c r="P232" s="9"/>
      <c r="Q232" s="9"/>
      <c r="R232" s="9"/>
      <c r="T232" s="13"/>
      <c r="U232" s="14"/>
      <c r="V232" s="10"/>
      <c r="W232" s="10"/>
      <c r="X232" s="10"/>
      <c r="Y232" s="10"/>
      <c r="Z232" s="11"/>
      <c r="AA232" s="11"/>
      <c r="AB232" s="13"/>
      <c r="AC232" s="13"/>
    </row>
    <row r="233" spans="1:29" ht="13" x14ac:dyDescent="0.3">
      <c r="A233" s="8"/>
      <c r="B233" s="9"/>
      <c r="C233" s="10"/>
      <c r="D233" s="10"/>
      <c r="E233" s="10"/>
      <c r="F233" s="10"/>
      <c r="G233" s="9"/>
      <c r="H233" s="11"/>
      <c r="I233" s="11"/>
      <c r="J233" s="11"/>
      <c r="K233" s="9"/>
      <c r="L233" s="10"/>
      <c r="M233" s="9"/>
      <c r="N233" s="9"/>
      <c r="O233" s="9"/>
      <c r="P233" s="9"/>
      <c r="Q233" s="9"/>
      <c r="R233" s="9"/>
      <c r="T233" s="13"/>
      <c r="U233" s="14"/>
      <c r="V233" s="10"/>
      <c r="W233" s="10"/>
      <c r="X233" s="10"/>
      <c r="Y233" s="10"/>
      <c r="Z233" s="11"/>
      <c r="AA233" s="11"/>
      <c r="AB233" s="13"/>
      <c r="AC233" s="13"/>
    </row>
    <row r="234" spans="1:29" ht="13" x14ac:dyDescent="0.3">
      <c r="A234" s="8"/>
      <c r="B234" s="9"/>
      <c r="C234" s="10"/>
      <c r="D234" s="10"/>
      <c r="E234" s="10"/>
      <c r="F234" s="10"/>
      <c r="G234" s="9"/>
      <c r="H234" s="11"/>
      <c r="I234" s="11"/>
      <c r="J234" s="11"/>
      <c r="K234" s="9"/>
      <c r="L234" s="10"/>
      <c r="M234" s="9"/>
      <c r="N234" s="9"/>
      <c r="O234" s="9"/>
      <c r="P234" s="9"/>
      <c r="Q234" s="9"/>
      <c r="R234" s="9"/>
      <c r="T234" s="13"/>
      <c r="U234" s="14"/>
      <c r="V234" s="10"/>
      <c r="W234" s="10"/>
      <c r="X234" s="10"/>
      <c r="Y234" s="10"/>
      <c r="Z234" s="11"/>
      <c r="AA234" s="11"/>
      <c r="AB234" s="13"/>
      <c r="AC234" s="13"/>
    </row>
    <row r="235" spans="1:29" ht="13" x14ac:dyDescent="0.3">
      <c r="A235" s="8"/>
      <c r="B235" s="9"/>
      <c r="C235" s="10"/>
      <c r="D235" s="10"/>
      <c r="E235" s="10"/>
      <c r="F235" s="10"/>
      <c r="G235" s="9"/>
      <c r="H235" s="11"/>
      <c r="I235" s="11"/>
      <c r="J235" s="11"/>
      <c r="K235" s="9"/>
      <c r="L235" s="10"/>
      <c r="M235" s="9"/>
      <c r="N235" s="9"/>
      <c r="O235" s="9"/>
      <c r="P235" s="9"/>
      <c r="Q235" s="9"/>
      <c r="R235" s="9"/>
      <c r="T235" s="13"/>
      <c r="U235" s="14"/>
      <c r="V235" s="10"/>
      <c r="W235" s="10"/>
      <c r="X235" s="10"/>
      <c r="Y235" s="10"/>
      <c r="Z235" s="11"/>
      <c r="AA235" s="11"/>
      <c r="AB235" s="13"/>
      <c r="AC235" s="13"/>
    </row>
    <row r="236" spans="1:29" ht="13" x14ac:dyDescent="0.3">
      <c r="A236" s="8"/>
      <c r="B236" s="9"/>
      <c r="C236" s="10"/>
      <c r="D236" s="10"/>
      <c r="E236" s="10"/>
      <c r="F236" s="10"/>
      <c r="G236" s="9"/>
      <c r="H236" s="11"/>
      <c r="I236" s="11"/>
      <c r="J236" s="11"/>
      <c r="K236" s="9"/>
      <c r="L236" s="10"/>
      <c r="M236" s="9"/>
      <c r="N236" s="9"/>
      <c r="O236" s="9"/>
      <c r="P236" s="9"/>
      <c r="Q236" s="9"/>
      <c r="R236" s="9"/>
      <c r="T236" s="13"/>
      <c r="U236" s="14"/>
      <c r="V236" s="10"/>
      <c r="W236" s="10"/>
      <c r="X236" s="10"/>
      <c r="Y236" s="10"/>
      <c r="Z236" s="11"/>
      <c r="AA236" s="11"/>
      <c r="AB236" s="13"/>
      <c r="AC236" s="13"/>
    </row>
    <row r="237" spans="1:29" ht="13" x14ac:dyDescent="0.3">
      <c r="A237" s="8"/>
      <c r="B237" s="9"/>
      <c r="C237" s="10"/>
      <c r="D237" s="10"/>
      <c r="E237" s="10"/>
      <c r="F237" s="10"/>
      <c r="G237" s="9"/>
      <c r="H237" s="11"/>
      <c r="I237" s="11"/>
      <c r="J237" s="11"/>
      <c r="K237" s="9"/>
      <c r="L237" s="10"/>
      <c r="M237" s="9"/>
      <c r="N237" s="9"/>
      <c r="O237" s="9"/>
      <c r="P237" s="9"/>
      <c r="Q237" s="9"/>
      <c r="R237" s="9"/>
      <c r="T237" s="13"/>
      <c r="U237" s="14"/>
      <c r="V237" s="10"/>
      <c r="W237" s="10"/>
      <c r="X237" s="10"/>
      <c r="Y237" s="10"/>
      <c r="Z237" s="11"/>
      <c r="AA237" s="11"/>
      <c r="AB237" s="13"/>
      <c r="AC237" s="13"/>
    </row>
    <row r="238" spans="1:29" ht="13" x14ac:dyDescent="0.3">
      <c r="A238" s="8"/>
      <c r="B238" s="9"/>
      <c r="C238" s="10"/>
      <c r="D238" s="10"/>
      <c r="E238" s="10"/>
      <c r="F238" s="10"/>
      <c r="G238" s="9"/>
      <c r="H238" s="11"/>
      <c r="I238" s="11"/>
      <c r="J238" s="11"/>
      <c r="K238" s="9"/>
      <c r="L238" s="10"/>
      <c r="M238" s="9"/>
      <c r="N238" s="9"/>
      <c r="O238" s="9"/>
      <c r="P238" s="9"/>
      <c r="Q238" s="9"/>
      <c r="R238" s="9"/>
      <c r="T238" s="13"/>
      <c r="U238" s="14"/>
      <c r="V238" s="10"/>
      <c r="W238" s="10"/>
      <c r="X238" s="10"/>
      <c r="Y238" s="10"/>
      <c r="Z238" s="11"/>
      <c r="AA238" s="11"/>
      <c r="AB238" s="13"/>
      <c r="AC238" s="13"/>
    </row>
    <row r="239" spans="1:29" ht="13" x14ac:dyDescent="0.3">
      <c r="A239" s="8"/>
      <c r="B239" s="9"/>
      <c r="C239" s="10"/>
      <c r="D239" s="10"/>
      <c r="E239" s="10"/>
      <c r="F239" s="10"/>
      <c r="G239" s="9"/>
      <c r="H239" s="11"/>
      <c r="I239" s="11"/>
      <c r="J239" s="11"/>
      <c r="K239" s="9"/>
      <c r="L239" s="10"/>
      <c r="M239" s="9"/>
      <c r="N239" s="9"/>
      <c r="O239" s="9"/>
      <c r="P239" s="9"/>
      <c r="Q239" s="9"/>
      <c r="R239" s="9"/>
      <c r="T239" s="13"/>
      <c r="U239" s="14"/>
      <c r="V239" s="10"/>
      <c r="W239" s="10"/>
      <c r="X239" s="10"/>
      <c r="Y239" s="10"/>
      <c r="Z239" s="11"/>
      <c r="AA239" s="11"/>
      <c r="AB239" s="13"/>
      <c r="AC239" s="13"/>
    </row>
    <row r="240" spans="1:29" ht="13" x14ac:dyDescent="0.3">
      <c r="A240" s="8"/>
      <c r="B240" s="9"/>
      <c r="C240" s="10"/>
      <c r="D240" s="10"/>
      <c r="E240" s="10"/>
      <c r="F240" s="10"/>
      <c r="G240" s="9"/>
      <c r="H240" s="11"/>
      <c r="I240" s="11"/>
      <c r="J240" s="11"/>
      <c r="K240" s="9"/>
      <c r="L240" s="10"/>
      <c r="M240" s="9"/>
      <c r="N240" s="9"/>
      <c r="O240" s="9"/>
      <c r="P240" s="9"/>
      <c r="Q240" s="9"/>
      <c r="R240" s="9"/>
      <c r="T240" s="13"/>
      <c r="U240" s="14"/>
      <c r="V240" s="10"/>
      <c r="W240" s="10"/>
      <c r="X240" s="10"/>
      <c r="Y240" s="10"/>
      <c r="Z240" s="11"/>
      <c r="AA240" s="11"/>
      <c r="AB240" s="13"/>
      <c r="AC240" s="13"/>
    </row>
    <row r="241" spans="1:29" ht="13" x14ac:dyDescent="0.3">
      <c r="A241" s="8"/>
      <c r="B241" s="9"/>
      <c r="C241" s="10"/>
      <c r="D241" s="10"/>
      <c r="E241" s="10"/>
      <c r="F241" s="10"/>
      <c r="G241" s="9"/>
      <c r="H241" s="11"/>
      <c r="I241" s="11"/>
      <c r="J241" s="11"/>
      <c r="K241" s="9"/>
      <c r="L241" s="10"/>
      <c r="M241" s="9"/>
      <c r="N241" s="9"/>
      <c r="O241" s="9"/>
      <c r="P241" s="9"/>
      <c r="Q241" s="9"/>
      <c r="R241" s="9"/>
      <c r="T241" s="13"/>
      <c r="U241" s="14"/>
      <c r="V241" s="10"/>
      <c r="W241" s="10"/>
      <c r="X241" s="10"/>
      <c r="Y241" s="10"/>
      <c r="Z241" s="11"/>
      <c r="AA241" s="11"/>
      <c r="AB241" s="13"/>
      <c r="AC241" s="13"/>
    </row>
    <row r="242" spans="1:29" ht="13" x14ac:dyDescent="0.3">
      <c r="A242" s="8"/>
      <c r="B242" s="9"/>
      <c r="C242" s="10"/>
      <c r="D242" s="10"/>
      <c r="E242" s="10"/>
      <c r="F242" s="10"/>
      <c r="G242" s="9"/>
      <c r="H242" s="11"/>
      <c r="I242" s="11"/>
      <c r="J242" s="11"/>
      <c r="K242" s="9"/>
      <c r="L242" s="10"/>
      <c r="M242" s="9"/>
      <c r="N242" s="9"/>
      <c r="O242" s="9"/>
      <c r="P242" s="9"/>
      <c r="Q242" s="9"/>
      <c r="R242" s="9"/>
      <c r="T242" s="13"/>
      <c r="U242" s="14"/>
      <c r="V242" s="10"/>
      <c r="W242" s="10"/>
      <c r="X242" s="10"/>
      <c r="Y242" s="10"/>
      <c r="Z242" s="11"/>
      <c r="AA242" s="11"/>
      <c r="AB242" s="13"/>
      <c r="AC242" s="13"/>
    </row>
    <row r="243" spans="1:29" ht="13" x14ac:dyDescent="0.3">
      <c r="A243" s="8"/>
      <c r="B243" s="9"/>
      <c r="C243" s="10"/>
      <c r="D243" s="10"/>
      <c r="E243" s="10"/>
      <c r="F243" s="10"/>
      <c r="G243" s="9"/>
      <c r="H243" s="11"/>
      <c r="I243" s="11"/>
      <c r="J243" s="11"/>
      <c r="K243" s="9"/>
      <c r="L243" s="10"/>
      <c r="M243" s="9"/>
      <c r="N243" s="9"/>
      <c r="O243" s="9"/>
      <c r="P243" s="9"/>
      <c r="Q243" s="9"/>
      <c r="R243" s="9"/>
      <c r="T243" s="13"/>
      <c r="U243" s="14"/>
      <c r="V243" s="10"/>
      <c r="W243" s="10"/>
      <c r="X243" s="10"/>
      <c r="Y243" s="10"/>
      <c r="Z243" s="11"/>
      <c r="AA243" s="11"/>
      <c r="AB243" s="13"/>
      <c r="AC243" s="13"/>
    </row>
    <row r="244" spans="1:29" ht="13" x14ac:dyDescent="0.3">
      <c r="A244" s="8"/>
      <c r="B244" s="9"/>
      <c r="C244" s="10"/>
      <c r="D244" s="10"/>
      <c r="E244" s="10"/>
      <c r="F244" s="10"/>
      <c r="G244" s="9"/>
      <c r="H244" s="11"/>
      <c r="I244" s="11"/>
      <c r="J244" s="11"/>
      <c r="K244" s="9"/>
      <c r="L244" s="10"/>
      <c r="M244" s="9"/>
      <c r="N244" s="9"/>
      <c r="O244" s="9"/>
      <c r="P244" s="9"/>
      <c r="Q244" s="9"/>
      <c r="R244" s="9"/>
      <c r="T244" s="13"/>
      <c r="U244" s="14"/>
      <c r="V244" s="10"/>
      <c r="W244" s="10"/>
      <c r="X244" s="10"/>
      <c r="Y244" s="10"/>
      <c r="Z244" s="11"/>
      <c r="AA244" s="11"/>
      <c r="AB244" s="13"/>
      <c r="AC244" s="13"/>
    </row>
    <row r="245" spans="1:29" ht="13" x14ac:dyDescent="0.3">
      <c r="A245" s="8"/>
      <c r="B245" s="9"/>
      <c r="C245" s="10"/>
      <c r="D245" s="10"/>
      <c r="E245" s="10"/>
      <c r="F245" s="10"/>
      <c r="G245" s="9"/>
      <c r="H245" s="11"/>
      <c r="I245" s="11"/>
      <c r="J245" s="11"/>
      <c r="K245" s="9"/>
      <c r="L245" s="10"/>
      <c r="M245" s="9"/>
      <c r="N245" s="9"/>
      <c r="O245" s="9"/>
      <c r="P245" s="9"/>
      <c r="Q245" s="9"/>
      <c r="R245" s="9"/>
      <c r="T245" s="13"/>
      <c r="U245" s="14"/>
      <c r="V245" s="10"/>
      <c r="W245" s="10"/>
      <c r="X245" s="10"/>
      <c r="Y245" s="10"/>
      <c r="Z245" s="11"/>
      <c r="AA245" s="11"/>
      <c r="AB245" s="13"/>
      <c r="AC245" s="13"/>
    </row>
    <row r="246" spans="1:29" ht="13" x14ac:dyDescent="0.3">
      <c r="A246" s="8"/>
      <c r="B246" s="9"/>
      <c r="C246" s="10"/>
      <c r="D246" s="10"/>
      <c r="E246" s="10"/>
      <c r="F246" s="10"/>
      <c r="G246" s="9"/>
      <c r="H246" s="11"/>
      <c r="I246" s="11"/>
      <c r="J246" s="11"/>
      <c r="K246" s="9"/>
      <c r="L246" s="10"/>
      <c r="M246" s="9"/>
      <c r="N246" s="9"/>
      <c r="O246" s="9"/>
      <c r="P246" s="9"/>
      <c r="Q246" s="9"/>
      <c r="R246" s="9"/>
      <c r="T246" s="13"/>
      <c r="U246" s="14"/>
      <c r="V246" s="10"/>
      <c r="W246" s="10"/>
      <c r="X246" s="10"/>
      <c r="Y246" s="10"/>
      <c r="Z246" s="11"/>
      <c r="AA246" s="11"/>
      <c r="AB246" s="13"/>
      <c r="AC246" s="13"/>
    </row>
    <row r="247" spans="1:29" ht="13" x14ac:dyDescent="0.3">
      <c r="A247" s="8"/>
      <c r="B247" s="9"/>
      <c r="C247" s="10"/>
      <c r="D247" s="10"/>
      <c r="E247" s="10"/>
      <c r="F247" s="10"/>
      <c r="G247" s="9"/>
      <c r="H247" s="11"/>
      <c r="I247" s="11"/>
      <c r="J247" s="11"/>
      <c r="K247" s="9"/>
      <c r="L247" s="10"/>
      <c r="M247" s="9"/>
      <c r="N247" s="9"/>
      <c r="O247" s="9"/>
      <c r="P247" s="9"/>
      <c r="Q247" s="9"/>
      <c r="R247" s="9"/>
      <c r="T247" s="13"/>
      <c r="U247" s="14"/>
      <c r="V247" s="10"/>
      <c r="W247" s="10"/>
      <c r="X247" s="10"/>
      <c r="Y247" s="10"/>
      <c r="Z247" s="11"/>
      <c r="AA247" s="11"/>
      <c r="AB247" s="13"/>
      <c r="AC247" s="13"/>
    </row>
    <row r="248" spans="1:29" ht="13" x14ac:dyDescent="0.3">
      <c r="A248" s="8"/>
      <c r="B248" s="9"/>
      <c r="C248" s="10"/>
      <c r="D248" s="10"/>
      <c r="E248" s="10"/>
      <c r="F248" s="10"/>
      <c r="G248" s="9"/>
      <c r="H248" s="11"/>
      <c r="I248" s="11"/>
      <c r="J248" s="11"/>
      <c r="K248" s="9"/>
      <c r="L248" s="10"/>
      <c r="M248" s="9"/>
      <c r="N248" s="9"/>
      <c r="O248" s="9"/>
      <c r="P248" s="9"/>
      <c r="Q248" s="9"/>
      <c r="R248" s="9"/>
      <c r="T248" s="13"/>
      <c r="U248" s="14"/>
      <c r="V248" s="10"/>
      <c r="W248" s="10"/>
      <c r="X248" s="10"/>
      <c r="Y248" s="10"/>
      <c r="Z248" s="11"/>
      <c r="AA248" s="11"/>
      <c r="AB248" s="13"/>
      <c r="AC248" s="13"/>
    </row>
    <row r="249" spans="1:29" ht="13" x14ac:dyDescent="0.3">
      <c r="A249" s="8"/>
      <c r="B249" s="9"/>
      <c r="C249" s="10"/>
      <c r="D249" s="10"/>
      <c r="E249" s="10"/>
      <c r="F249" s="10"/>
      <c r="G249" s="9"/>
      <c r="H249" s="11"/>
      <c r="I249" s="11"/>
      <c r="J249" s="11"/>
      <c r="K249" s="9"/>
      <c r="L249" s="10"/>
      <c r="M249" s="9"/>
      <c r="N249" s="9"/>
      <c r="O249" s="9"/>
      <c r="P249" s="9"/>
      <c r="Q249" s="9"/>
      <c r="R249" s="9"/>
      <c r="T249" s="13"/>
      <c r="U249" s="14"/>
      <c r="V249" s="10"/>
      <c r="W249" s="10"/>
      <c r="X249" s="10"/>
      <c r="Y249" s="10"/>
      <c r="Z249" s="11"/>
      <c r="AA249" s="11"/>
      <c r="AB249" s="13"/>
      <c r="AC249" s="13"/>
    </row>
    <row r="250" spans="1:29" ht="13" x14ac:dyDescent="0.3">
      <c r="A250" s="8"/>
      <c r="B250" s="9"/>
      <c r="C250" s="10"/>
      <c r="D250" s="10"/>
      <c r="E250" s="10"/>
      <c r="F250" s="10"/>
      <c r="G250" s="9"/>
      <c r="H250" s="11"/>
      <c r="I250" s="11"/>
      <c r="J250" s="11"/>
      <c r="K250" s="9"/>
      <c r="L250" s="10"/>
      <c r="M250" s="9"/>
      <c r="N250" s="9"/>
      <c r="O250" s="9"/>
      <c r="P250" s="9"/>
      <c r="Q250" s="9"/>
      <c r="R250" s="9"/>
      <c r="T250" s="13"/>
      <c r="U250" s="14"/>
      <c r="V250" s="10"/>
      <c r="W250" s="10"/>
      <c r="X250" s="10"/>
      <c r="Y250" s="10"/>
      <c r="Z250" s="11"/>
      <c r="AA250" s="11"/>
      <c r="AB250" s="13"/>
      <c r="AC250" s="13"/>
    </row>
    <row r="251" spans="1:29" ht="13" x14ac:dyDescent="0.3">
      <c r="A251" s="8"/>
      <c r="B251" s="9"/>
      <c r="C251" s="10"/>
      <c r="D251" s="10"/>
      <c r="E251" s="10"/>
      <c r="F251" s="10"/>
      <c r="G251" s="9"/>
      <c r="H251" s="11"/>
      <c r="I251" s="11"/>
      <c r="J251" s="11"/>
      <c r="K251" s="9"/>
      <c r="L251" s="10"/>
      <c r="M251" s="9"/>
      <c r="N251" s="9"/>
      <c r="O251" s="9"/>
      <c r="P251" s="9"/>
      <c r="Q251" s="9"/>
      <c r="R251" s="9"/>
      <c r="T251" s="13"/>
      <c r="U251" s="14"/>
      <c r="V251" s="10"/>
      <c r="W251" s="10"/>
      <c r="X251" s="10"/>
      <c r="Y251" s="10"/>
      <c r="Z251" s="11"/>
      <c r="AA251" s="11"/>
      <c r="AB251" s="13"/>
      <c r="AC251" s="13"/>
    </row>
    <row r="252" spans="1:29" ht="13" x14ac:dyDescent="0.3">
      <c r="A252" s="8"/>
      <c r="B252" s="9"/>
      <c r="C252" s="10"/>
      <c r="D252" s="10"/>
      <c r="E252" s="10"/>
      <c r="F252" s="10"/>
      <c r="G252" s="9"/>
      <c r="H252" s="11"/>
      <c r="I252" s="11"/>
      <c r="J252" s="11"/>
      <c r="K252" s="9"/>
      <c r="L252" s="10"/>
      <c r="M252" s="9"/>
      <c r="N252" s="9"/>
      <c r="O252" s="9"/>
      <c r="P252" s="9"/>
      <c r="Q252" s="9"/>
      <c r="R252" s="9"/>
      <c r="T252" s="13"/>
      <c r="U252" s="14"/>
      <c r="V252" s="10"/>
      <c r="W252" s="10"/>
      <c r="X252" s="10"/>
      <c r="Y252" s="10"/>
      <c r="Z252" s="11"/>
      <c r="AA252" s="11"/>
      <c r="AB252" s="13"/>
      <c r="AC252" s="13"/>
    </row>
    <row r="253" spans="1:29" ht="13" x14ac:dyDescent="0.3">
      <c r="A253" s="8"/>
      <c r="B253" s="9"/>
      <c r="C253" s="10"/>
      <c r="D253" s="10"/>
      <c r="E253" s="10"/>
      <c r="F253" s="10"/>
      <c r="G253" s="9"/>
      <c r="H253" s="11"/>
      <c r="I253" s="11"/>
      <c r="J253" s="11"/>
      <c r="K253" s="9"/>
      <c r="L253" s="10"/>
      <c r="M253" s="9"/>
      <c r="N253" s="9"/>
      <c r="O253" s="9"/>
      <c r="P253" s="9"/>
      <c r="Q253" s="9"/>
      <c r="R253" s="9"/>
      <c r="T253" s="13"/>
      <c r="U253" s="14"/>
      <c r="V253" s="10"/>
      <c r="W253" s="10"/>
      <c r="X253" s="10"/>
      <c r="Y253" s="10"/>
      <c r="Z253" s="11"/>
      <c r="AA253" s="11"/>
      <c r="AB253" s="13"/>
      <c r="AC253" s="13"/>
    </row>
    <row r="254" spans="1:29" ht="13" x14ac:dyDescent="0.3">
      <c r="A254" s="8"/>
      <c r="B254" s="9"/>
      <c r="C254" s="10"/>
      <c r="D254" s="10"/>
      <c r="E254" s="10"/>
      <c r="F254" s="10"/>
      <c r="G254" s="9"/>
      <c r="H254" s="11"/>
      <c r="I254" s="11"/>
      <c r="J254" s="11"/>
      <c r="K254" s="9"/>
      <c r="L254" s="10"/>
      <c r="M254" s="9"/>
      <c r="N254" s="9"/>
      <c r="O254" s="9"/>
      <c r="P254" s="9"/>
      <c r="Q254" s="9"/>
      <c r="R254" s="9"/>
      <c r="T254" s="13"/>
      <c r="U254" s="14"/>
      <c r="V254" s="10"/>
      <c r="W254" s="10"/>
      <c r="X254" s="10"/>
      <c r="Y254" s="10"/>
      <c r="Z254" s="11"/>
      <c r="AA254" s="11"/>
      <c r="AB254" s="13"/>
      <c r="AC254" s="13"/>
    </row>
    <row r="255" spans="1:29" ht="13" x14ac:dyDescent="0.3">
      <c r="A255" s="8"/>
      <c r="B255" s="9"/>
      <c r="C255" s="10"/>
      <c r="D255" s="10"/>
      <c r="E255" s="10"/>
      <c r="F255" s="10"/>
      <c r="G255" s="9"/>
      <c r="H255" s="11"/>
      <c r="I255" s="11"/>
      <c r="J255" s="11"/>
      <c r="K255" s="9"/>
      <c r="L255" s="10"/>
      <c r="M255" s="9"/>
      <c r="N255" s="9"/>
      <c r="O255" s="9"/>
      <c r="P255" s="9"/>
      <c r="Q255" s="9"/>
      <c r="R255" s="9"/>
      <c r="T255" s="13"/>
      <c r="U255" s="14"/>
      <c r="V255" s="10"/>
      <c r="W255" s="10"/>
      <c r="X255" s="10"/>
      <c r="Y255" s="10"/>
      <c r="Z255" s="11"/>
      <c r="AA255" s="11"/>
      <c r="AB255" s="13"/>
      <c r="AC255" s="13"/>
    </row>
    <row r="256" spans="1:29" ht="13" x14ac:dyDescent="0.3">
      <c r="A256" s="8"/>
      <c r="B256" s="9"/>
      <c r="C256" s="10"/>
      <c r="D256" s="10"/>
      <c r="E256" s="10"/>
      <c r="F256" s="10"/>
      <c r="G256" s="9"/>
      <c r="H256" s="11"/>
      <c r="I256" s="11"/>
      <c r="J256" s="11"/>
      <c r="K256" s="9"/>
      <c r="L256" s="10"/>
      <c r="M256" s="9"/>
      <c r="N256" s="9"/>
      <c r="O256" s="9"/>
      <c r="P256" s="9"/>
      <c r="Q256" s="9"/>
      <c r="R256" s="9"/>
      <c r="T256" s="13"/>
      <c r="U256" s="14"/>
      <c r="V256" s="10"/>
      <c r="W256" s="10"/>
      <c r="X256" s="10"/>
      <c r="Y256" s="10"/>
      <c r="Z256" s="11"/>
      <c r="AA256" s="11"/>
      <c r="AB256" s="13"/>
      <c r="AC256" s="13"/>
    </row>
    <row r="257" spans="1:29" ht="13" x14ac:dyDescent="0.3">
      <c r="A257" s="8"/>
      <c r="B257" s="9"/>
      <c r="C257" s="10"/>
      <c r="D257" s="10"/>
      <c r="E257" s="10"/>
      <c r="F257" s="10"/>
      <c r="G257" s="9"/>
      <c r="H257" s="11"/>
      <c r="I257" s="11"/>
      <c r="J257" s="11"/>
      <c r="K257" s="9"/>
      <c r="L257" s="10"/>
      <c r="M257" s="9"/>
      <c r="N257" s="9"/>
      <c r="O257" s="9"/>
      <c r="P257" s="9"/>
      <c r="Q257" s="9"/>
      <c r="R257" s="9"/>
      <c r="T257" s="13"/>
      <c r="U257" s="14"/>
      <c r="V257" s="10"/>
      <c r="W257" s="10"/>
      <c r="X257" s="10"/>
      <c r="Y257" s="10"/>
      <c r="Z257" s="11"/>
      <c r="AA257" s="11"/>
      <c r="AB257" s="13"/>
      <c r="AC257" s="13"/>
    </row>
    <row r="258" spans="1:29" ht="13" x14ac:dyDescent="0.3">
      <c r="A258" s="8"/>
      <c r="B258" s="9"/>
      <c r="C258" s="10"/>
      <c r="D258" s="10"/>
      <c r="E258" s="10"/>
      <c r="F258" s="10"/>
      <c r="G258" s="9"/>
      <c r="H258" s="11"/>
      <c r="I258" s="11"/>
      <c r="J258" s="11"/>
      <c r="K258" s="9"/>
      <c r="L258" s="10"/>
      <c r="M258" s="9"/>
      <c r="N258" s="9"/>
      <c r="O258" s="9"/>
      <c r="P258" s="9"/>
      <c r="Q258" s="9"/>
      <c r="R258" s="9"/>
      <c r="T258" s="13"/>
      <c r="U258" s="14"/>
      <c r="V258" s="10"/>
      <c r="W258" s="10"/>
      <c r="X258" s="10"/>
      <c r="Y258" s="10"/>
      <c r="Z258" s="11"/>
      <c r="AA258" s="11"/>
      <c r="AB258" s="13"/>
      <c r="AC258" s="13"/>
    </row>
    <row r="259" spans="1:29" ht="13" x14ac:dyDescent="0.3">
      <c r="A259" s="8"/>
      <c r="B259" s="9"/>
      <c r="C259" s="10"/>
      <c r="D259" s="10"/>
      <c r="E259" s="10"/>
      <c r="F259" s="10"/>
      <c r="G259" s="9"/>
      <c r="H259" s="11"/>
      <c r="I259" s="11"/>
      <c r="J259" s="11"/>
      <c r="K259" s="9"/>
      <c r="L259" s="10"/>
      <c r="M259" s="9"/>
      <c r="N259" s="9"/>
      <c r="O259" s="9"/>
      <c r="P259" s="9"/>
      <c r="Q259" s="9"/>
      <c r="R259" s="9"/>
      <c r="T259" s="13"/>
      <c r="U259" s="14"/>
      <c r="V259" s="10"/>
      <c r="W259" s="10"/>
      <c r="X259" s="10"/>
      <c r="Y259" s="10"/>
      <c r="Z259" s="11"/>
      <c r="AA259" s="11"/>
      <c r="AB259" s="13"/>
      <c r="AC259" s="13"/>
    </row>
    <row r="260" spans="1:29" ht="13" x14ac:dyDescent="0.3">
      <c r="A260" s="8"/>
      <c r="B260" s="9"/>
      <c r="C260" s="10"/>
      <c r="D260" s="10"/>
      <c r="E260" s="10"/>
      <c r="F260" s="10"/>
      <c r="G260" s="9"/>
      <c r="H260" s="11"/>
      <c r="I260" s="11"/>
      <c r="J260" s="11"/>
      <c r="K260" s="9"/>
      <c r="L260" s="10"/>
      <c r="M260" s="9"/>
      <c r="N260" s="9"/>
      <c r="O260" s="9"/>
      <c r="P260" s="9"/>
      <c r="Q260" s="9"/>
      <c r="R260" s="9"/>
      <c r="T260" s="13"/>
      <c r="U260" s="14"/>
      <c r="V260" s="10"/>
      <c r="W260" s="10"/>
      <c r="X260" s="10"/>
      <c r="Y260" s="10"/>
      <c r="Z260" s="11"/>
      <c r="AA260" s="11"/>
      <c r="AB260" s="13"/>
      <c r="AC260" s="13"/>
    </row>
    <row r="261" spans="1:29" ht="13" x14ac:dyDescent="0.3">
      <c r="A261" s="8"/>
      <c r="B261" s="9"/>
      <c r="C261" s="10"/>
      <c r="D261" s="10"/>
      <c r="E261" s="10"/>
      <c r="F261" s="10"/>
      <c r="G261" s="9"/>
      <c r="H261" s="11"/>
      <c r="I261" s="11"/>
      <c r="J261" s="11"/>
      <c r="K261" s="9"/>
      <c r="L261" s="10"/>
      <c r="M261" s="9"/>
      <c r="N261" s="9"/>
      <c r="O261" s="9"/>
      <c r="P261" s="9"/>
      <c r="Q261" s="9"/>
      <c r="R261" s="9"/>
      <c r="T261" s="13"/>
      <c r="U261" s="14"/>
      <c r="V261" s="10"/>
      <c r="W261" s="10"/>
      <c r="X261" s="10"/>
      <c r="Y261" s="10"/>
      <c r="Z261" s="11"/>
      <c r="AA261" s="11"/>
      <c r="AB261" s="13"/>
      <c r="AC261" s="13"/>
    </row>
    <row r="262" spans="1:29" ht="13" x14ac:dyDescent="0.3">
      <c r="A262" s="8"/>
      <c r="B262" s="9"/>
      <c r="C262" s="10"/>
      <c r="D262" s="10"/>
      <c r="E262" s="10"/>
      <c r="F262" s="10"/>
      <c r="G262" s="9"/>
      <c r="H262" s="11"/>
      <c r="I262" s="11"/>
      <c r="J262" s="11"/>
      <c r="K262" s="9"/>
      <c r="L262" s="10"/>
      <c r="M262" s="9"/>
      <c r="N262" s="9"/>
      <c r="O262" s="9"/>
      <c r="P262" s="9"/>
      <c r="Q262" s="9"/>
      <c r="R262" s="9"/>
      <c r="T262" s="13"/>
      <c r="U262" s="14"/>
      <c r="V262" s="10"/>
      <c r="W262" s="10"/>
      <c r="X262" s="10"/>
      <c r="Y262" s="10"/>
      <c r="Z262" s="11"/>
      <c r="AA262" s="11"/>
      <c r="AB262" s="13"/>
      <c r="AC262" s="13"/>
    </row>
    <row r="263" spans="1:29" ht="13" x14ac:dyDescent="0.3">
      <c r="A263" s="8"/>
      <c r="B263" s="9"/>
      <c r="C263" s="10"/>
      <c r="D263" s="10"/>
      <c r="E263" s="10"/>
      <c r="F263" s="10"/>
      <c r="G263" s="9"/>
      <c r="H263" s="11"/>
      <c r="I263" s="11"/>
      <c r="J263" s="11"/>
      <c r="K263" s="9"/>
      <c r="L263" s="10"/>
      <c r="M263" s="9"/>
      <c r="N263" s="9"/>
      <c r="O263" s="9"/>
      <c r="P263" s="9"/>
      <c r="Q263" s="9"/>
      <c r="R263" s="9"/>
      <c r="T263" s="13"/>
      <c r="U263" s="14"/>
      <c r="V263" s="10"/>
      <c r="W263" s="10"/>
      <c r="X263" s="10"/>
      <c r="Y263" s="10"/>
      <c r="Z263" s="11"/>
      <c r="AA263" s="11"/>
      <c r="AB263" s="13"/>
      <c r="AC263" s="13"/>
    </row>
    <row r="264" spans="1:29" ht="13" x14ac:dyDescent="0.3">
      <c r="A264" s="8"/>
      <c r="B264" s="9"/>
      <c r="C264" s="10"/>
      <c r="D264" s="10"/>
      <c r="E264" s="10"/>
      <c r="F264" s="10"/>
      <c r="G264" s="9"/>
      <c r="H264" s="11"/>
      <c r="I264" s="11"/>
      <c r="J264" s="11"/>
      <c r="K264" s="9"/>
      <c r="L264" s="10"/>
      <c r="M264" s="9"/>
      <c r="N264" s="9"/>
      <c r="O264" s="9"/>
      <c r="P264" s="9"/>
      <c r="Q264" s="9"/>
      <c r="R264" s="9"/>
      <c r="T264" s="13"/>
      <c r="U264" s="14"/>
      <c r="V264" s="10"/>
      <c r="W264" s="10"/>
      <c r="X264" s="10"/>
      <c r="Y264" s="10"/>
      <c r="Z264" s="11"/>
      <c r="AA264" s="11"/>
      <c r="AB264" s="13"/>
      <c r="AC264" s="13"/>
    </row>
    <row r="265" spans="1:29" ht="13" x14ac:dyDescent="0.3">
      <c r="A265" s="8"/>
      <c r="B265" s="9"/>
      <c r="C265" s="10"/>
      <c r="D265" s="10"/>
      <c r="E265" s="10"/>
      <c r="F265" s="10"/>
      <c r="G265" s="9"/>
      <c r="H265" s="11"/>
      <c r="I265" s="11"/>
      <c r="J265" s="11"/>
      <c r="K265" s="9"/>
      <c r="L265" s="10"/>
      <c r="M265" s="9"/>
      <c r="N265" s="9"/>
      <c r="O265" s="9"/>
      <c r="P265" s="9"/>
      <c r="Q265" s="9"/>
      <c r="R265" s="9"/>
      <c r="T265" s="13"/>
      <c r="U265" s="14"/>
      <c r="V265" s="10"/>
      <c r="W265" s="10"/>
      <c r="X265" s="10"/>
      <c r="Y265" s="10"/>
      <c r="Z265" s="11"/>
      <c r="AA265" s="11"/>
      <c r="AB265" s="13"/>
      <c r="AC265" s="13"/>
    </row>
    <row r="266" spans="1:29" ht="13" x14ac:dyDescent="0.3">
      <c r="A266" s="8"/>
      <c r="B266" s="9"/>
      <c r="C266" s="10"/>
      <c r="D266" s="10"/>
      <c r="E266" s="10"/>
      <c r="F266" s="10"/>
      <c r="G266" s="9"/>
      <c r="H266" s="11"/>
      <c r="I266" s="11"/>
      <c r="J266" s="11"/>
      <c r="K266" s="9"/>
      <c r="L266" s="10"/>
      <c r="M266" s="9"/>
      <c r="N266" s="9"/>
      <c r="O266" s="9"/>
      <c r="P266" s="9"/>
      <c r="Q266" s="9"/>
      <c r="R266" s="9"/>
      <c r="T266" s="13"/>
      <c r="U266" s="14"/>
      <c r="V266" s="10"/>
      <c r="W266" s="10"/>
      <c r="X266" s="10"/>
      <c r="Y266" s="10"/>
      <c r="Z266" s="11"/>
      <c r="AA266" s="11"/>
      <c r="AB266" s="13"/>
      <c r="AC266" s="13"/>
    </row>
    <row r="267" spans="1:29" ht="13" x14ac:dyDescent="0.3">
      <c r="A267" s="8"/>
      <c r="B267" s="9"/>
      <c r="C267" s="10"/>
      <c r="D267" s="10"/>
      <c r="E267" s="10"/>
      <c r="F267" s="10"/>
      <c r="G267" s="9"/>
      <c r="H267" s="11"/>
      <c r="I267" s="11"/>
      <c r="J267" s="11"/>
      <c r="K267" s="9"/>
      <c r="L267" s="10"/>
      <c r="M267" s="9"/>
      <c r="N267" s="9"/>
      <c r="O267" s="9"/>
      <c r="P267" s="9"/>
      <c r="Q267" s="9"/>
      <c r="R267" s="9"/>
      <c r="T267" s="13"/>
      <c r="U267" s="14"/>
      <c r="V267" s="10"/>
      <c r="W267" s="10"/>
      <c r="X267" s="10"/>
      <c r="Y267" s="10"/>
      <c r="Z267" s="11"/>
      <c r="AA267" s="11"/>
      <c r="AB267" s="13"/>
      <c r="AC267" s="13"/>
    </row>
    <row r="268" spans="1:29" ht="13" x14ac:dyDescent="0.3">
      <c r="A268" s="8"/>
      <c r="B268" s="9"/>
      <c r="C268" s="10"/>
      <c r="D268" s="10"/>
      <c r="E268" s="10"/>
      <c r="F268" s="10"/>
      <c r="G268" s="9"/>
      <c r="H268" s="11"/>
      <c r="I268" s="11"/>
      <c r="J268" s="11"/>
      <c r="K268" s="9"/>
      <c r="L268" s="10"/>
      <c r="M268" s="9"/>
      <c r="N268" s="9"/>
      <c r="O268" s="9"/>
      <c r="P268" s="9"/>
      <c r="Q268" s="9"/>
      <c r="R268" s="9"/>
      <c r="T268" s="13"/>
      <c r="U268" s="14"/>
      <c r="V268" s="10"/>
      <c r="W268" s="10"/>
      <c r="X268" s="10"/>
      <c r="Y268" s="10"/>
      <c r="Z268" s="11"/>
      <c r="AA268" s="11"/>
      <c r="AB268" s="13"/>
      <c r="AC268" s="13"/>
    </row>
    <row r="269" spans="1:29" ht="13" x14ac:dyDescent="0.3">
      <c r="A269" s="8"/>
      <c r="B269" s="9"/>
      <c r="C269" s="10"/>
      <c r="D269" s="10"/>
      <c r="E269" s="10"/>
      <c r="F269" s="10"/>
      <c r="G269" s="9"/>
      <c r="H269" s="11"/>
      <c r="I269" s="11"/>
      <c r="J269" s="11"/>
      <c r="K269" s="9"/>
      <c r="L269" s="10"/>
      <c r="M269" s="9"/>
      <c r="N269" s="9"/>
      <c r="O269" s="9"/>
      <c r="P269" s="9"/>
      <c r="Q269" s="9"/>
      <c r="R269" s="9"/>
      <c r="T269" s="13"/>
      <c r="U269" s="14"/>
      <c r="V269" s="10"/>
      <c r="W269" s="10"/>
      <c r="X269" s="10"/>
      <c r="Y269" s="10"/>
      <c r="Z269" s="11"/>
      <c r="AA269" s="11"/>
      <c r="AB269" s="13"/>
      <c r="AC269" s="13"/>
    </row>
    <row r="270" spans="1:29" ht="13" x14ac:dyDescent="0.3">
      <c r="A270" s="8"/>
      <c r="B270" s="9"/>
      <c r="C270" s="10"/>
      <c r="D270" s="10"/>
      <c r="E270" s="10"/>
      <c r="F270" s="10"/>
      <c r="G270" s="9"/>
      <c r="H270" s="11"/>
      <c r="I270" s="11"/>
      <c r="J270" s="11"/>
      <c r="K270" s="9"/>
      <c r="L270" s="10"/>
      <c r="M270" s="9"/>
      <c r="N270" s="9"/>
      <c r="O270" s="9"/>
      <c r="P270" s="9"/>
      <c r="Q270" s="9"/>
      <c r="R270" s="9"/>
      <c r="T270" s="13"/>
      <c r="U270" s="14"/>
      <c r="V270" s="10"/>
      <c r="W270" s="10"/>
      <c r="X270" s="10"/>
      <c r="Y270" s="10"/>
      <c r="Z270" s="11"/>
      <c r="AA270" s="11"/>
      <c r="AB270" s="13"/>
      <c r="AC270" s="13"/>
    </row>
    <row r="271" spans="1:29" ht="13" x14ac:dyDescent="0.3">
      <c r="A271" s="8"/>
      <c r="B271" s="9"/>
      <c r="C271" s="10"/>
      <c r="D271" s="10"/>
      <c r="E271" s="10"/>
      <c r="F271" s="10"/>
      <c r="G271" s="9"/>
      <c r="H271" s="11"/>
      <c r="I271" s="11"/>
      <c r="J271" s="11"/>
      <c r="K271" s="9"/>
      <c r="L271" s="10"/>
      <c r="M271" s="9"/>
      <c r="N271" s="9"/>
      <c r="O271" s="9"/>
      <c r="P271" s="9"/>
      <c r="Q271" s="9"/>
      <c r="R271" s="9"/>
      <c r="T271" s="13"/>
      <c r="U271" s="14"/>
      <c r="V271" s="10"/>
      <c r="W271" s="10"/>
      <c r="X271" s="10"/>
      <c r="Y271" s="10"/>
      <c r="Z271" s="11"/>
      <c r="AA271" s="11"/>
      <c r="AB271" s="13"/>
      <c r="AC271" s="13"/>
    </row>
    <row r="272" spans="1:29" ht="13" x14ac:dyDescent="0.3">
      <c r="A272" s="8"/>
      <c r="B272" s="9"/>
      <c r="C272" s="10"/>
      <c r="D272" s="10"/>
      <c r="E272" s="10"/>
      <c r="F272" s="10"/>
      <c r="G272" s="9"/>
      <c r="H272" s="11"/>
      <c r="I272" s="11"/>
      <c r="J272" s="11"/>
      <c r="K272" s="9"/>
      <c r="L272" s="10"/>
      <c r="M272" s="9"/>
      <c r="N272" s="9"/>
      <c r="O272" s="9"/>
      <c r="P272" s="9"/>
      <c r="Q272" s="9"/>
      <c r="R272" s="9"/>
      <c r="T272" s="13"/>
      <c r="U272" s="14"/>
      <c r="V272" s="10"/>
      <c r="W272" s="10"/>
      <c r="X272" s="10"/>
      <c r="Y272" s="10"/>
      <c r="Z272" s="11"/>
      <c r="AA272" s="11"/>
      <c r="AB272" s="13"/>
      <c r="AC272" s="13"/>
    </row>
    <row r="273" spans="1:29" ht="13" x14ac:dyDescent="0.3">
      <c r="A273" s="8"/>
      <c r="B273" s="9"/>
      <c r="C273" s="10"/>
      <c r="D273" s="10"/>
      <c r="E273" s="10"/>
      <c r="F273" s="10"/>
      <c r="G273" s="9"/>
      <c r="H273" s="11"/>
      <c r="I273" s="11"/>
      <c r="J273" s="11"/>
      <c r="K273" s="9"/>
      <c r="L273" s="10"/>
      <c r="M273" s="9"/>
      <c r="N273" s="9"/>
      <c r="O273" s="9"/>
      <c r="P273" s="9"/>
      <c r="Q273" s="9"/>
      <c r="R273" s="9"/>
      <c r="T273" s="13"/>
      <c r="U273" s="14"/>
      <c r="V273" s="10"/>
      <c r="W273" s="10"/>
      <c r="X273" s="10"/>
      <c r="Y273" s="10"/>
      <c r="Z273" s="11"/>
      <c r="AA273" s="11"/>
      <c r="AB273" s="13"/>
      <c r="AC273" s="13"/>
    </row>
    <row r="274" spans="1:29" ht="13" x14ac:dyDescent="0.3">
      <c r="A274" s="8"/>
      <c r="B274" s="9"/>
      <c r="C274" s="10"/>
      <c r="D274" s="10"/>
      <c r="E274" s="10"/>
      <c r="F274" s="10"/>
      <c r="G274" s="9"/>
      <c r="H274" s="11"/>
      <c r="I274" s="11"/>
      <c r="J274" s="11"/>
      <c r="K274" s="9"/>
      <c r="L274" s="10"/>
      <c r="M274" s="9"/>
      <c r="N274" s="9"/>
      <c r="O274" s="9"/>
      <c r="P274" s="9"/>
      <c r="Q274" s="9"/>
      <c r="R274" s="9"/>
      <c r="T274" s="13"/>
      <c r="U274" s="14"/>
      <c r="V274" s="10"/>
      <c r="W274" s="10"/>
      <c r="X274" s="10"/>
      <c r="Y274" s="10"/>
      <c r="Z274" s="11"/>
      <c r="AA274" s="11"/>
      <c r="AB274" s="13"/>
      <c r="AC274" s="13"/>
    </row>
    <row r="275" spans="1:29" ht="13" x14ac:dyDescent="0.3">
      <c r="A275" s="8"/>
      <c r="B275" s="9"/>
      <c r="C275" s="10"/>
      <c r="D275" s="10"/>
      <c r="E275" s="10"/>
      <c r="F275" s="10"/>
      <c r="G275" s="9"/>
      <c r="H275" s="11"/>
      <c r="I275" s="11"/>
      <c r="J275" s="11"/>
      <c r="K275" s="9"/>
      <c r="L275" s="10"/>
      <c r="M275" s="9"/>
      <c r="N275" s="9"/>
      <c r="O275" s="9"/>
      <c r="P275" s="9"/>
      <c r="Q275" s="9"/>
      <c r="R275" s="9"/>
      <c r="T275" s="13"/>
      <c r="U275" s="14"/>
      <c r="V275" s="10"/>
      <c r="W275" s="10"/>
      <c r="X275" s="10"/>
      <c r="Y275" s="10"/>
      <c r="Z275" s="11"/>
      <c r="AA275" s="11"/>
      <c r="AB275" s="13"/>
      <c r="AC275" s="13"/>
    </row>
    <row r="276" spans="1:29" ht="13" x14ac:dyDescent="0.3">
      <c r="A276" s="8"/>
      <c r="B276" s="9"/>
      <c r="C276" s="10"/>
      <c r="D276" s="10"/>
      <c r="E276" s="10"/>
      <c r="F276" s="10"/>
      <c r="G276" s="9"/>
      <c r="H276" s="11"/>
      <c r="I276" s="11"/>
      <c r="J276" s="11"/>
      <c r="K276" s="9"/>
      <c r="L276" s="10"/>
      <c r="M276" s="9"/>
      <c r="N276" s="9"/>
      <c r="O276" s="9"/>
      <c r="P276" s="9"/>
      <c r="Q276" s="9"/>
      <c r="R276" s="9"/>
      <c r="T276" s="13"/>
      <c r="U276" s="14"/>
      <c r="V276" s="10"/>
      <c r="W276" s="10"/>
      <c r="X276" s="10"/>
      <c r="Y276" s="10"/>
      <c r="Z276" s="11"/>
      <c r="AA276" s="11"/>
      <c r="AB276" s="13"/>
      <c r="AC276" s="13"/>
    </row>
    <row r="277" spans="1:29" ht="13" x14ac:dyDescent="0.3">
      <c r="A277" s="8"/>
      <c r="B277" s="9"/>
      <c r="C277" s="10"/>
      <c r="D277" s="10"/>
      <c r="E277" s="10"/>
      <c r="F277" s="10"/>
      <c r="G277" s="9"/>
      <c r="H277" s="11"/>
      <c r="I277" s="11"/>
      <c r="J277" s="11"/>
      <c r="K277" s="9"/>
      <c r="L277" s="10"/>
      <c r="M277" s="9"/>
      <c r="N277" s="9"/>
      <c r="O277" s="9"/>
      <c r="P277" s="9"/>
      <c r="Q277" s="9"/>
      <c r="R277" s="9"/>
      <c r="T277" s="13"/>
      <c r="U277" s="14"/>
      <c r="V277" s="10"/>
      <c r="W277" s="10"/>
      <c r="X277" s="10"/>
      <c r="Y277" s="10"/>
      <c r="Z277" s="11"/>
      <c r="AA277" s="11"/>
      <c r="AB277" s="13"/>
      <c r="AC277" s="13"/>
    </row>
    <row r="278" spans="1:29" ht="13" x14ac:dyDescent="0.3">
      <c r="A278" s="8"/>
      <c r="B278" s="9"/>
      <c r="C278" s="10"/>
      <c r="D278" s="10"/>
      <c r="E278" s="10"/>
      <c r="F278" s="10"/>
      <c r="G278" s="9"/>
      <c r="H278" s="11"/>
      <c r="I278" s="11"/>
      <c r="J278" s="11"/>
      <c r="K278" s="9"/>
      <c r="L278" s="10"/>
      <c r="M278" s="9"/>
      <c r="N278" s="9"/>
      <c r="O278" s="9"/>
      <c r="P278" s="9"/>
      <c r="Q278" s="9"/>
      <c r="R278" s="9"/>
      <c r="T278" s="13"/>
      <c r="U278" s="14"/>
      <c r="V278" s="10"/>
      <c r="W278" s="10"/>
      <c r="X278" s="10"/>
      <c r="Y278" s="10"/>
      <c r="Z278" s="11"/>
      <c r="AA278" s="11"/>
      <c r="AB278" s="13"/>
      <c r="AC278" s="13"/>
    </row>
    <row r="279" spans="1:29" ht="13" x14ac:dyDescent="0.3">
      <c r="A279" s="8"/>
      <c r="B279" s="9"/>
      <c r="C279" s="10"/>
      <c r="D279" s="10"/>
      <c r="E279" s="10"/>
      <c r="F279" s="10"/>
      <c r="G279" s="9"/>
      <c r="H279" s="11"/>
      <c r="I279" s="11"/>
      <c r="J279" s="11"/>
      <c r="K279" s="9"/>
      <c r="L279" s="10"/>
      <c r="M279" s="9"/>
      <c r="N279" s="9"/>
      <c r="O279" s="9"/>
      <c r="P279" s="9"/>
      <c r="Q279" s="9"/>
      <c r="R279" s="9"/>
      <c r="T279" s="13"/>
      <c r="U279" s="14"/>
      <c r="V279" s="10"/>
      <c r="W279" s="10"/>
      <c r="X279" s="10"/>
      <c r="Y279" s="10"/>
      <c r="Z279" s="11"/>
      <c r="AA279" s="11"/>
      <c r="AB279" s="13"/>
      <c r="AC279" s="13"/>
    </row>
    <row r="280" spans="1:29" ht="13" x14ac:dyDescent="0.3">
      <c r="A280" s="8"/>
      <c r="B280" s="9"/>
      <c r="C280" s="10"/>
      <c r="D280" s="10"/>
      <c r="E280" s="10"/>
      <c r="F280" s="10"/>
      <c r="G280" s="9"/>
      <c r="H280" s="11"/>
      <c r="I280" s="11"/>
      <c r="J280" s="11"/>
      <c r="K280" s="9"/>
      <c r="L280" s="10"/>
      <c r="M280" s="9"/>
      <c r="N280" s="9"/>
      <c r="O280" s="9"/>
      <c r="P280" s="9"/>
      <c r="Q280" s="9"/>
      <c r="R280" s="9"/>
      <c r="T280" s="13"/>
      <c r="U280" s="14"/>
      <c r="V280" s="10"/>
      <c r="W280" s="10"/>
      <c r="X280" s="10"/>
      <c r="Y280" s="10"/>
      <c r="Z280" s="11"/>
      <c r="AA280" s="11"/>
      <c r="AB280" s="13"/>
      <c r="AC280" s="13"/>
    </row>
    <row r="281" spans="1:29" ht="13" x14ac:dyDescent="0.3">
      <c r="A281" s="8"/>
      <c r="B281" s="9"/>
      <c r="C281" s="10"/>
      <c r="D281" s="10"/>
      <c r="E281" s="10"/>
      <c r="F281" s="10"/>
      <c r="G281" s="9"/>
      <c r="H281" s="11"/>
      <c r="I281" s="11"/>
      <c r="J281" s="11"/>
      <c r="K281" s="9"/>
      <c r="L281" s="10"/>
      <c r="M281" s="9"/>
      <c r="N281" s="9"/>
      <c r="O281" s="9"/>
      <c r="P281" s="9"/>
      <c r="Q281" s="9"/>
      <c r="R281" s="9"/>
      <c r="T281" s="13"/>
      <c r="U281" s="14"/>
      <c r="V281" s="10"/>
      <c r="W281" s="10"/>
      <c r="X281" s="10"/>
      <c r="Y281" s="10"/>
      <c r="Z281" s="11"/>
      <c r="AA281" s="11"/>
      <c r="AB281" s="13"/>
      <c r="AC281" s="13"/>
    </row>
    <row r="282" spans="1:29" ht="13" x14ac:dyDescent="0.3">
      <c r="A282" s="8"/>
      <c r="B282" s="9"/>
      <c r="C282" s="10"/>
      <c r="D282" s="10"/>
      <c r="E282" s="10"/>
      <c r="F282" s="10"/>
      <c r="G282" s="9"/>
      <c r="H282" s="11"/>
      <c r="I282" s="11"/>
      <c r="J282" s="11"/>
      <c r="K282" s="9"/>
      <c r="L282" s="10"/>
      <c r="M282" s="9"/>
      <c r="N282" s="9"/>
      <c r="O282" s="9"/>
      <c r="P282" s="9"/>
      <c r="Q282" s="9"/>
      <c r="R282" s="9"/>
      <c r="T282" s="13"/>
      <c r="U282" s="14"/>
      <c r="V282" s="10"/>
      <c r="W282" s="10"/>
      <c r="X282" s="10"/>
      <c r="Y282" s="10"/>
      <c r="Z282" s="11"/>
      <c r="AA282" s="11"/>
      <c r="AB282" s="13"/>
      <c r="AC282" s="13"/>
    </row>
    <row r="283" spans="1:29" ht="13" x14ac:dyDescent="0.3">
      <c r="A283" s="8"/>
      <c r="B283" s="9"/>
      <c r="C283" s="10"/>
      <c r="D283" s="10"/>
      <c r="E283" s="10"/>
      <c r="F283" s="10"/>
      <c r="G283" s="9"/>
      <c r="H283" s="11"/>
      <c r="I283" s="11"/>
      <c r="J283" s="11"/>
      <c r="K283" s="9"/>
      <c r="L283" s="10"/>
      <c r="M283" s="9"/>
      <c r="N283" s="9"/>
      <c r="O283" s="9"/>
      <c r="P283" s="9"/>
      <c r="Q283" s="9"/>
      <c r="R283" s="9"/>
      <c r="T283" s="13"/>
      <c r="U283" s="14"/>
      <c r="V283" s="10"/>
      <c r="W283" s="10"/>
      <c r="X283" s="10"/>
      <c r="Y283" s="10"/>
      <c r="Z283" s="11"/>
      <c r="AA283" s="11"/>
      <c r="AB283" s="13"/>
      <c r="AC283" s="13"/>
    </row>
    <row r="284" spans="1:29" ht="13" x14ac:dyDescent="0.3">
      <c r="A284" s="8"/>
      <c r="B284" s="9"/>
      <c r="C284" s="10"/>
      <c r="D284" s="10"/>
      <c r="E284" s="10"/>
      <c r="F284" s="10"/>
      <c r="G284" s="9"/>
      <c r="H284" s="11"/>
      <c r="I284" s="11"/>
      <c r="J284" s="11"/>
      <c r="K284" s="9"/>
      <c r="L284" s="10"/>
      <c r="M284" s="9"/>
      <c r="N284" s="9"/>
      <c r="O284" s="9"/>
      <c r="P284" s="9"/>
      <c r="Q284" s="9"/>
      <c r="R284" s="9"/>
      <c r="T284" s="13"/>
      <c r="U284" s="14"/>
      <c r="V284" s="10"/>
      <c r="W284" s="10"/>
      <c r="X284" s="10"/>
      <c r="Y284" s="10"/>
      <c r="Z284" s="11"/>
      <c r="AA284" s="11"/>
      <c r="AB284" s="13"/>
      <c r="AC284" s="13"/>
    </row>
    <row r="285" spans="1:29" ht="13" x14ac:dyDescent="0.3">
      <c r="A285" s="8"/>
      <c r="B285" s="9"/>
      <c r="C285" s="10"/>
      <c r="D285" s="10"/>
      <c r="E285" s="10"/>
      <c r="F285" s="10"/>
      <c r="G285" s="9"/>
      <c r="H285" s="11"/>
      <c r="I285" s="11"/>
      <c r="J285" s="11"/>
      <c r="K285" s="9"/>
      <c r="L285" s="10"/>
      <c r="M285" s="9"/>
      <c r="N285" s="9"/>
      <c r="O285" s="9"/>
      <c r="P285" s="9"/>
      <c r="Q285" s="9"/>
      <c r="R285" s="9"/>
      <c r="T285" s="13"/>
      <c r="U285" s="14"/>
      <c r="V285" s="10"/>
      <c r="W285" s="10"/>
      <c r="X285" s="10"/>
      <c r="Y285" s="10"/>
      <c r="Z285" s="11"/>
      <c r="AA285" s="11"/>
      <c r="AB285" s="13"/>
      <c r="AC285" s="13"/>
    </row>
    <row r="286" spans="1:29" ht="13" x14ac:dyDescent="0.3">
      <c r="A286" s="8"/>
      <c r="B286" s="9"/>
      <c r="C286" s="10"/>
      <c r="D286" s="10"/>
      <c r="E286" s="10"/>
      <c r="F286" s="10"/>
      <c r="G286" s="9"/>
      <c r="H286" s="11"/>
      <c r="I286" s="11"/>
      <c r="J286" s="11"/>
      <c r="K286" s="9"/>
      <c r="L286" s="10"/>
      <c r="M286" s="9"/>
      <c r="N286" s="9"/>
      <c r="O286" s="9"/>
      <c r="P286" s="9"/>
      <c r="Q286" s="9"/>
      <c r="R286" s="9"/>
      <c r="T286" s="13"/>
      <c r="U286" s="14"/>
      <c r="V286" s="10"/>
      <c r="W286" s="10"/>
      <c r="X286" s="10"/>
      <c r="Y286" s="10"/>
      <c r="Z286" s="11"/>
      <c r="AA286" s="11"/>
      <c r="AB286" s="13"/>
      <c r="AC286" s="13"/>
    </row>
    <row r="287" spans="1:29" ht="13" x14ac:dyDescent="0.3">
      <c r="A287" s="8"/>
      <c r="B287" s="9"/>
      <c r="C287" s="10"/>
      <c r="D287" s="10"/>
      <c r="E287" s="10"/>
      <c r="F287" s="10"/>
      <c r="G287" s="9"/>
      <c r="H287" s="11"/>
      <c r="I287" s="11"/>
      <c r="J287" s="11"/>
      <c r="K287" s="9"/>
      <c r="L287" s="10"/>
      <c r="M287" s="9"/>
      <c r="N287" s="9"/>
      <c r="O287" s="9"/>
      <c r="P287" s="9"/>
      <c r="Q287" s="9"/>
      <c r="R287" s="9"/>
      <c r="T287" s="13"/>
      <c r="U287" s="14"/>
      <c r="V287" s="10"/>
      <c r="W287" s="10"/>
      <c r="X287" s="10"/>
      <c r="Y287" s="10"/>
      <c r="Z287" s="11"/>
      <c r="AA287" s="11"/>
      <c r="AB287" s="13"/>
      <c r="AC287" s="13"/>
    </row>
    <row r="288" spans="1:29" ht="13" x14ac:dyDescent="0.3">
      <c r="A288" s="8"/>
      <c r="B288" s="9"/>
      <c r="C288" s="10"/>
      <c r="D288" s="10"/>
      <c r="E288" s="10"/>
      <c r="F288" s="10"/>
      <c r="G288" s="9"/>
      <c r="H288" s="11"/>
      <c r="I288" s="11"/>
      <c r="J288" s="11"/>
      <c r="K288" s="9"/>
      <c r="L288" s="10"/>
      <c r="M288" s="9"/>
      <c r="N288" s="9"/>
      <c r="O288" s="9"/>
      <c r="P288" s="9"/>
      <c r="Q288" s="9"/>
      <c r="R288" s="9"/>
      <c r="T288" s="13"/>
      <c r="U288" s="14"/>
      <c r="V288" s="10"/>
      <c r="W288" s="10"/>
      <c r="X288" s="10"/>
      <c r="Y288" s="10"/>
      <c r="Z288" s="11"/>
      <c r="AA288" s="11"/>
      <c r="AB288" s="13"/>
      <c r="AC288" s="13"/>
    </row>
    <row r="289" spans="1:29" ht="13" x14ac:dyDescent="0.3">
      <c r="A289" s="8"/>
      <c r="B289" s="9"/>
      <c r="C289" s="10"/>
      <c r="D289" s="10"/>
      <c r="E289" s="10"/>
      <c r="F289" s="10"/>
      <c r="G289" s="9"/>
      <c r="H289" s="11"/>
      <c r="I289" s="11"/>
      <c r="J289" s="11"/>
      <c r="K289" s="9"/>
      <c r="L289" s="10"/>
      <c r="M289" s="9"/>
      <c r="N289" s="9"/>
      <c r="O289" s="9"/>
      <c r="P289" s="9"/>
      <c r="Q289" s="9"/>
      <c r="R289" s="9"/>
      <c r="T289" s="13"/>
      <c r="U289" s="14"/>
      <c r="V289" s="10"/>
      <c r="W289" s="10"/>
      <c r="X289" s="10"/>
      <c r="Y289" s="10"/>
      <c r="Z289" s="11"/>
      <c r="AA289" s="11"/>
      <c r="AB289" s="13"/>
      <c r="AC289" s="13"/>
    </row>
    <row r="290" spans="1:29" ht="13" x14ac:dyDescent="0.3">
      <c r="A290" s="8"/>
      <c r="B290" s="9"/>
      <c r="C290" s="10"/>
      <c r="D290" s="10"/>
      <c r="E290" s="10"/>
      <c r="F290" s="10"/>
      <c r="G290" s="9"/>
      <c r="H290" s="11"/>
      <c r="I290" s="11"/>
      <c r="J290" s="11"/>
      <c r="K290" s="9"/>
      <c r="L290" s="10"/>
      <c r="M290" s="9"/>
      <c r="N290" s="9"/>
      <c r="O290" s="9"/>
      <c r="P290" s="9"/>
      <c r="Q290" s="9"/>
      <c r="R290" s="9"/>
      <c r="T290" s="13"/>
      <c r="U290" s="14"/>
      <c r="V290" s="10"/>
      <c r="W290" s="10"/>
      <c r="X290" s="10"/>
      <c r="Y290" s="10"/>
      <c r="Z290" s="11"/>
      <c r="AA290" s="11"/>
      <c r="AB290" s="13"/>
      <c r="AC290" s="13"/>
    </row>
    <row r="291" spans="1:29" ht="13" x14ac:dyDescent="0.3">
      <c r="A291" s="8"/>
      <c r="B291" s="9"/>
      <c r="C291" s="10"/>
      <c r="D291" s="10"/>
      <c r="E291" s="10"/>
      <c r="F291" s="10"/>
      <c r="G291" s="9"/>
      <c r="H291" s="11"/>
      <c r="I291" s="11"/>
      <c r="J291" s="11"/>
      <c r="K291" s="9"/>
      <c r="L291" s="10"/>
      <c r="M291" s="9"/>
      <c r="N291" s="9"/>
      <c r="O291" s="9"/>
      <c r="P291" s="9"/>
      <c r="Q291" s="9"/>
      <c r="R291" s="9"/>
      <c r="T291" s="13"/>
      <c r="U291" s="14"/>
      <c r="V291" s="10"/>
      <c r="W291" s="10"/>
      <c r="X291" s="10"/>
      <c r="Y291" s="10"/>
      <c r="Z291" s="11"/>
      <c r="AA291" s="11"/>
      <c r="AB291" s="13"/>
      <c r="AC291" s="13"/>
    </row>
    <row r="292" spans="1:29" ht="13" x14ac:dyDescent="0.3">
      <c r="A292" s="8"/>
      <c r="B292" s="9"/>
      <c r="C292" s="10"/>
      <c r="D292" s="10"/>
      <c r="E292" s="10"/>
      <c r="F292" s="10"/>
      <c r="G292" s="9"/>
      <c r="H292" s="11"/>
      <c r="I292" s="11"/>
      <c r="J292" s="11"/>
      <c r="K292" s="9"/>
      <c r="L292" s="10"/>
      <c r="M292" s="9"/>
      <c r="N292" s="9"/>
      <c r="O292" s="9"/>
      <c r="P292" s="9"/>
      <c r="Q292" s="9"/>
      <c r="R292" s="9"/>
      <c r="T292" s="13"/>
      <c r="U292" s="14"/>
      <c r="V292" s="10"/>
      <c r="W292" s="10"/>
      <c r="X292" s="10"/>
      <c r="Y292" s="10"/>
      <c r="Z292" s="11"/>
      <c r="AA292" s="11"/>
      <c r="AB292" s="13"/>
      <c r="AC292" s="13"/>
    </row>
    <row r="293" spans="1:29" ht="13" x14ac:dyDescent="0.3">
      <c r="A293" s="8"/>
      <c r="B293" s="9"/>
      <c r="C293" s="10"/>
      <c r="D293" s="10"/>
      <c r="E293" s="10"/>
      <c r="F293" s="10"/>
      <c r="G293" s="9"/>
      <c r="H293" s="11"/>
      <c r="I293" s="11"/>
      <c r="J293" s="11"/>
      <c r="K293" s="9"/>
      <c r="L293" s="10"/>
      <c r="M293" s="9"/>
      <c r="N293" s="9"/>
      <c r="O293" s="9"/>
      <c r="P293" s="9"/>
      <c r="Q293" s="9"/>
      <c r="R293" s="9"/>
      <c r="T293" s="13"/>
      <c r="U293" s="14"/>
      <c r="V293" s="10"/>
      <c r="W293" s="10"/>
      <c r="X293" s="10"/>
      <c r="Y293" s="10"/>
      <c r="Z293" s="11"/>
      <c r="AA293" s="11"/>
      <c r="AB293" s="13"/>
      <c r="AC293" s="13"/>
    </row>
    <row r="294" spans="1:29" ht="13" x14ac:dyDescent="0.3">
      <c r="A294" s="8"/>
      <c r="B294" s="9"/>
      <c r="C294" s="10"/>
      <c r="D294" s="10"/>
      <c r="E294" s="10"/>
      <c r="F294" s="10"/>
      <c r="G294" s="9"/>
      <c r="H294" s="11"/>
      <c r="I294" s="11"/>
      <c r="J294" s="11"/>
      <c r="K294" s="9"/>
      <c r="L294" s="10"/>
      <c r="M294" s="9"/>
      <c r="N294" s="9"/>
      <c r="O294" s="9"/>
      <c r="P294" s="9"/>
      <c r="Q294" s="9"/>
      <c r="R294" s="9"/>
      <c r="T294" s="13"/>
      <c r="U294" s="14"/>
      <c r="V294" s="10"/>
      <c r="W294" s="10"/>
      <c r="X294" s="10"/>
      <c r="Y294" s="10"/>
      <c r="Z294" s="11"/>
      <c r="AA294" s="11"/>
      <c r="AB294" s="13"/>
      <c r="AC294" s="13"/>
    </row>
    <row r="295" spans="1:29" ht="13" x14ac:dyDescent="0.3">
      <c r="A295" s="8"/>
      <c r="B295" s="9"/>
      <c r="C295" s="10"/>
      <c r="D295" s="10"/>
      <c r="E295" s="10"/>
      <c r="F295" s="10"/>
      <c r="G295" s="9"/>
      <c r="H295" s="11"/>
      <c r="I295" s="11"/>
      <c r="J295" s="11"/>
      <c r="K295" s="9"/>
      <c r="L295" s="10"/>
      <c r="M295" s="9"/>
      <c r="N295" s="9"/>
      <c r="O295" s="9"/>
      <c r="P295" s="9"/>
      <c r="Q295" s="9"/>
      <c r="R295" s="9"/>
      <c r="T295" s="13"/>
      <c r="U295" s="14"/>
      <c r="V295" s="10"/>
      <c r="W295" s="10"/>
      <c r="X295" s="10"/>
      <c r="Y295" s="10"/>
      <c r="Z295" s="11"/>
      <c r="AA295" s="11"/>
      <c r="AB295" s="13"/>
      <c r="AC295" s="13"/>
    </row>
    <row r="296" spans="1:29" ht="13" x14ac:dyDescent="0.3">
      <c r="A296" s="8"/>
      <c r="B296" s="9"/>
      <c r="C296" s="10"/>
      <c r="D296" s="10"/>
      <c r="E296" s="10"/>
      <c r="F296" s="10"/>
      <c r="G296" s="9"/>
      <c r="H296" s="11"/>
      <c r="I296" s="11"/>
      <c r="J296" s="11"/>
      <c r="K296" s="9"/>
      <c r="L296" s="10"/>
      <c r="M296" s="9"/>
      <c r="N296" s="9"/>
      <c r="O296" s="9"/>
      <c r="P296" s="9"/>
      <c r="Q296" s="9"/>
      <c r="R296" s="9"/>
      <c r="T296" s="13"/>
      <c r="U296" s="14"/>
      <c r="V296" s="10"/>
      <c r="W296" s="10"/>
      <c r="X296" s="10"/>
      <c r="Y296" s="10"/>
      <c r="Z296" s="11"/>
      <c r="AA296" s="11"/>
      <c r="AB296" s="13"/>
      <c r="AC296" s="13"/>
    </row>
    <row r="297" spans="1:29" ht="13" x14ac:dyDescent="0.3">
      <c r="A297" s="8"/>
      <c r="B297" s="9"/>
      <c r="C297" s="10"/>
      <c r="D297" s="10"/>
      <c r="E297" s="10"/>
      <c r="F297" s="10"/>
      <c r="G297" s="9"/>
      <c r="H297" s="11"/>
      <c r="I297" s="11"/>
      <c r="J297" s="11"/>
      <c r="K297" s="9"/>
      <c r="L297" s="10"/>
      <c r="M297" s="9"/>
      <c r="N297" s="9"/>
      <c r="O297" s="9"/>
      <c r="P297" s="9"/>
      <c r="Q297" s="9"/>
      <c r="R297" s="9"/>
      <c r="T297" s="13"/>
      <c r="U297" s="14"/>
      <c r="V297" s="10"/>
      <c r="W297" s="10"/>
      <c r="X297" s="10"/>
      <c r="Y297" s="10"/>
      <c r="Z297" s="11"/>
      <c r="AA297" s="11"/>
      <c r="AB297" s="13"/>
      <c r="AC297" s="13"/>
    </row>
    <row r="298" spans="1:29" ht="13" x14ac:dyDescent="0.3">
      <c r="A298" s="8"/>
      <c r="B298" s="9"/>
      <c r="C298" s="10"/>
      <c r="D298" s="10"/>
      <c r="E298" s="10"/>
      <c r="F298" s="10"/>
      <c r="G298" s="9"/>
      <c r="H298" s="11"/>
      <c r="I298" s="11"/>
      <c r="J298" s="11"/>
      <c r="K298" s="9"/>
      <c r="L298" s="10"/>
      <c r="M298" s="9"/>
      <c r="N298" s="9"/>
      <c r="O298" s="9"/>
      <c r="P298" s="9"/>
      <c r="Q298" s="9"/>
      <c r="R298" s="9"/>
      <c r="T298" s="13"/>
      <c r="U298" s="14"/>
      <c r="V298" s="10"/>
      <c r="W298" s="10"/>
      <c r="X298" s="10"/>
      <c r="Y298" s="10"/>
      <c r="Z298" s="11"/>
      <c r="AA298" s="11"/>
      <c r="AB298" s="13"/>
      <c r="AC298" s="13"/>
    </row>
    <row r="299" spans="1:29" ht="13" x14ac:dyDescent="0.3">
      <c r="A299" s="8"/>
      <c r="B299" s="9"/>
      <c r="C299" s="10"/>
      <c r="D299" s="10"/>
      <c r="E299" s="10"/>
      <c r="F299" s="10"/>
      <c r="G299" s="9"/>
      <c r="H299" s="11"/>
      <c r="I299" s="11"/>
      <c r="J299" s="11"/>
      <c r="K299" s="9"/>
      <c r="L299" s="10"/>
      <c r="M299" s="9"/>
      <c r="N299" s="9"/>
      <c r="O299" s="9"/>
      <c r="P299" s="9"/>
      <c r="Q299" s="9"/>
      <c r="R299" s="9"/>
      <c r="T299" s="13"/>
      <c r="U299" s="14"/>
      <c r="V299" s="10"/>
      <c r="W299" s="10"/>
      <c r="X299" s="10"/>
      <c r="Y299" s="10"/>
      <c r="Z299" s="11"/>
      <c r="AA299" s="11"/>
      <c r="AB299" s="13"/>
      <c r="AC299" s="13"/>
    </row>
    <row r="300" spans="1:29" ht="13" x14ac:dyDescent="0.3">
      <c r="A300" s="8"/>
      <c r="B300" s="9"/>
      <c r="C300" s="10"/>
      <c r="D300" s="10"/>
      <c r="E300" s="10"/>
      <c r="F300" s="10"/>
      <c r="G300" s="9"/>
      <c r="H300" s="11"/>
      <c r="I300" s="11"/>
      <c r="J300" s="11"/>
      <c r="K300" s="9"/>
      <c r="L300" s="10"/>
      <c r="M300" s="9"/>
      <c r="N300" s="9"/>
      <c r="O300" s="9"/>
      <c r="P300" s="9"/>
      <c r="Q300" s="9"/>
      <c r="R300" s="9"/>
      <c r="T300" s="13"/>
      <c r="U300" s="14"/>
      <c r="V300" s="10"/>
      <c r="W300" s="10"/>
      <c r="X300" s="10"/>
      <c r="Y300" s="10"/>
      <c r="Z300" s="11"/>
      <c r="AA300" s="11"/>
      <c r="AB300" s="13"/>
      <c r="AC300" s="13"/>
    </row>
    <row r="301" spans="1:29" ht="13" x14ac:dyDescent="0.3">
      <c r="A301" s="8"/>
      <c r="B301" s="9"/>
      <c r="C301" s="10"/>
      <c r="D301" s="10"/>
      <c r="E301" s="10"/>
      <c r="F301" s="10"/>
      <c r="G301" s="9"/>
      <c r="H301" s="11"/>
      <c r="I301" s="11"/>
      <c r="J301" s="11"/>
      <c r="K301" s="9"/>
      <c r="L301" s="10"/>
      <c r="M301" s="9"/>
      <c r="N301" s="9"/>
      <c r="O301" s="9"/>
      <c r="P301" s="9"/>
      <c r="Q301" s="9"/>
      <c r="R301" s="9"/>
      <c r="T301" s="13"/>
      <c r="U301" s="14"/>
      <c r="V301" s="10"/>
      <c r="W301" s="10"/>
      <c r="X301" s="10"/>
      <c r="Y301" s="10"/>
      <c r="Z301" s="11"/>
      <c r="AA301" s="11"/>
      <c r="AB301" s="13"/>
      <c r="AC301" s="13"/>
    </row>
    <row r="302" spans="1:29" ht="13" x14ac:dyDescent="0.3">
      <c r="A302" s="8"/>
      <c r="B302" s="9"/>
      <c r="C302" s="10"/>
      <c r="D302" s="10"/>
      <c r="E302" s="10"/>
      <c r="F302" s="10"/>
      <c r="G302" s="9"/>
      <c r="H302" s="11"/>
      <c r="I302" s="11"/>
      <c r="J302" s="11"/>
      <c r="K302" s="9"/>
      <c r="L302" s="10"/>
      <c r="M302" s="9"/>
      <c r="N302" s="9"/>
      <c r="O302" s="9"/>
      <c r="P302" s="9"/>
      <c r="Q302" s="9"/>
      <c r="R302" s="9"/>
      <c r="T302" s="13"/>
      <c r="U302" s="14"/>
      <c r="V302" s="10"/>
      <c r="W302" s="10"/>
      <c r="X302" s="10"/>
      <c r="Y302" s="10"/>
      <c r="Z302" s="11"/>
      <c r="AA302" s="11"/>
      <c r="AB302" s="13"/>
      <c r="AC302" s="13"/>
    </row>
    <row r="303" spans="1:29" ht="13" x14ac:dyDescent="0.3">
      <c r="A303" s="8"/>
      <c r="B303" s="9"/>
      <c r="C303" s="10"/>
      <c r="D303" s="10"/>
      <c r="E303" s="10"/>
      <c r="F303" s="10"/>
      <c r="G303" s="9"/>
      <c r="H303" s="11"/>
      <c r="I303" s="11"/>
      <c r="J303" s="11"/>
      <c r="K303" s="9"/>
      <c r="L303" s="10"/>
      <c r="M303" s="9"/>
      <c r="N303" s="9"/>
      <c r="O303" s="9"/>
      <c r="P303" s="9"/>
      <c r="Q303" s="9"/>
      <c r="R303" s="9"/>
      <c r="T303" s="13"/>
      <c r="U303" s="14"/>
      <c r="V303" s="10"/>
      <c r="W303" s="10"/>
      <c r="X303" s="10"/>
      <c r="Y303" s="10"/>
      <c r="Z303" s="11"/>
      <c r="AA303" s="11"/>
      <c r="AB303" s="13"/>
      <c r="AC303" s="13"/>
    </row>
    <row r="304" spans="1:29" ht="13" x14ac:dyDescent="0.3">
      <c r="A304" s="8"/>
      <c r="B304" s="9"/>
      <c r="C304" s="10"/>
      <c r="D304" s="10"/>
      <c r="E304" s="10"/>
      <c r="F304" s="10"/>
      <c r="G304" s="9"/>
      <c r="H304" s="11"/>
      <c r="I304" s="11"/>
      <c r="J304" s="11"/>
      <c r="K304" s="9"/>
      <c r="L304" s="10"/>
      <c r="M304" s="9"/>
      <c r="N304" s="9"/>
      <c r="O304" s="9"/>
      <c r="P304" s="9"/>
      <c r="Q304" s="9"/>
      <c r="R304" s="9"/>
      <c r="T304" s="13"/>
      <c r="U304" s="14"/>
      <c r="V304" s="10"/>
      <c r="W304" s="10"/>
      <c r="X304" s="10"/>
      <c r="Y304" s="10"/>
      <c r="Z304" s="11"/>
      <c r="AA304" s="11"/>
      <c r="AB304" s="13"/>
      <c r="AC304" s="13"/>
    </row>
  </sheetData>
  <conditionalFormatting sqref="C5:C3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0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0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30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30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30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587A1-D7B2-43B1-96D2-25B9C20C0F7B}">
  <dimension ref="A1:AM17"/>
  <sheetViews>
    <sheetView workbookViewId="0">
      <pane ySplit="5" topLeftCell="A6" activePane="bottomLeft" state="frozenSplit"/>
      <selection pane="bottomLeft"/>
    </sheetView>
  </sheetViews>
  <sheetFormatPr defaultRowHeight="12.5" x14ac:dyDescent="0.25"/>
  <cols>
    <col min="1" max="2" width="10.6328125" customWidth="1"/>
    <col min="3" max="3" width="14.6328125" customWidth="1"/>
    <col min="4" max="5" width="10.6328125" customWidth="1"/>
    <col min="6" max="6" width="14.6328125" customWidth="1"/>
    <col min="7" max="7" width="10.6328125" customWidth="1"/>
    <col min="8" max="8" width="11.6328125" customWidth="1"/>
    <col min="9" max="11" width="10.6328125" customWidth="1"/>
    <col min="12" max="12" width="30.6328125" customWidth="1"/>
    <col min="13" max="13" width="22.6328125" customWidth="1"/>
    <col min="14" max="16" width="10.6328125" customWidth="1"/>
    <col min="17" max="17" width="30.6328125" customWidth="1"/>
    <col min="18" max="18" width="26.6328125" customWidth="1"/>
    <col min="19" max="19" width="14.6328125" customWidth="1"/>
    <col min="20" max="20" width="30.6328125" customWidth="1"/>
    <col min="21" max="28" width="10.6328125" customWidth="1"/>
    <col min="29" max="29" width="24.6328125" customWidth="1"/>
    <col min="30" max="33" width="10.6328125" customWidth="1"/>
    <col min="34" max="34" width="50.6328125" customWidth="1"/>
    <col min="35" max="38" width="10.6328125" customWidth="1"/>
    <col min="39" max="39" width="20.6328125" customWidth="1"/>
  </cols>
  <sheetData>
    <row r="1" spans="1:39" ht="28" customHeight="1" x14ac:dyDescent="0.4">
      <c r="A1" s="6" t="s">
        <v>59</v>
      </c>
      <c r="B1" s="5"/>
      <c r="C1" s="5"/>
      <c r="D1" s="5"/>
      <c r="E1" s="5"/>
      <c r="F1" s="5"/>
      <c r="G1" s="5"/>
      <c r="H1" s="5"/>
    </row>
    <row r="2" spans="1:39" ht="13" x14ac:dyDescent="0.3">
      <c r="A2" s="2" t="s">
        <v>60</v>
      </c>
      <c r="B2" s="1"/>
      <c r="C2" s="1"/>
      <c r="D2" s="1"/>
      <c r="E2" s="1"/>
      <c r="F2" s="1"/>
      <c r="G2" s="1"/>
      <c r="H2" s="1"/>
    </row>
    <row r="3" spans="1:39" ht="18" x14ac:dyDescent="0.4">
      <c r="A3" s="15" t="s">
        <v>61</v>
      </c>
      <c r="B3" s="16">
        <v>2040</v>
      </c>
      <c r="C3" s="17">
        <f>IF(B3="","",IFERROR(INDEX(_xlfn.ANCHORARRAY('Team Summary'!F5),MATCH(B3,_xlfn.ANCHORARRAY('Team Summary'!A5),0)),""))</f>
        <v>116.08333333333333</v>
      </c>
      <c r="D3" t="str">
        <f>IF(B3="","",IFERROR("Rank "&amp;INDEX(_xlfn.ANCHORARRAY('Team Summary'!R5),MATCH(B3,_xlfn.ANCHORARRAY('Team Summary'!A5),0))&amp;" of "&amp;ROWS(_xlfn.ANCHORARRAY('Team Summary'!A5)),"No scans yet"))</f>
        <v>Rank 4 of 31</v>
      </c>
    </row>
    <row r="5" spans="1:39" ht="42" customHeight="1" x14ac:dyDescent="0.25">
      <c r="A5" s="3" t="s">
        <v>0</v>
      </c>
      <c r="B5" s="3" t="s">
        <v>1</v>
      </c>
      <c r="C5" s="3" t="s">
        <v>2</v>
      </c>
      <c r="D5" s="3" t="s">
        <v>3</v>
      </c>
      <c r="E5" s="3" t="s">
        <v>4</v>
      </c>
      <c r="F5" s="3" t="s">
        <v>5</v>
      </c>
      <c r="G5" s="3" t="s">
        <v>6</v>
      </c>
      <c r="H5" s="3" t="s">
        <v>7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3" t="s">
        <v>13</v>
      </c>
      <c r="O5" s="3" t="s">
        <v>14</v>
      </c>
      <c r="P5" s="3" t="s">
        <v>15</v>
      </c>
      <c r="Q5" s="3" t="s">
        <v>16</v>
      </c>
      <c r="R5" s="3" t="s">
        <v>17</v>
      </c>
      <c r="S5" s="3" t="s">
        <v>18</v>
      </c>
      <c r="T5" s="3" t="s">
        <v>19</v>
      </c>
      <c r="U5" s="3" t="s">
        <v>20</v>
      </c>
      <c r="V5" s="3" t="s">
        <v>21</v>
      </c>
      <c r="W5" s="3" t="s">
        <v>22</v>
      </c>
      <c r="X5" s="3" t="s">
        <v>23</v>
      </c>
      <c r="Y5" s="3" t="s">
        <v>24</v>
      </c>
      <c r="Z5" s="3" t="s">
        <v>25</v>
      </c>
      <c r="AA5" s="3" t="s">
        <v>26</v>
      </c>
      <c r="AB5" s="3" t="s">
        <v>27</v>
      </c>
      <c r="AC5" s="3" t="s">
        <v>28</v>
      </c>
      <c r="AD5" s="3" t="s">
        <v>29</v>
      </c>
      <c r="AE5" s="3" t="s">
        <v>30</v>
      </c>
      <c r="AF5" s="3" t="s">
        <v>31</v>
      </c>
      <c r="AG5" s="3" t="s">
        <v>32</v>
      </c>
      <c r="AH5" s="3" t="s">
        <v>33</v>
      </c>
      <c r="AI5" s="3" t="s">
        <v>34</v>
      </c>
      <c r="AJ5" s="3" t="s">
        <v>35</v>
      </c>
      <c r="AK5" s="3" t="s">
        <v>36</v>
      </c>
      <c r="AL5" s="3" t="s">
        <v>37</v>
      </c>
      <c r="AM5" s="3" t="s">
        <v>38</v>
      </c>
    </row>
    <row r="6" spans="1:39" x14ac:dyDescent="0.25">
      <c r="A6" t="str" cm="1">
        <f t="array" ref="A6:AM17">IF(B3="","",IFERROR(_xlfn.SORTBY(_xlfn._xlws.FILTER(Scans[],Scans[Team '#]=B3),_xlfn._xlws.FILTER(Scans[Match '#],Scans[Team '#]=B3),1),"No scans for this team yet"))</f>
        <v>Qual</v>
      </c>
      <c r="B6">
        <v>1</v>
      </c>
      <c r="C6">
        <v>2040</v>
      </c>
      <c r="D6" t="str">
        <v>Blue</v>
      </c>
      <c r="E6">
        <v>2</v>
      </c>
      <c r="F6" t="str">
        <v>Ella</v>
      </c>
      <c r="G6" t="str">
        <v>Yes</v>
      </c>
      <c r="H6" t="str">
        <v>Left</v>
      </c>
      <c r="I6">
        <v>5</v>
      </c>
      <c r="J6">
        <v>26</v>
      </c>
      <c r="K6">
        <v>8</v>
      </c>
      <c r="L6" t="str">
        <v>Left start line; Went to Neutral Zone; Used Trench</v>
      </c>
      <c r="M6" t="str">
        <v>Neutral Zone</v>
      </c>
      <c r="N6" t="str">
        <v>None</v>
      </c>
      <c r="O6">
        <v>61</v>
      </c>
      <c r="P6">
        <v>18</v>
      </c>
      <c r="Q6" t="str">
        <v>Neutral Zone floor; Alliance Zone floor; Depot</v>
      </c>
      <c r="R6" t="str">
        <v>Close to Hub; Mid range; Long range; While moving</v>
      </c>
      <c r="S6" t="str">
        <v>Bump; Trench</v>
      </c>
      <c r="T6" t="str">
        <v>Collects / stockpiles; Passes fuel to our zone</v>
      </c>
      <c r="U6" t="str">
        <v>40+</v>
      </c>
      <c r="V6" t="str">
        <v>None</v>
      </c>
      <c r="W6" t="str">
        <v>No</v>
      </c>
      <c r="X6" t="str">
        <v>None</v>
      </c>
      <c r="Y6">
        <v>0</v>
      </c>
      <c r="Z6">
        <v>5</v>
      </c>
      <c r="AA6">
        <v>5</v>
      </c>
      <c r="AB6">
        <v>3</v>
      </c>
      <c r="AC6">
        <v>0</v>
      </c>
      <c r="AD6">
        <v>0</v>
      </c>
      <c r="AE6">
        <v>0</v>
      </c>
      <c r="AF6" t="str">
        <v>None</v>
      </c>
      <c r="AG6" t="str">
        <v>Yes</v>
      </c>
      <c r="AH6" t="str">
        <v>Consistent cycles; shoots well from long range</v>
      </c>
      <c r="AI6">
        <v>26</v>
      </c>
      <c r="AJ6">
        <v>61</v>
      </c>
      <c r="AK6">
        <v>0</v>
      </c>
      <c r="AL6">
        <v>87</v>
      </c>
      <c r="AM6" t="str">
        <v>3/20/2026, 9:04:04 AM</v>
      </c>
    </row>
    <row r="7" spans="1:39" x14ac:dyDescent="0.25">
      <c r="A7" t="str">
        <v>Qual</v>
      </c>
      <c r="B7">
        <v>7</v>
      </c>
      <c r="C7">
        <v>2040</v>
      </c>
      <c r="D7" t="str">
        <v>Red</v>
      </c>
      <c r="E7">
        <v>1</v>
      </c>
      <c r="F7" t="str">
        <v>Ava</v>
      </c>
      <c r="G7" t="str">
        <v>Yes</v>
      </c>
      <c r="H7" t="str">
        <v>Left</v>
      </c>
      <c r="I7">
        <v>5</v>
      </c>
      <c r="J7">
        <v>18</v>
      </c>
      <c r="K7">
        <v>4</v>
      </c>
      <c r="L7" t="str">
        <v>Left start line; Went to Neutral Zone; Used Trench</v>
      </c>
      <c r="M7" t="str">
        <v>Neutral Zone</v>
      </c>
      <c r="N7" t="str">
        <v>None</v>
      </c>
      <c r="O7">
        <v>127</v>
      </c>
      <c r="P7">
        <v>25</v>
      </c>
      <c r="Q7" t="str">
        <v>Neutral Zone floor; Alliance Zone floor; Depot</v>
      </c>
      <c r="R7" t="str">
        <v>Close to Hub; Mid range; Long range; While moving</v>
      </c>
      <c r="S7" t="str">
        <v>Bump; Trench</v>
      </c>
      <c r="T7" t="str">
        <v>Collects / stockpiles; Passes fuel to our zone</v>
      </c>
      <c r="U7" t="str">
        <v>40+</v>
      </c>
      <c r="V7" t="str">
        <v>None</v>
      </c>
      <c r="W7" t="str">
        <v>No</v>
      </c>
      <c r="X7" t="str">
        <v>None</v>
      </c>
      <c r="Y7">
        <v>0</v>
      </c>
      <c r="Z7">
        <v>4</v>
      </c>
      <c r="AA7">
        <v>5</v>
      </c>
      <c r="AB7">
        <v>5</v>
      </c>
      <c r="AC7">
        <v>0</v>
      </c>
      <c r="AD7">
        <v>0</v>
      </c>
      <c r="AE7">
        <v>0</v>
      </c>
      <c r="AF7" t="str">
        <v>None</v>
      </c>
      <c r="AG7" t="str">
        <v>Yes</v>
      </c>
      <c r="AH7" t="str">
        <v>High-volume scorer; shoots well from long range</v>
      </c>
      <c r="AI7">
        <v>18</v>
      </c>
      <c r="AJ7">
        <v>127</v>
      </c>
      <c r="AK7">
        <v>0</v>
      </c>
      <c r="AL7">
        <v>145</v>
      </c>
      <c r="AM7" t="str">
        <v>3/20/2026, 9:51:28 AM</v>
      </c>
    </row>
    <row r="8" spans="1:39" x14ac:dyDescent="0.25">
      <c r="A8" t="str">
        <v>Qual</v>
      </c>
      <c r="B8">
        <v>12</v>
      </c>
      <c r="C8">
        <v>2040</v>
      </c>
      <c r="D8" t="str">
        <v>Blue</v>
      </c>
      <c r="E8">
        <v>1</v>
      </c>
      <c r="F8" t="str">
        <v>Dev</v>
      </c>
      <c r="G8" t="str">
        <v>Yes</v>
      </c>
      <c r="H8" t="str">
        <v>Left</v>
      </c>
      <c r="I8">
        <v>5</v>
      </c>
      <c r="J8">
        <v>27</v>
      </c>
      <c r="K8">
        <v>9</v>
      </c>
      <c r="L8" t="str">
        <v>Left start line; Went to Neutral Zone; Used Trench</v>
      </c>
      <c r="M8" t="str">
        <v>Neutral Zone</v>
      </c>
      <c r="N8" t="str">
        <v>None</v>
      </c>
      <c r="O8">
        <v>111</v>
      </c>
      <c r="P8">
        <v>38</v>
      </c>
      <c r="Q8" t="str">
        <v>Neutral Zone floor; Alliance Zone floor; Depot</v>
      </c>
      <c r="R8" t="str">
        <v>Close to Hub; Mid range; Long range; While moving</v>
      </c>
      <c r="S8" t="str">
        <v>Bump; Trench</v>
      </c>
      <c r="T8" t="str">
        <v>Collects / stockpiles; Passes fuel to our zone</v>
      </c>
      <c r="U8" t="str">
        <v>40+</v>
      </c>
      <c r="V8" t="str">
        <v>None</v>
      </c>
      <c r="W8" t="str">
        <v>Some</v>
      </c>
      <c r="X8" t="str">
        <v>None</v>
      </c>
      <c r="Y8">
        <v>0</v>
      </c>
      <c r="Z8">
        <v>4</v>
      </c>
      <c r="AA8">
        <v>5</v>
      </c>
      <c r="AB8">
        <v>5</v>
      </c>
      <c r="AC8">
        <v>0</v>
      </c>
      <c r="AD8">
        <v>0</v>
      </c>
      <c r="AE8">
        <v>0</v>
      </c>
      <c r="AF8" t="str">
        <v>None</v>
      </c>
      <c r="AG8" t="str">
        <v>Yes</v>
      </c>
      <c r="AH8" t="str">
        <v>High-volume scorer; shoots well from long range</v>
      </c>
      <c r="AI8">
        <v>27</v>
      </c>
      <c r="AJ8">
        <v>111</v>
      </c>
      <c r="AK8">
        <v>0</v>
      </c>
      <c r="AL8">
        <v>138</v>
      </c>
      <c r="AM8" t="str">
        <v>3/20/2026, 10:32:17 AM</v>
      </c>
    </row>
    <row r="9" spans="1:39" x14ac:dyDescent="0.25">
      <c r="A9" t="str">
        <v>Qual</v>
      </c>
      <c r="B9">
        <v>18</v>
      </c>
      <c r="C9">
        <v>2040</v>
      </c>
      <c r="D9" t="str">
        <v>Blue</v>
      </c>
      <c r="E9">
        <v>2</v>
      </c>
      <c r="F9" t="str">
        <v>Ella</v>
      </c>
      <c r="G9" t="str">
        <v>Yes</v>
      </c>
      <c r="H9" t="str">
        <v>Left</v>
      </c>
      <c r="I9">
        <v>5</v>
      </c>
      <c r="J9">
        <v>35</v>
      </c>
      <c r="K9">
        <v>11</v>
      </c>
      <c r="L9" t="str">
        <v>Left start line; Went to Neutral Zone; Used Trench</v>
      </c>
      <c r="M9" t="str">
        <v>Neutral Zone</v>
      </c>
      <c r="N9" t="str">
        <v>None</v>
      </c>
      <c r="O9">
        <v>84</v>
      </c>
      <c r="P9">
        <v>27</v>
      </c>
      <c r="Q9" t="str">
        <v>Neutral Zone floor; Alliance Zone floor; Depot</v>
      </c>
      <c r="R9" t="str">
        <v>Close to Hub; Mid range; Long range; While moving</v>
      </c>
      <c r="S9" t="str">
        <v>Bump; Trench</v>
      </c>
      <c r="T9" t="str">
        <v>Collects / stockpiles; Passes fuel to our zone</v>
      </c>
      <c r="U9" t="str">
        <v>40+</v>
      </c>
      <c r="V9" t="str">
        <v>None</v>
      </c>
      <c r="W9" t="str">
        <v>No</v>
      </c>
      <c r="X9" t="str">
        <v>None</v>
      </c>
      <c r="Y9">
        <v>0</v>
      </c>
      <c r="Z9">
        <v>4</v>
      </c>
      <c r="AA9">
        <v>4</v>
      </c>
      <c r="AB9">
        <v>3</v>
      </c>
      <c r="AC9">
        <v>0</v>
      </c>
      <c r="AD9">
        <v>0</v>
      </c>
      <c r="AE9">
        <v>0</v>
      </c>
      <c r="AF9" t="str">
        <v>None</v>
      </c>
      <c r="AG9" t="str">
        <v>Yes</v>
      </c>
      <c r="AH9" t="str">
        <v>Consistent cycles</v>
      </c>
      <c r="AI9">
        <v>35</v>
      </c>
      <c r="AJ9">
        <v>84</v>
      </c>
      <c r="AK9">
        <v>0</v>
      </c>
      <c r="AL9">
        <v>119</v>
      </c>
      <c r="AM9" t="str">
        <v>3/20/2026, 11:19:42 AM</v>
      </c>
    </row>
    <row r="10" spans="1:39" x14ac:dyDescent="0.25">
      <c r="A10" t="str">
        <v>Qual</v>
      </c>
      <c r="B10">
        <v>23</v>
      </c>
      <c r="C10">
        <v>2040</v>
      </c>
      <c r="D10" t="str">
        <v>Blue</v>
      </c>
      <c r="E10">
        <v>3</v>
      </c>
      <c r="F10" t="str">
        <v>Finn</v>
      </c>
      <c r="G10" t="str">
        <v>Yes</v>
      </c>
      <c r="H10" t="str">
        <v>Left</v>
      </c>
      <c r="I10">
        <v>5</v>
      </c>
      <c r="J10">
        <v>6</v>
      </c>
      <c r="K10">
        <v>1</v>
      </c>
      <c r="L10" t="str">
        <v>Left start line; Went to Neutral Zone; Used Trench</v>
      </c>
      <c r="M10" t="str">
        <v>Neutral Zone</v>
      </c>
      <c r="N10" t="str">
        <v>None</v>
      </c>
      <c r="O10">
        <v>51</v>
      </c>
      <c r="P10">
        <v>8</v>
      </c>
      <c r="Q10" t="str">
        <v>Neutral Zone floor; Alliance Zone floor; Depot</v>
      </c>
      <c r="R10" t="str">
        <v>Close to Hub; Mid range; Long range; While moving</v>
      </c>
      <c r="S10" t="str">
        <v>Bump; Trench</v>
      </c>
      <c r="T10" t="str">
        <v>Collects / stockpiles; Passes fuel to our zone</v>
      </c>
      <c r="U10" t="str">
        <v>40+</v>
      </c>
      <c r="V10" t="str">
        <v>None</v>
      </c>
      <c r="W10" t="str">
        <v>Heavily</v>
      </c>
      <c r="X10" t="str">
        <v>None</v>
      </c>
      <c r="Y10">
        <v>0</v>
      </c>
      <c r="Z10">
        <v>4</v>
      </c>
      <c r="AA10">
        <v>5</v>
      </c>
      <c r="AB10">
        <v>5</v>
      </c>
      <c r="AC10">
        <v>0</v>
      </c>
      <c r="AD10">
        <v>0</v>
      </c>
      <c r="AE10">
        <v>0</v>
      </c>
      <c r="AF10" t="str">
        <v>None</v>
      </c>
      <c r="AG10" t="str">
        <v>Yes</v>
      </c>
      <c r="AH10" t="str">
        <v>Consistent cycles</v>
      </c>
      <c r="AI10">
        <v>6</v>
      </c>
      <c r="AJ10">
        <v>51</v>
      </c>
      <c r="AK10">
        <v>0</v>
      </c>
      <c r="AL10">
        <v>57</v>
      </c>
      <c r="AM10" t="str">
        <v>3/20/2026, 1:01:09 PM</v>
      </c>
    </row>
    <row r="11" spans="1:39" x14ac:dyDescent="0.25">
      <c r="A11" t="str">
        <v>Qual</v>
      </c>
      <c r="B11">
        <v>28</v>
      </c>
      <c r="C11">
        <v>2040</v>
      </c>
      <c r="D11" t="str">
        <v>Blue</v>
      </c>
      <c r="E11">
        <v>2</v>
      </c>
      <c r="F11" t="str">
        <v>Ella</v>
      </c>
      <c r="G11" t="str">
        <v>Yes</v>
      </c>
      <c r="H11" t="str">
        <v>Left</v>
      </c>
      <c r="I11">
        <v>5</v>
      </c>
      <c r="J11">
        <v>28</v>
      </c>
      <c r="K11">
        <v>7</v>
      </c>
      <c r="L11" t="str">
        <v>Left start line; Went to Neutral Zone; Used Trench</v>
      </c>
      <c r="M11" t="str">
        <v>Neutral Zone</v>
      </c>
      <c r="N11" t="str">
        <v>None</v>
      </c>
      <c r="O11">
        <v>118</v>
      </c>
      <c r="P11">
        <v>30</v>
      </c>
      <c r="Q11" t="str">
        <v>Neutral Zone floor; Alliance Zone floor; Depot</v>
      </c>
      <c r="R11" t="str">
        <v>Close to Hub; Mid range; Long range; While moving</v>
      </c>
      <c r="S11" t="str">
        <v>Bump; Trench</v>
      </c>
      <c r="T11" t="str">
        <v>Collects / stockpiles; Passes fuel to our zone</v>
      </c>
      <c r="U11" t="str">
        <v>40+</v>
      </c>
      <c r="V11" t="str">
        <v>None</v>
      </c>
      <c r="W11" t="str">
        <v>Some</v>
      </c>
      <c r="X11" t="str">
        <v>None</v>
      </c>
      <c r="Y11">
        <v>0</v>
      </c>
      <c r="Z11">
        <v>5</v>
      </c>
      <c r="AA11">
        <v>4</v>
      </c>
      <c r="AB11">
        <v>5</v>
      </c>
      <c r="AC11">
        <v>0</v>
      </c>
      <c r="AD11">
        <v>0</v>
      </c>
      <c r="AE11">
        <v>0</v>
      </c>
      <c r="AF11" t="str">
        <v>None</v>
      </c>
      <c r="AG11" t="str">
        <v>Yes</v>
      </c>
      <c r="AH11" t="str">
        <v>High-volume scorer</v>
      </c>
      <c r="AI11">
        <v>28</v>
      </c>
      <c r="AJ11">
        <v>118</v>
      </c>
      <c r="AK11">
        <v>0</v>
      </c>
      <c r="AL11">
        <v>146</v>
      </c>
      <c r="AM11" t="str">
        <v>3/20/2026, 1:39:40 PM</v>
      </c>
    </row>
    <row r="12" spans="1:39" x14ac:dyDescent="0.25">
      <c r="A12" t="str">
        <v>Qual</v>
      </c>
      <c r="B12">
        <v>34</v>
      </c>
      <c r="C12">
        <v>2040</v>
      </c>
      <c r="D12" t="str">
        <v>Red</v>
      </c>
      <c r="E12">
        <v>1</v>
      </c>
      <c r="F12" t="str">
        <v>Grace</v>
      </c>
      <c r="G12" t="str">
        <v>Yes</v>
      </c>
      <c r="H12" t="str">
        <v>Left</v>
      </c>
      <c r="I12">
        <v>5</v>
      </c>
      <c r="J12">
        <v>20</v>
      </c>
      <c r="K12">
        <v>5</v>
      </c>
      <c r="L12" t="str">
        <v>Left start line; Went to Neutral Zone; Crossed Bump</v>
      </c>
      <c r="M12" t="str">
        <v>Neutral Zone</v>
      </c>
      <c r="N12" t="str">
        <v>None</v>
      </c>
      <c r="O12">
        <v>72</v>
      </c>
      <c r="P12">
        <v>16</v>
      </c>
      <c r="Q12" t="str">
        <v>Neutral Zone floor; Alliance Zone floor; Depot</v>
      </c>
      <c r="R12" t="str">
        <v>Close to Hub; Mid range; Long range; While moving</v>
      </c>
      <c r="S12" t="str">
        <v>Bump; Trench</v>
      </c>
      <c r="T12" t="str">
        <v>Collects / stockpiles; Passes fuel to our zone</v>
      </c>
      <c r="U12" t="str">
        <v>40+</v>
      </c>
      <c r="V12" t="str">
        <v>None</v>
      </c>
      <c r="W12" t="str">
        <v>Some</v>
      </c>
      <c r="X12" t="str">
        <v>None</v>
      </c>
      <c r="Y12">
        <v>0</v>
      </c>
      <c r="Z12">
        <v>5</v>
      </c>
      <c r="AA12">
        <v>4</v>
      </c>
      <c r="AB12">
        <v>4</v>
      </c>
      <c r="AC12">
        <v>0</v>
      </c>
      <c r="AD12">
        <v>0</v>
      </c>
      <c r="AE12">
        <v>0</v>
      </c>
      <c r="AF12" t="str">
        <v>None</v>
      </c>
      <c r="AG12" t="str">
        <v>Yes</v>
      </c>
      <c r="AH12" t="str">
        <v>Consistent cycles</v>
      </c>
      <c r="AI12">
        <v>20</v>
      </c>
      <c r="AJ12">
        <v>72</v>
      </c>
      <c r="AK12">
        <v>0</v>
      </c>
      <c r="AL12">
        <v>92</v>
      </c>
      <c r="AM12" t="str">
        <v>3/20/2026, 2:27:37 PM</v>
      </c>
    </row>
    <row r="13" spans="1:39" x14ac:dyDescent="0.25">
      <c r="A13" t="str">
        <v>Qual</v>
      </c>
      <c r="B13">
        <v>37</v>
      </c>
      <c r="C13">
        <v>2040</v>
      </c>
      <c r="D13" t="str">
        <v>Red</v>
      </c>
      <c r="E13">
        <v>1</v>
      </c>
      <c r="F13" t="str">
        <v>Grace</v>
      </c>
      <c r="G13" t="str">
        <v>Yes</v>
      </c>
      <c r="H13" t="str">
        <v>Left</v>
      </c>
      <c r="I13">
        <v>5</v>
      </c>
      <c r="J13">
        <v>23</v>
      </c>
      <c r="K13">
        <v>7</v>
      </c>
      <c r="L13" t="str">
        <v>Left start line; Went to Neutral Zone; Used Trench</v>
      </c>
      <c r="M13" t="str">
        <v>Depot</v>
      </c>
      <c r="N13" t="str">
        <v>None</v>
      </c>
      <c r="O13">
        <v>126</v>
      </c>
      <c r="P13">
        <v>38</v>
      </c>
      <c r="Q13" t="str">
        <v>Neutral Zone floor; Alliance Zone floor; Depot</v>
      </c>
      <c r="R13" t="str">
        <v>Close to Hub; Mid range; Long range; While moving</v>
      </c>
      <c r="S13" t="str">
        <v>Bump; Trench</v>
      </c>
      <c r="T13" t="str">
        <v>Collects / stockpiles; Passes fuel to our zone</v>
      </c>
      <c r="U13" t="str">
        <v>40+</v>
      </c>
      <c r="V13" t="str">
        <v>None</v>
      </c>
      <c r="W13" t="str">
        <v>Some</v>
      </c>
      <c r="X13" t="str">
        <v>None</v>
      </c>
      <c r="Y13">
        <v>0</v>
      </c>
      <c r="Z13">
        <v>4</v>
      </c>
      <c r="AA13">
        <v>5</v>
      </c>
      <c r="AB13">
        <v>4</v>
      </c>
      <c r="AC13">
        <v>0</v>
      </c>
      <c r="AD13">
        <v>0</v>
      </c>
      <c r="AE13">
        <v>0</v>
      </c>
      <c r="AF13" t="str">
        <v>None</v>
      </c>
      <c r="AG13" t="str">
        <v>Yes</v>
      </c>
      <c r="AH13" t="str">
        <v>High-volume scorer; fed fuel to partners during inactive shift</v>
      </c>
      <c r="AI13">
        <v>23</v>
      </c>
      <c r="AJ13">
        <v>126</v>
      </c>
      <c r="AK13">
        <v>0</v>
      </c>
      <c r="AL13">
        <v>149</v>
      </c>
      <c r="AM13" t="str">
        <v>3/20/2026, 2:51:55 PM</v>
      </c>
    </row>
    <row r="14" spans="1:39" x14ac:dyDescent="0.25">
      <c r="A14" t="str">
        <v>Qual</v>
      </c>
      <c r="B14">
        <v>44</v>
      </c>
      <c r="C14">
        <v>2040</v>
      </c>
      <c r="D14" t="str">
        <v>Blue</v>
      </c>
      <c r="E14">
        <v>3</v>
      </c>
      <c r="F14" t="str">
        <v>Lily</v>
      </c>
      <c r="G14" t="str">
        <v>Yes</v>
      </c>
      <c r="H14" t="str">
        <v>Left</v>
      </c>
      <c r="I14">
        <v>5</v>
      </c>
      <c r="J14">
        <v>19</v>
      </c>
      <c r="K14">
        <v>4</v>
      </c>
      <c r="L14" t="str">
        <v>Left start line; Went to Neutral Zone; Used Trench</v>
      </c>
      <c r="M14" t="str">
        <v>Neutral Zone</v>
      </c>
      <c r="N14" t="str">
        <v>None</v>
      </c>
      <c r="O14">
        <v>105</v>
      </c>
      <c r="P14">
        <v>25</v>
      </c>
      <c r="Q14" t="str">
        <v>Neutral Zone floor; Alliance Zone floor; Depot</v>
      </c>
      <c r="R14" t="str">
        <v>Close to Hub; Mid range; Long range; While moving</v>
      </c>
      <c r="S14" t="str">
        <v>Bump; Trench</v>
      </c>
      <c r="T14" t="str">
        <v>Collects / stockpiles; Passes fuel to our zone</v>
      </c>
      <c r="U14" t="str">
        <v>40+</v>
      </c>
      <c r="V14" t="str">
        <v>None</v>
      </c>
      <c r="W14" t="str">
        <v>No</v>
      </c>
      <c r="X14" t="str">
        <v>None</v>
      </c>
      <c r="Y14">
        <v>0</v>
      </c>
      <c r="Z14">
        <v>5</v>
      </c>
      <c r="AA14">
        <v>4</v>
      </c>
      <c r="AB14">
        <v>4</v>
      </c>
      <c r="AC14">
        <v>0</v>
      </c>
      <c r="AD14">
        <v>0</v>
      </c>
      <c r="AE14">
        <v>0</v>
      </c>
      <c r="AF14" t="str">
        <v>None</v>
      </c>
      <c r="AG14" t="str">
        <v>Yes</v>
      </c>
      <c r="AH14" t="str">
        <v>High-volume scorer; fed fuel to partners during inactive shift</v>
      </c>
      <c r="AI14">
        <v>19</v>
      </c>
      <c r="AJ14">
        <v>105</v>
      </c>
      <c r="AK14">
        <v>0</v>
      </c>
      <c r="AL14">
        <v>124</v>
      </c>
      <c r="AM14" t="str">
        <v>3/21/2026, 9:28:41 AM</v>
      </c>
    </row>
    <row r="15" spans="1:39" x14ac:dyDescent="0.25">
      <c r="A15" t="str">
        <v>Qual</v>
      </c>
      <c r="B15">
        <v>49</v>
      </c>
      <c r="C15">
        <v>2040</v>
      </c>
      <c r="D15" t="str">
        <v>Blue</v>
      </c>
      <c r="E15">
        <v>2</v>
      </c>
      <c r="F15" t="str">
        <v>Kai</v>
      </c>
      <c r="G15" t="str">
        <v>Yes</v>
      </c>
      <c r="H15" t="str">
        <v>Left</v>
      </c>
      <c r="I15">
        <v>5</v>
      </c>
      <c r="J15">
        <v>29</v>
      </c>
      <c r="K15">
        <v>9</v>
      </c>
      <c r="L15" t="str">
        <v>Left start line; Went to Neutral Zone; Crossed Bump</v>
      </c>
      <c r="M15" t="str">
        <v>Neutral Zone</v>
      </c>
      <c r="N15" t="str">
        <v>None</v>
      </c>
      <c r="O15">
        <v>92</v>
      </c>
      <c r="P15">
        <v>29</v>
      </c>
      <c r="Q15" t="str">
        <v>Neutral Zone floor; Alliance Zone floor; Depot</v>
      </c>
      <c r="R15" t="str">
        <v>Close to Hub; Mid range; Long range; While moving</v>
      </c>
      <c r="S15" t="str">
        <v>Bump; Trench</v>
      </c>
      <c r="T15" t="str">
        <v>Collects / stockpiles; Passes fuel to our zone</v>
      </c>
      <c r="U15" t="str">
        <v>40+</v>
      </c>
      <c r="V15" t="str">
        <v>None</v>
      </c>
      <c r="W15" t="str">
        <v>No</v>
      </c>
      <c r="X15" t="str">
        <v>None</v>
      </c>
      <c r="Y15">
        <v>0</v>
      </c>
      <c r="Z15">
        <v>5</v>
      </c>
      <c r="AA15">
        <v>5</v>
      </c>
      <c r="AB15">
        <v>3</v>
      </c>
      <c r="AC15" t="str">
        <v>Fuel jam</v>
      </c>
      <c r="AD15">
        <v>1</v>
      </c>
      <c r="AE15">
        <v>0</v>
      </c>
      <c r="AF15" t="str">
        <v>None</v>
      </c>
      <c r="AG15" t="str">
        <v>Yes</v>
      </c>
      <c r="AH15" t="str">
        <v>High-volume scorer; shoots well from long range; fed fuel to partners during inactive shift</v>
      </c>
      <c r="AI15">
        <v>29</v>
      </c>
      <c r="AJ15">
        <v>92</v>
      </c>
      <c r="AK15">
        <v>0</v>
      </c>
      <c r="AL15">
        <v>121</v>
      </c>
      <c r="AM15" t="str">
        <v>3/21/2026, 10:07:39 AM</v>
      </c>
    </row>
    <row r="16" spans="1:39" x14ac:dyDescent="0.25">
      <c r="A16" t="str">
        <v>Qual</v>
      </c>
      <c r="B16">
        <v>52</v>
      </c>
      <c r="C16">
        <v>2040</v>
      </c>
      <c r="D16" t="str">
        <v>Red</v>
      </c>
      <c r="E16">
        <v>3</v>
      </c>
      <c r="F16" t="str">
        <v>Isla</v>
      </c>
      <c r="G16" t="str">
        <v>Yes</v>
      </c>
      <c r="H16" t="str">
        <v>Left</v>
      </c>
      <c r="I16">
        <v>5</v>
      </c>
      <c r="J16">
        <v>23</v>
      </c>
      <c r="K16">
        <v>6</v>
      </c>
      <c r="L16" t="str">
        <v>Left start line; Went to Neutral Zone; Used Trench</v>
      </c>
      <c r="M16" t="str">
        <v>Depot</v>
      </c>
      <c r="N16" t="str">
        <v>None</v>
      </c>
      <c r="O16">
        <v>68</v>
      </c>
      <c r="P16">
        <v>18</v>
      </c>
      <c r="Q16" t="str">
        <v>Neutral Zone floor; Alliance Zone floor; Depot</v>
      </c>
      <c r="R16" t="str">
        <v>Close to Hub; Mid range; Long range; While moving</v>
      </c>
      <c r="S16" t="str">
        <v>Bump; Trench</v>
      </c>
      <c r="T16" t="str">
        <v>Collects / stockpiles; Passes fuel to our zone</v>
      </c>
      <c r="U16" t="str">
        <v>40+</v>
      </c>
      <c r="V16" t="str">
        <v>None</v>
      </c>
      <c r="W16" t="str">
        <v>No</v>
      </c>
      <c r="X16" t="str">
        <v>None</v>
      </c>
      <c r="Y16">
        <v>0</v>
      </c>
      <c r="Z16">
        <v>5</v>
      </c>
      <c r="AA16">
        <v>5</v>
      </c>
      <c r="AB16">
        <v>4</v>
      </c>
      <c r="AC16">
        <v>0</v>
      </c>
      <c r="AD16">
        <v>0</v>
      </c>
      <c r="AE16">
        <v>0</v>
      </c>
      <c r="AF16" t="str">
        <v>None</v>
      </c>
      <c r="AG16" t="str">
        <v>Yes</v>
      </c>
      <c r="AH16" t="str">
        <v>Consistent cycles</v>
      </c>
      <c r="AI16">
        <v>23</v>
      </c>
      <c r="AJ16">
        <v>68</v>
      </c>
      <c r="AK16">
        <v>0</v>
      </c>
      <c r="AL16">
        <v>91</v>
      </c>
      <c r="AM16" t="str">
        <v>3/21/2026, 10:33:13 AM</v>
      </c>
    </row>
    <row r="17" spans="1:39" x14ac:dyDescent="0.25">
      <c r="A17" t="str">
        <v>Qual</v>
      </c>
      <c r="B17">
        <v>58</v>
      </c>
      <c r="C17">
        <v>2040</v>
      </c>
      <c r="D17" t="str">
        <v>Red</v>
      </c>
      <c r="E17">
        <v>3</v>
      </c>
      <c r="F17" t="str">
        <v>Isla</v>
      </c>
      <c r="G17" t="str">
        <v>Yes</v>
      </c>
      <c r="H17" t="str">
        <v>Left</v>
      </c>
      <c r="I17">
        <v>5</v>
      </c>
      <c r="J17">
        <v>27</v>
      </c>
      <c r="K17">
        <v>7</v>
      </c>
      <c r="L17" t="str">
        <v>Left start line; Went to Neutral Zone; Used Trench</v>
      </c>
      <c r="M17" t="str">
        <v>Depot</v>
      </c>
      <c r="N17" t="str">
        <v>None</v>
      </c>
      <c r="O17">
        <v>97</v>
      </c>
      <c r="P17">
        <v>27</v>
      </c>
      <c r="Q17" t="str">
        <v>Neutral Zone floor; Alliance Zone floor; Depot</v>
      </c>
      <c r="R17" t="str">
        <v>Close to Hub; Mid range; Long range; While moving</v>
      </c>
      <c r="S17" t="str">
        <v>Bump; Trench</v>
      </c>
      <c r="T17" t="str">
        <v>Collects / stockpiles; Passes fuel to our zone</v>
      </c>
      <c r="U17" t="str">
        <v>40+</v>
      </c>
      <c r="V17" t="str">
        <v>None</v>
      </c>
      <c r="W17" t="str">
        <v>No</v>
      </c>
      <c r="X17" t="str">
        <v>None</v>
      </c>
      <c r="Y17">
        <v>0</v>
      </c>
      <c r="Z17">
        <v>4</v>
      </c>
      <c r="AA17">
        <v>5</v>
      </c>
      <c r="AB17">
        <v>4</v>
      </c>
      <c r="AC17">
        <v>0</v>
      </c>
      <c r="AD17">
        <v>0</v>
      </c>
      <c r="AE17">
        <v>0</v>
      </c>
      <c r="AF17" t="str">
        <v>None</v>
      </c>
      <c r="AG17" t="str">
        <v>Yes</v>
      </c>
      <c r="AH17" t="str">
        <v>High-volume scorer</v>
      </c>
      <c r="AI17">
        <v>27</v>
      </c>
      <c r="AJ17">
        <v>97</v>
      </c>
      <c r="AK17">
        <v>0</v>
      </c>
      <c r="AL17">
        <v>124</v>
      </c>
      <c r="AM17" t="str">
        <v>3/21/2026, 11:20:46 AM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Scans</vt:lpstr>
      <vt:lpstr>Team Summary</vt:lpstr>
      <vt:lpstr>Team 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Dahlin</dc:creator>
  <cp:lastModifiedBy>Johan Dahlin</cp:lastModifiedBy>
  <dcterms:created xsi:type="dcterms:W3CDTF">2026-10-06T18:35:10Z</dcterms:created>
  <dcterms:modified xsi:type="dcterms:W3CDTF">2026-10-08T22:48:53Z</dcterms:modified>
</cp:coreProperties>
</file>