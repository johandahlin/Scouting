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D Projects\DERT\Scoutning\"/>
    </mc:Choice>
  </mc:AlternateContent>
  <xr:revisionPtr revIDLastSave="0" documentId="13_ncr:1_{CCFC0F34-FA4D-4A4F-AF0B-01125D67C914}" xr6:coauthVersionLast="47" xr6:coauthVersionMax="47" xr10:uidLastSave="{00000000-0000-0000-0000-000000000000}"/>
  <bookViews>
    <workbookView xWindow="29970" yWindow="1170" windowWidth="38700" windowHeight="15345" activeTab="2" xr2:uid="{0317ACFA-4569-471D-88FF-E0AB95375DE2}"/>
  </bookViews>
  <sheets>
    <sheet name="Instructions" sheetId="1" r:id="rId1"/>
    <sheet name="Scans" sheetId="2" r:id="rId2"/>
    <sheet name="Team Summary" sheetId="3" r:id="rId3"/>
    <sheet name="Team Lookup" sheetId="4" r:id="rId4"/>
    <sheet name="Scouting Check" sheetId="5" r:id="rId5"/>
    <sheet name="TBA Schedule" sheetId="6" r:id="rId6"/>
    <sheet name="TBA Team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B5" i="5" l="1"/>
  <c r="A6" i="4" a="1"/>
  <c r="A5" i="3" a="1"/>
  <c r="R5" i="7" a="1"/>
  <c r="E3" i="4" s="1" a="1"/>
  <c r="R5" i="6" a="1"/>
  <c r="P5" i="3" l="1" a="1"/>
  <c r="N5" i="3" a="1"/>
  <c r="L5" i="3" a="1"/>
  <c r="F5" i="3" a="1"/>
  <c r="C3" i="4" s="1"/>
  <c r="D5" i="3" a="1"/>
  <c r="B5" i="3" a="1"/>
  <c r="Q5" i="3" a="1"/>
  <c r="E5" i="3" a="1"/>
  <c r="O5" i="3" a="1"/>
  <c r="M5" i="3" a="1"/>
  <c r="K5" i="3" a="1"/>
  <c r="G5" i="3" a="1"/>
  <c r="C5" i="3" a="1"/>
  <c r="H5" i="3" a="1"/>
  <c r="T5" i="3" a="1"/>
  <c r="B13" i="5"/>
  <c r="B10" i="5"/>
  <c r="B12" i="5"/>
  <c r="A17" i="5" a="1"/>
  <c r="B8" i="5" l="1"/>
  <c r="B11" i="5"/>
  <c r="B9" i="5"/>
  <c r="R5" i="3" a="1"/>
  <c r="D3" i="4" s="1"/>
  <c r="I5" i="3" a="1"/>
  <c r="J5" i="3" a="1"/>
  <c r="U5" i="3" s="1" a="1"/>
  <c r="B6" i="5"/>
  <c r="B7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<sst xmlns="http://schemas.openxmlformats.org/spreadsheetml/2006/main" count="8177" uniqueCount="1137">
  <si>
    <t>DERT #2040 - TBA Schedule</t>
  </si>
  <si>
    <t>Paste TBA's Flat Schedule here so the Scouting Check can find unscouted robots, team-number typos and wrong alliances.</t>
  </si>
  <si>
    <t>Paste the Flat Schedule here: click the yellow cell, then press Ctrl+V</t>
  </si>
  <si>
    <t>HOW TO GET THE SCHEDULE</t>
  </si>
  <si>
    <t>1. On thebluealliance.com open your event (for example thebluealliance.com/event/2026iltrr) and click the Scouting tab.</t>
  </si>
  <si>
    <t>2. Under Flat Schedule, click Copy to Clipboard.</t>
  </si>
  <si>
    <t>3. Click the yellow cell A5 on this sheet and press Ctrl+V.</t>
  </si>
  <si>
    <t>4. Done: the Scouting Check sheet now compares every scan with the schedule.</t>
  </si>
  <si>
    <t>Paste again (over the old one) if the schedule changes. TBA usually has it the day before quals.</t>
  </si>
  <si>
    <t>To remove it: select columns A to H from row 5 down and press Delete.</t>
  </si>
  <si>
    <t>Read from the paste (don't type here)</t>
  </si>
  <si>
    <t>Match #</t>
  </si>
  <si>
    <t>Alliance</t>
  </si>
  <si>
    <t>Team #</t>
  </si>
  <si>
    <t>DERT #2040 - TBA Teams</t>
  </si>
  <si>
    <t>Paste TBA's Team List here so the Scouting Check can spot team numbers that aren't at this event, and Team Lookup can show names.</t>
  </si>
  <si>
    <t>Paste the Team List here: click the yellow cell, then press Ctrl+V</t>
  </si>
  <si>
    <t>HOW TO GET THE TEAM LIST</t>
  </si>
  <si>
    <t>2. Under Team List, click Copy to Clipboard.</t>
  </si>
  <si>
    <t>TBA usually has the team list a week or two before the event. Paste again (over the old one) if teams are added.</t>
  </si>
  <si>
    <t>To remove it: select columns A to F from row 5 down and press Delete.</t>
  </si>
  <si>
    <t>Name</t>
  </si>
  <si>
    <t>Schema</t>
  </si>
  <si>
    <t>Match type</t>
  </si>
  <si>
    <t>Station</t>
  </si>
  <si>
    <t>Scout name</t>
  </si>
  <si>
    <t>Robot on field?</t>
  </si>
  <si>
    <t>Starting position</t>
  </si>
  <si>
    <t>Fuel preloaded</t>
  </si>
  <si>
    <t>Auto fuel scored</t>
  </si>
  <si>
    <t>Auto fuel missed</t>
  </si>
  <si>
    <t>Auto path</t>
  </si>
  <si>
    <t>Picked up fuel from</t>
  </si>
  <si>
    <t>Tower climb in auto</t>
  </si>
  <si>
    <t>Teleop fuel scored</t>
  </si>
  <si>
    <t>Teleop fuel missed</t>
  </si>
  <si>
    <t>Intake from</t>
  </si>
  <si>
    <t>Shoots from</t>
  </si>
  <si>
    <t>Drives over / through</t>
  </si>
  <si>
    <t>Inactive Hub behavior</t>
  </si>
  <si>
    <t>Fuel it can carry</t>
  </si>
  <si>
    <t>Played defense</t>
  </si>
  <si>
    <t>Was defended</t>
  </si>
  <si>
    <t>Tower climb</t>
  </si>
  <si>
    <t>Climb time</t>
  </si>
  <si>
    <t>Driver skill</t>
  </si>
  <si>
    <t>Robot speed</t>
  </si>
  <si>
    <t>Shooting accuracy</t>
  </si>
  <si>
    <t>Problems</t>
  </si>
  <si>
    <t>Minor fouls</t>
  </si>
  <si>
    <t>Major fouls</t>
  </si>
  <si>
    <t>Card</t>
  </si>
  <si>
    <t>Pick?</t>
  </si>
  <si>
    <t>Observations</t>
  </si>
  <si>
    <t>Auto pts</t>
  </si>
  <si>
    <t>Teleop fuel pts</t>
  </si>
  <si>
    <t>Climb pts</t>
  </si>
  <si>
    <t>Total pts</t>
  </si>
  <si>
    <t>Submitted</t>
  </si>
  <si>
    <t>DERT #2040 - REBUILT Team Summary</t>
  </si>
  <si>
    <t>Updates automatically from the Scans sheet. One row per team, sorted by team number. Rank 1 = highest average total points.</t>
  </si>
  <si>
    <t>Matches</t>
  </si>
  <si>
    <t>Avg auto pts</t>
  </si>
  <si>
    <t>Avg teleop fuel</t>
  </si>
  <si>
    <t>Avg climb pts</t>
  </si>
  <si>
    <t>Avg total pts</t>
  </si>
  <si>
    <t>Best total</t>
  </si>
  <si>
    <t>Shot accuracy</t>
  </si>
  <si>
    <t>Auto climb rate</t>
  </si>
  <si>
    <t>Endgame climb rate</t>
  </si>
  <si>
    <t>Level 3 climbs</t>
  </si>
  <si>
    <t>Avg driver skill</t>
  </si>
  <si>
    <t>Defense matches</t>
  </si>
  <si>
    <t>Matches w/ problems</t>
  </si>
  <si>
    <t>Total fouls</t>
  </si>
  <si>
    <t>Pick: Yes votes</t>
  </si>
  <si>
    <t>No-shows</t>
  </si>
  <si>
    <t>Rank</t>
  </si>
  <si>
    <t>PICK LIST - sorted by average total points</t>
  </si>
  <si>
    <t>DERT #2040 - Team Lookup</t>
  </si>
  <si>
    <t>Type a team number in the yellow cell to see every scan of that team (including observations).</t>
  </si>
  <si>
    <t>Team #:</t>
  </si>
  <si>
    <t>DERT #2040 - Scouting Check</t>
  </si>
  <si>
    <t>Problems to fix in the Scans sheet. Updates by itself; paste TBA's team list and schedule (TBA Teams / TBA Schedule sheets) for the full check.</t>
  </si>
  <si>
    <t>Check</t>
  </si>
  <si>
    <t>Found</t>
  </si>
  <si>
    <t>What to do</t>
  </si>
  <si>
    <t>PROBLEMS TO FIX</t>
  </si>
  <si>
    <t>Problem</t>
  </si>
  <si>
    <t>Excel row</t>
  </si>
  <si>
    <t>Scout</t>
  </si>
  <si>
    <t>What it means</t>
  </si>
  <si>
    <t>Scans</t>
  </si>
  <si>
    <t>Duplicate scans (rows)</t>
  </si>
  <si>
    <t>Same match + team scanned more than once: delete the extra row on the Scans sheet.</t>
  </si>
  <si>
    <t>Matches without 6 scans</t>
  </si>
  <si>
    <t>Find the missing scout, or a duplicate. (Replaced by the checks below once the schedule is pasted.)</t>
  </si>
  <si>
    <t>Robots not scouted</t>
  </si>
  <si>
    <t>Ask that robot's scout to show the QR code again: Submitted matches in the app.</t>
  </si>
  <si>
    <t>Team not in that match</t>
  </si>
  <si>
    <t>Usually a typo in Team #: fix that cell on the Scans sheet.</t>
  </si>
  <si>
    <t>Team not at this event</t>
  </si>
  <si>
    <t>Usually a typo in Team #: fix that cell on the Scans sheet. (Checked per match instead once the schedule is pasted.)</t>
  </si>
  <si>
    <t>Wrong alliance</t>
  </si>
  <si>
    <t>Fix the Alliance cell on the Scans sheet.</t>
  </si>
  <si>
    <t>TBA schedule</t>
  </si>
  <si>
    <t>See the TBA Schedule sheet.</t>
  </si>
  <si>
    <t>TBA team list</t>
  </si>
  <si>
    <t>See the TBA Teams sheet.</t>
  </si>
  <si>
    <t>DERT #2040 - REBUILT Scouting Workbook</t>
  </si>
  <si>
    <t>Import data from the DERT Scout web app (index.html) by scanning its QR codes.</t>
  </si>
  <si>
    <t>ONE-TIME SETUP (each laptop)</t>
  </si>
  <si>
    <t>Turn OFF Excel AutoComplete: File &gt; Options &gt; Advanced &gt; uncheck 'Enable AutoComplete for cell values'.</t>
  </si>
  <si>
    <t xml:space="preserve">   Otherwise Excel may 'finish' a scanned value for you (e.g. 'Depot' becomes 'Depot; Outpost') and the data will be wrong.</t>
  </si>
  <si>
    <t>Use a USB/Bluetooth QR scanner in keyboard mode (most scanners default to this). Set its keyboard language to match Windows.</t>
  </si>
  <si>
    <t>Test: open Notepad and scan a code - you should see values separated by tabs and the cursor should jump to a new line at the end.</t>
  </si>
  <si>
    <t>IMPORTING MATCHES</t>
  </si>
  <si>
    <t>Go to the Scans sheet and click the first EMPTY cell in column A (Schema).</t>
  </si>
  <si>
    <t>Scan the student's QR code. The whole match fills one row and the cursor moves to the next row automatically.</t>
  </si>
  <si>
    <t>Repeat for every QR code. Keep scanning - the table grows by itself.</t>
  </si>
  <si>
    <t>Made a mistake? Delete the whole row (right-click row number &gt; Delete) and scan again.</t>
  </si>
  <si>
    <t>CHECKING THE DATA</t>
  </si>
  <si>
    <t>Once TBA has the team list (a week or two before the event), paste it on the TBA Teams sheet. Once it has the match schedule</t>
  </si>
  <si>
    <t xml:space="preserve">   (usually the day before quals), paste it on the TBA Schedule sheet. The steps are on those sheets.</t>
  </si>
  <si>
    <t>Every few matches, open the Scouting Check sheet. Red numbers = something to fix; the list below them says what and in which Excel row.</t>
  </si>
  <si>
    <t>SHEETS</t>
  </si>
  <si>
    <t>-</t>
  </si>
  <si>
    <t>Scans - raw data, one row per robot per match. Do not change the column headers or their order.</t>
  </si>
  <si>
    <t>Team Summary - averages per team (updates automatically). Pick list on the right is sorted by average total points.</t>
  </si>
  <si>
    <t>Team Lookup - type a team number in the yellow cell to see every match and all observations for that team.</t>
  </si>
  <si>
    <t>Scouting Check - duplicate scans, matches without 6 scans and, with the TBA schedule, unscouted robots, team-number typos and wrong alliances.</t>
  </si>
  <si>
    <t>TBA Schedule - paste TBA's Flat Schedule here. Nothing else to type.</t>
  </si>
  <si>
    <t>TBA Teams - paste TBA's Team List here: catches team numbers that aren't at the event, and Team Lookup shows the team's name.</t>
  </si>
  <si>
    <t>LEGEND</t>
  </si>
  <si>
    <t>Teal header = column names (must match the web app).   Yellow cell = type here.   Everything else is calculated or scanned - don't edit.</t>
  </si>
  <si>
    <t>Points: fuel in active Hub = 1 pt. Tower Level 1 = 15 pts in auto / 10 pts in teleop, Level 2 = 20, Level 3 = 30 (2026 REBUILT Game Manual, Table 6-4).</t>
  </si>
  <si>
    <t>Ratings (Driver skill, Robot speed, Shooting accuracy) are 1 = poor to 5 = great. Multi-choice answers are separated by '; '.</t>
  </si>
  <si>
    <t>Requires Microsoft 365 or Excel 2024 (uses FILTER, SORTBY, HSTACK, VSTACK, TEXTBEFORE). Excel 2021 and older show #NAME? errors.</t>
  </si>
  <si>
    <t>Schema (column A) is filled in by every QR code (S39-44228b4d for this workbook). A RED row came from a different version</t>
  </si>
  <si>
    <t xml:space="preserve">   of the scouting form, so its answers are in the wrong columns: delete it, update the app on that phone (open it on Wi-Fi), scan again.</t>
  </si>
  <si>
    <t>IF YOU CHANGE THE WEB FORM</t>
  </si>
  <si>
    <t>Adding, removing or renaming fields in index.html changes the QR columns and the Schema stamp. Update the header list in</t>
  </si>
  <si>
    <t xml:space="preserve">   build-excel.ps1 to match (the web app's QR screen has an 'Excel column headers' section you can copy) and rebuild this workbook,</t>
  </si>
  <si>
    <t xml:space="preserve">   otherwise every new scan shows up red. Check the Team Summary formulas too.</t>
  </si>
  <si>
    <t>EXAMPLE ROW (what one scanned match looks like)</t>
  </si>
  <si>
    <t>Schema:  S39-44228b4d</t>
  </si>
  <si>
    <t>Match type:  Qual</t>
  </si>
  <si>
    <t>Match #:  12</t>
  </si>
  <si>
    <t>Team #:  2040</t>
  </si>
  <si>
    <t>Alliance:  Blue</t>
  </si>
  <si>
    <t>Station:  2</t>
  </si>
  <si>
    <t>Scout name:  Alex</t>
  </si>
  <si>
    <t>Robot on field?:  Yes</t>
  </si>
  <si>
    <t>Starting position:  Center</t>
  </si>
  <si>
    <t>Fuel preloaded:  8</t>
  </si>
  <si>
    <t>Auto fuel scored:  8</t>
  </si>
  <si>
    <t>Auto fuel missed:  2</t>
  </si>
  <si>
    <t>Auto path:  Left start line; Went to Neutral Zone</t>
  </si>
  <si>
    <t>Picked up fuel from:  Depot</t>
  </si>
  <si>
    <t>Tower climb in auto:  Level 1</t>
  </si>
  <si>
    <t>Teleop fuel scored:  47</t>
  </si>
  <si>
    <t>Teleop fuel missed:  9</t>
  </si>
  <si>
    <t>Intake from:  Neutral Zone floor; Depot</t>
  </si>
  <si>
    <t>Shoots from:  Close to Hub; Mid range</t>
  </si>
  <si>
    <t>Drives over / through:  Bump</t>
  </si>
  <si>
    <t>Inactive Hub behavior:  Collects / stockpiles</t>
  </si>
  <si>
    <t>Fuel it can carry:  26–40</t>
  </si>
  <si>
    <t>Played defense:  None</t>
  </si>
  <si>
    <t>Was defended:  Some</t>
  </si>
  <si>
    <t>Tower climb:  Level 3</t>
  </si>
  <si>
    <t>Climb time:  5–10 s</t>
  </si>
  <si>
    <t>Driver skill:  4</t>
  </si>
  <si>
    <t>Robot speed:  4</t>
  </si>
  <si>
    <t>Shooting accuracy:  4</t>
  </si>
  <si>
    <t xml:space="preserve">Problems:  </t>
  </si>
  <si>
    <t>Minor fouls:  0</t>
  </si>
  <si>
    <t>Major fouls:  0</t>
  </si>
  <si>
    <t>Card:  None</t>
  </si>
  <si>
    <t>Pick?:  Yes</t>
  </si>
  <si>
    <t>Observations:  Fast shooter, very consistent climb</t>
  </si>
  <si>
    <t>Auto pts:  23</t>
  </si>
  <si>
    <t>Teleop fuel pts:  47</t>
  </si>
  <si>
    <t>Climb pts:  30</t>
  </si>
  <si>
    <t>Total pts:  100</t>
  </si>
  <si>
    <t>Submitted:  10/6/2026, 3:45:12 PM</t>
  </si>
  <si>
    <t>S39-44228b4d</t>
  </si>
  <si>
    <t>Qual</t>
  </si>
  <si>
    <t>Red</t>
  </si>
  <si>
    <t>Ava</t>
  </si>
  <si>
    <t>Yes</t>
  </si>
  <si>
    <t>Right</t>
  </si>
  <si>
    <t>Left start line</t>
  </si>
  <si>
    <t>None</t>
  </si>
  <si>
    <t>Outpost / Human Player; Depot</t>
  </si>
  <si>
    <t>Close to Hub</t>
  </si>
  <si>
    <t>Plays defense</t>
  </si>
  <si>
    <t>1–10</t>
  </si>
  <si>
    <t>A lot</t>
  </si>
  <si>
    <t>No</t>
  </si>
  <si>
    <t>Maybe</t>
  </si>
  <si>
    <t>Struggled to score; aggressive defender</t>
  </si>
  <si>
    <t>3/20/2026, 9:04:39 AM</t>
  </si>
  <si>
    <t>Ben</t>
  </si>
  <si>
    <t>Left</t>
  </si>
  <si>
    <t>Neutral Zone floor; Alliance Zone floor; Depot</t>
  </si>
  <si>
    <t>Close to Hub; Mid range; Long range; While moving</t>
  </si>
  <si>
    <t>Bump; Trench</t>
  </si>
  <si>
    <t>Collects / stockpiles; Passes fuel to our zone</t>
  </si>
  <si>
    <t>40+</t>
  </si>
  <si>
    <t>Shoots well from long range; fed fuel to partners during inactive shift</t>
  </si>
  <si>
    <t>3/20/2026, 9:03:43 AM</t>
  </si>
  <si>
    <t>Chloe</t>
  </si>
  <si>
    <t>Center</t>
  </si>
  <si>
    <t>Neutral Zone floor; Outpost / Human Player</t>
  </si>
  <si>
    <t>Close to Hub; Mid range</t>
  </si>
  <si>
    <t>Trench</t>
  </si>
  <si>
    <t>Collects / stockpiles</t>
  </si>
  <si>
    <t>26–40</t>
  </si>
  <si>
    <t>Stuck on Bump</t>
  </si>
  <si>
    <t>3/20/2026, 9:04:52 AM</t>
  </si>
  <si>
    <t>Blue</t>
  </si>
  <si>
    <t>Dev</t>
  </si>
  <si>
    <t>3/20/2026, 9:04:06 AM</t>
  </si>
  <si>
    <t>Ella</t>
  </si>
  <si>
    <t>Left start line; Went to Neutral Zone; Used Trench</t>
  </si>
  <si>
    <t>Neutral Zone</t>
  </si>
  <si>
    <t>Consistent cycles; shoots well from long range</t>
  </si>
  <si>
    <t>3/20/2026, 9:04:04 AM</t>
  </si>
  <si>
    <t>Finn</t>
  </si>
  <si>
    <t>Some</t>
  </si>
  <si>
    <t>Consistent cycles; fed fuel to partners during inactive shift</t>
  </si>
  <si>
    <t>3/20/2026, 9:04:51 AM</t>
  </si>
  <si>
    <t>3/20/2026, 9:13:08 AM</t>
  </si>
  <si>
    <t>Left start line; Went to Neutral Zone; Crossed Bump</t>
  </si>
  <si>
    <t>Consistent cycles</t>
  </si>
  <si>
    <t>3/20/2026, 9:13:18 AM</t>
  </si>
  <si>
    <t>3/20/2026, 9:11:57 AM</t>
  </si>
  <si>
    <t>Bump</t>
  </si>
  <si>
    <t>3/20/2026, 9:12:06 AM</t>
  </si>
  <si>
    <t>Depot</t>
  </si>
  <si>
    <t>Heavily</t>
  </si>
  <si>
    <t>Died / disabled</t>
  </si>
  <si>
    <t>Robot stopped moving mid-match</t>
  </si>
  <si>
    <t>3/20/2026, 9:12:10 AM</t>
  </si>
  <si>
    <t>Struggled to score</t>
  </si>
  <si>
    <t>3/20/2026, 9:20:35 AM</t>
  </si>
  <si>
    <t>11–25</t>
  </si>
  <si>
    <t>3/20/2026, 9:21:02 AM</t>
  </si>
  <si>
    <t>3/20/2026, 9:20:29 AM</t>
  </si>
  <si>
    <t>3/20/2026, 9:20:00 AM</t>
  </si>
  <si>
    <t>Idle</t>
  </si>
  <si>
    <t>3/20/2026, 9:21:06 AM</t>
  </si>
  <si>
    <t>3/20/2026, 9:28:54 AM</t>
  </si>
  <si>
    <t>3/20/2026, 9:29:11 AM</t>
  </si>
  <si>
    <t>Level 1</t>
  </si>
  <si>
    <t>5–10 s</t>
  </si>
  <si>
    <t>Climbed L1 cleanly</t>
  </si>
  <si>
    <t>3/20/2026, 9:29:08 AM</t>
  </si>
  <si>
    <t>3/20/2026, 9:29:17 AM</t>
  </si>
  <si>
    <t>3/20/2026, 9:29:18 AM</t>
  </si>
  <si>
    <t>Aggressive defender</t>
  </si>
  <si>
    <t>3/20/2026, 9:28:15 AM</t>
  </si>
  <si>
    <t>Shoots anyway</t>
  </si>
  <si>
    <t>3/20/2026, 9:36:08 AM</t>
  </si>
  <si>
    <t>3/20/2026, 9:37:07 AM</t>
  </si>
  <si>
    <t>3/20/2026, 9:36:21 AM</t>
  </si>
  <si>
    <t>3/20/2026, 9:36:11 AM</t>
  </si>
  <si>
    <t>3/20/2026, 9:35:54 AM</t>
  </si>
  <si>
    <t>3/20/2026, 9:36:14 AM</t>
  </si>
  <si>
    <t>3/20/2026, 9:44:44 AM</t>
  </si>
  <si>
    <t>3/20/2026, 9:43:29 AM</t>
  </si>
  <si>
    <t>3/20/2026, 9:43:38 AM</t>
  </si>
  <si>
    <t>Struggled to score; climbed L1 cleanly; aggressive defender</t>
  </si>
  <si>
    <t>3/20/2026, 9:44:24 AM</t>
  </si>
  <si>
    <t>Fed fuel to partners during inactive shift</t>
  </si>
  <si>
    <t>3/20/2026, 9:44:41 AM</t>
  </si>
  <si>
    <t>3/20/2026, 9:43:33 AM</t>
  </si>
  <si>
    <t>High-volume scorer; shoots well from long range</t>
  </si>
  <si>
    <t>3/20/2026, 9:51:28 AM</t>
  </si>
  <si>
    <t>High-volume scorer; fed fuel to partners during inactive shift</t>
  </si>
  <si>
    <t>3/20/2026, 9:51:23 AM</t>
  </si>
  <si>
    <t>3/20/2026, 9:52:13 AM</t>
  </si>
  <si>
    <t>3/20/2026, 9:52:30 AM</t>
  </si>
  <si>
    <t>3/20/2026, 9:52:27 AM</t>
  </si>
  <si>
    <t>3/20/2026, 9:52:38 AM</t>
  </si>
  <si>
    <t>3/20/2026, 9:59:34 AM</t>
  </si>
  <si>
    <t>High-volume scorer; shoots well from long range; fed fuel to partners during inactive shift</t>
  </si>
  <si>
    <t>3/20/2026, 10:00:34 AM</t>
  </si>
  <si>
    <t>3/20/2026, 10:01:17 AM</t>
  </si>
  <si>
    <t>3/20/2026, 10:01:19 AM</t>
  </si>
  <si>
    <t>3/20/2026, 10:01:01 AM</t>
  </si>
  <si>
    <t>3/20/2026, 10:01:00 AM</t>
  </si>
  <si>
    <t>Broke mechanism</t>
  </si>
  <si>
    <t>3/20/2026, 10:08:06 AM</t>
  </si>
  <si>
    <t>3/20/2026, 10:08:55 AM</t>
  </si>
  <si>
    <t>3/20/2026, 10:09:11 AM</t>
  </si>
  <si>
    <t>3/20/2026, 10:09:18 AM</t>
  </si>
  <si>
    <t>3/20/2026, 10:09:12 AM</t>
  </si>
  <si>
    <t>3/20/2026, 10:08:11 AM</t>
  </si>
  <si>
    <t>3/20/2026, 10:16:20 AM</t>
  </si>
  <si>
    <t>3/20/2026, 10:16:17 AM</t>
  </si>
  <si>
    <t>3/20/2026, 10:16:43 AM</t>
  </si>
  <si>
    <t>3/20/2026, 10:17:18 AM</t>
  </si>
  <si>
    <t>Climbed L1 cleanly; fed fuel to partners during inactive shift</t>
  </si>
  <si>
    <t>3/20/2026, 10:16:00 AM</t>
  </si>
  <si>
    <t>3/20/2026, 10:17:03 AM</t>
  </si>
  <si>
    <t>3/20/2026, 10:25:07 AM</t>
  </si>
  <si>
    <t>3/20/2026, 10:23:47 AM</t>
  </si>
  <si>
    <t>3/20/2026, 10:24:37 AM</t>
  </si>
  <si>
    <t>3/20/2026, 10:23:51 AM</t>
  </si>
  <si>
    <t>3/20/2026, 10:24:27 AM</t>
  </si>
  <si>
    <t>3/20/2026, 10:25:11 AM</t>
  </si>
  <si>
    <t>3/20/2026, 10:33:15 AM</t>
  </si>
  <si>
    <t>Consistent cycles; shoots well from long range; fed fuel to partners during inactive shift</t>
  </si>
  <si>
    <t>3/20/2026, 10:32:05 AM</t>
  </si>
  <si>
    <t>3/20/2026, 10:32:50 AM</t>
  </si>
  <si>
    <t>3/20/2026, 10:32:17 AM</t>
  </si>
  <si>
    <t>Lost comms</t>
  </si>
  <si>
    <t>3/20/2026, 10:32:12 AM</t>
  </si>
  <si>
    <t>3/20/2026, 10:39:45 AM</t>
  </si>
  <si>
    <t>3/20/2026, 10:40:50 AM</t>
  </si>
  <si>
    <t>3/20/2026, 10:39:40 AM</t>
  </si>
  <si>
    <t>3/20/2026, 10:40:03 AM</t>
  </si>
  <si>
    <t>3/20/2026, 10:39:39 AM</t>
  </si>
  <si>
    <t>3/20/2026, 10:39:21 AM</t>
  </si>
  <si>
    <t>3/20/2026, 10:47:20 AM</t>
  </si>
  <si>
    <t>3/20/2026, 10:47:52 AM</t>
  </si>
  <si>
    <t>3/20/2026, 10:48:44 AM</t>
  </si>
  <si>
    <t>3/20/2026, 10:48:47 AM</t>
  </si>
  <si>
    <t>3/20/2026, 10:48:42 AM</t>
  </si>
  <si>
    <t>3/20/2026, 10:49:02 AM</t>
  </si>
  <si>
    <t>Fuel jam</t>
  </si>
  <si>
    <t>3/20/2026, 10:56:28 AM</t>
  </si>
  <si>
    <t>3/20/2026, 10:57:07 AM</t>
  </si>
  <si>
    <t>3/20/2026, 10:57:14 AM</t>
  </si>
  <si>
    <t>3/20/2026, 10:55:32 AM</t>
  </si>
  <si>
    <t>Shoots well from long range</t>
  </si>
  <si>
    <t>3/20/2026, 10:56:44 AM</t>
  </si>
  <si>
    <t>3/20/2026, 10:57:11 AM</t>
  </si>
  <si>
    <t>3/20/2026, 11:04:05 AM</t>
  </si>
  <si>
    <t>3/20/2026, 11:04:13 AM</t>
  </si>
  <si>
    <t>3/20/2026, 11:03:20 AM</t>
  </si>
  <si>
    <t>3/20/2026, 11:03:39 AM</t>
  </si>
  <si>
    <t>3/20/2026, 11:04:12 AM</t>
  </si>
  <si>
    <t>3/20/2026, 11:03:49 AM</t>
  </si>
  <si>
    <t>3/20/2026, 11:12:54 AM</t>
  </si>
  <si>
    <t>3/20/2026, 11:12:24 AM</t>
  </si>
  <si>
    <t>3/20/2026, 11:11:40 AM</t>
  </si>
  <si>
    <t>3/20/2026, 11:11:56 AM</t>
  </si>
  <si>
    <t>3/20/2026, 11:11:21 AM</t>
  </si>
  <si>
    <t>3/20/2026, 11:12:11 AM</t>
  </si>
  <si>
    <t>Robot stopped moving mid-match; fed fuel to partners during inactive shift</t>
  </si>
  <si>
    <t>3/20/2026, 11:19:38 AM</t>
  </si>
  <si>
    <t>3/20/2026, 11:19:21 AM</t>
  </si>
  <si>
    <t>3/20/2026, 11:21:09 AM</t>
  </si>
  <si>
    <t>3/20/2026, 11:20:27 AM</t>
  </si>
  <si>
    <t>3/20/2026, 11:19:42 AM</t>
  </si>
  <si>
    <t>3/20/2026, 11:20:13 AM</t>
  </si>
  <si>
    <t>3/20/2026, 11:27:30 AM</t>
  </si>
  <si>
    <t>3/20/2026, 11:28:53 AM</t>
  </si>
  <si>
    <t>3/20/2026, 11:28:47 AM</t>
  </si>
  <si>
    <t>3/20/2026, 11:27:45 AM</t>
  </si>
  <si>
    <t>3/20/2026, 11:28:55 AM</t>
  </si>
  <si>
    <t>3/20/2026, 11:27:33 AM</t>
  </si>
  <si>
    <t>3/20/2026, 11:36:04 AM</t>
  </si>
  <si>
    <t>3/20/2026, 11:35:50 AM</t>
  </si>
  <si>
    <t>3/20/2026, 11:36:49 AM</t>
  </si>
  <si>
    <t>3/20/2026, 11:35:35 AM</t>
  </si>
  <si>
    <t>3/20/2026, 11:37:01 AM</t>
  </si>
  <si>
    <t>3/20/2026, 11:35:49 AM</t>
  </si>
  <si>
    <t>3/20/2026, 11:43:32 AM</t>
  </si>
  <si>
    <t>3/20/2026, 11:43:50 AM</t>
  </si>
  <si>
    <t>3/20/2026, 11:44:11 AM</t>
  </si>
  <si>
    <t>3/20/2026, 11:43:44 AM</t>
  </si>
  <si>
    <t>3/20/2026, 11:44:32 AM</t>
  </si>
  <si>
    <t>3/20/2026, 11:43:40 AM</t>
  </si>
  <si>
    <t>3/20/2026, 11:53:07 AM</t>
  </si>
  <si>
    <t>3/20/2026, 11:52:46 AM</t>
  </si>
  <si>
    <t>High-volume scorer</t>
  </si>
  <si>
    <t>3/20/2026, 11:51:46 AM</t>
  </si>
  <si>
    <t>3/20/2026, 11:52:24 AM</t>
  </si>
  <si>
    <t>3/20/2026, 11:51:28 AM</t>
  </si>
  <si>
    <t>10–20 s</t>
  </si>
  <si>
    <t>Struggled to score; climbed L1 cleanly</t>
  </si>
  <si>
    <t>3/20/2026, 11:52:48 AM</t>
  </si>
  <si>
    <t>3/20/2026, 1:00:47 PM</t>
  </si>
  <si>
    <t>3/20/2026, 1:00:04 PM</t>
  </si>
  <si>
    <t>3/20/2026, 12:59:54 PM</t>
  </si>
  <si>
    <t>3/20/2026, 1:00:06 PM</t>
  </si>
  <si>
    <t>3/20/2026, 12:59:21 PM</t>
  </si>
  <si>
    <t>3/20/2026, 1:01:09 PM</t>
  </si>
  <si>
    <t>3/20/2026, 1:08:44 PM</t>
  </si>
  <si>
    <t>3/20/2026, 1:08:41 PM</t>
  </si>
  <si>
    <t>3/20/2026, 1:07:28 PM</t>
  </si>
  <si>
    <t>3/20/2026, 1:09:19 PM</t>
  </si>
  <si>
    <t>3/20/2026, 1:07:32 PM</t>
  </si>
  <si>
    <t>3/20/2026, 1:08:51 PM</t>
  </si>
  <si>
    <t>3/20/2026, 1:16:15 PM</t>
  </si>
  <si>
    <t>3/20/2026, 1:16:40 PM</t>
  </si>
  <si>
    <t>Shoots well from long range; robot stopped moving mid-match</t>
  </si>
  <si>
    <t>3/20/2026, 1:15:46 PM</t>
  </si>
  <si>
    <t>3/20/2026, 1:15:26 PM</t>
  </si>
  <si>
    <t>3/20/2026, 1:17:16 PM</t>
  </si>
  <si>
    <t>3/20/2026, 1:24:42 PM</t>
  </si>
  <si>
    <t>3/20/2026, 1:24:34 PM</t>
  </si>
  <si>
    <t>3/20/2026, 1:23:52 PM</t>
  </si>
  <si>
    <t>3/20/2026, 1:25:17 PM</t>
  </si>
  <si>
    <t>3/20/2026, 1:23:50 PM</t>
  </si>
  <si>
    <t>3/20/2026, 1:24:16 PM</t>
  </si>
  <si>
    <t>3/20/2026, 1:31:30 PM</t>
  </si>
  <si>
    <t>3/20/2026, 1:32:29 PM</t>
  </si>
  <si>
    <t>3/20/2026, 1:31:52 PM</t>
  </si>
  <si>
    <t>3/20/2026, 1:31:40 PM</t>
  </si>
  <si>
    <t>3/20/2026, 1:33:13 PM</t>
  </si>
  <si>
    <t>3/20/2026, 1:31:49 PM</t>
  </si>
  <si>
    <t>3/20/2026, 1:40:00 PM</t>
  </si>
  <si>
    <t>3/20/2026, 1:39:46 PM</t>
  </si>
  <si>
    <t>3/20/2026, 1:39:55 PM</t>
  </si>
  <si>
    <t>3/20/2026, 1:40:33 PM</t>
  </si>
  <si>
    <t>3/20/2026, 1:39:40 PM</t>
  </si>
  <si>
    <t>Attempted</t>
  </si>
  <si>
    <t>Over 20 s</t>
  </si>
  <si>
    <t>Struggled to score; climb attempt failed</t>
  </si>
  <si>
    <t>3/20/2026, 1:40:04 PM</t>
  </si>
  <si>
    <t>3/20/2026, 1:47:53 PM</t>
  </si>
  <si>
    <t>3/20/2026, 1:48:44 PM</t>
  </si>
  <si>
    <t>3/20/2026, 1:48:06 PM</t>
  </si>
  <si>
    <t>3/20/2026, 1:48:01 PM</t>
  </si>
  <si>
    <t>3/20/2026, 1:47:21 PM</t>
  </si>
  <si>
    <t>3/20/2026, 1:47:20 PM</t>
  </si>
  <si>
    <t>3/20/2026, 1:56:14 PM</t>
  </si>
  <si>
    <t>3/20/2026, 1:55:42 PM</t>
  </si>
  <si>
    <t>3/20/2026, 1:56:09 PM</t>
  </si>
  <si>
    <t>3/20/2026, 1:57:18 PM</t>
  </si>
  <si>
    <t>3/20/2026, 1:55:51 PM</t>
  </si>
  <si>
    <t>3/20/2026, 1:56:20 PM</t>
  </si>
  <si>
    <t>3/20/2026, 2:04:17 PM</t>
  </si>
  <si>
    <t>3/20/2026, 2:03:28 PM</t>
  </si>
  <si>
    <t>3/20/2026, 2:04:05 PM</t>
  </si>
  <si>
    <t>3/20/2026, 2:03:21 PM</t>
  </si>
  <si>
    <t>3/20/2026, 2:03:58 PM</t>
  </si>
  <si>
    <t>3/20/2026, 2:04:33 PM</t>
  </si>
  <si>
    <t>Grace</t>
  </si>
  <si>
    <t>3/20/2026, 2:11:55 PM</t>
  </si>
  <si>
    <t>Henry</t>
  </si>
  <si>
    <t>3/20/2026, 2:11:45 PM</t>
  </si>
  <si>
    <t>Isla</t>
  </si>
  <si>
    <t>3/20/2026, 2:13:06 PM</t>
  </si>
  <si>
    <t>Jack</t>
  </si>
  <si>
    <t>3/20/2026, 2:13:13 PM</t>
  </si>
  <si>
    <t>Kai</t>
  </si>
  <si>
    <t>Lily</t>
  </si>
  <si>
    <t>3/20/2026, 2:12:41 PM</t>
  </si>
  <si>
    <t>3/20/2026, 2:19:39 PM</t>
  </si>
  <si>
    <t>3/20/2026, 2:20:45 PM</t>
  </si>
  <si>
    <t>3/20/2026, 2:20:58 PM</t>
  </si>
  <si>
    <t>3/20/2026, 2:20:42 PM</t>
  </si>
  <si>
    <t>3/20/2026, 2:20:48 PM</t>
  </si>
  <si>
    <t>3/20/2026, 2:21:01 PM</t>
  </si>
  <si>
    <t>3/20/2026, 2:27:37 PM</t>
  </si>
  <si>
    <t>3/20/2026, 2:27:44 PM</t>
  </si>
  <si>
    <t>3/20/2026, 2:27:46 PM</t>
  </si>
  <si>
    <t>3/20/2026, 2:27:25 PM</t>
  </si>
  <si>
    <t>3/20/2026, 2:28:52 PM</t>
  </si>
  <si>
    <t>3/20/2026, 2:36:15 PM</t>
  </si>
  <si>
    <t>3/20/2026, 2:35:21 PM</t>
  </si>
  <si>
    <t>Consistent cycles; climbed L1 cleanly</t>
  </si>
  <si>
    <t>3/20/2026, 2:36:46 PM</t>
  </si>
  <si>
    <t>3/20/2026, 2:36:36 PM</t>
  </si>
  <si>
    <t>3/20/2026, 2:36:03 PM</t>
  </si>
  <si>
    <t>3/20/2026, 2:36:30 PM</t>
  </si>
  <si>
    <t>3/20/2026, 2:45:03 PM</t>
  </si>
  <si>
    <t>3/20/2026, 2:43:43 PM</t>
  </si>
  <si>
    <t>3/20/2026, 2:44:11 PM</t>
  </si>
  <si>
    <t>3/20/2026, 2:45:12 PM</t>
  </si>
  <si>
    <t>3/20/2026, 2:43:38 PM</t>
  </si>
  <si>
    <t>3/20/2026, 2:43:41 PM</t>
  </si>
  <si>
    <t>3/20/2026, 2:51:55 PM</t>
  </si>
  <si>
    <t>3/20/2026, 2:53:02 PM</t>
  </si>
  <si>
    <t>3/20/2026, 2:51:45 PM</t>
  </si>
  <si>
    <t>3/20/2026, 2:53:11 PM</t>
  </si>
  <si>
    <t>3/20/2026, 2:51:57 PM</t>
  </si>
  <si>
    <t>3/20/2026, 2:52:55 PM</t>
  </si>
  <si>
    <t>3/20/2026, 3:01:13 PM</t>
  </si>
  <si>
    <t>3/20/2026, 3:00:48 PM</t>
  </si>
  <si>
    <t>3/20/2026, 3:00:18 PM</t>
  </si>
  <si>
    <t>3/20/2026, 2:59:35 PM</t>
  </si>
  <si>
    <t>Consistent cycles; shoots well from long range; robot stopped moving mid-match</t>
  </si>
  <si>
    <t>3/20/2026, 3:00:35 PM</t>
  </si>
  <si>
    <t>3/20/2026, 3:00:41 PM</t>
  </si>
  <si>
    <t>3/20/2026, 3:09:18 PM</t>
  </si>
  <si>
    <t>3/20/2026, 3:09:07 PM</t>
  </si>
  <si>
    <t>3/20/2026, 3:07:36 PM</t>
  </si>
  <si>
    <t>3/20/2026, 3:08:54 PM</t>
  </si>
  <si>
    <t>3/20/2026, 3:07:46 PM</t>
  </si>
  <si>
    <t>3/20/2026, 3:08:04 PM</t>
  </si>
  <si>
    <t>3/20/2026, 3:15:28 PM</t>
  </si>
  <si>
    <t>3/20/2026, 3:15:20 PM</t>
  </si>
  <si>
    <t>3/20/2026, 3:16:20 PM</t>
  </si>
  <si>
    <t>Climb attempt failed</t>
  </si>
  <si>
    <t>3/20/2026, 3:15:31 PM</t>
  </si>
  <si>
    <t>3/20/2026, 3:16:52 PM</t>
  </si>
  <si>
    <t>3/20/2026, 3:16:23 PM</t>
  </si>
  <si>
    <t>3/21/2026, 9:03:41 AM</t>
  </si>
  <si>
    <t>3/21/2026, 9:03:56 AM</t>
  </si>
  <si>
    <t>3/21/2026, 9:04:25 AM</t>
  </si>
  <si>
    <t>3/21/2026, 9:03:40 AM</t>
  </si>
  <si>
    <t>3/21/2026, 9:04:49 AM</t>
  </si>
  <si>
    <t>3/21/2026, 9:03:21 AM</t>
  </si>
  <si>
    <t>3/21/2026, 9:13:11 AM</t>
  </si>
  <si>
    <t>3/21/2026, 9:11:57 AM</t>
  </si>
  <si>
    <t>3/21/2026, 9:13:06 AM</t>
  </si>
  <si>
    <t>3/21/2026, 9:11:24 AM</t>
  </si>
  <si>
    <t>3/21/2026, 9:12:26 AM</t>
  </si>
  <si>
    <t>3/21/2026, 9:12:22 AM</t>
  </si>
  <si>
    <t>3/21/2026, 9:19:48 AM</t>
  </si>
  <si>
    <t>3/21/2026, 9:19:27 AM</t>
  </si>
  <si>
    <t>3/21/2026, 9:20:25 AM</t>
  </si>
  <si>
    <t>3/21/2026, 9:21:07 AM</t>
  </si>
  <si>
    <t>3/21/2026, 9:19:56 AM</t>
  </si>
  <si>
    <t>3/21/2026, 9:19:44 AM</t>
  </si>
  <si>
    <t>3/21/2026, 9:27:27 AM</t>
  </si>
  <si>
    <t>3/21/2026, 9:27:22 AM</t>
  </si>
  <si>
    <t>3/21/2026, 9:28:56 AM</t>
  </si>
  <si>
    <t>3/21/2026, 9:28:22 AM</t>
  </si>
  <si>
    <t>3/21/2026, 9:27:32 AM</t>
  </si>
  <si>
    <t>3/21/2026, 9:28:41 AM</t>
  </si>
  <si>
    <t>3/21/2026, 9:36:34 AM</t>
  </si>
  <si>
    <t>3/21/2026, 9:36:05 AM</t>
  </si>
  <si>
    <t>3/21/2026, 9:36:50 AM</t>
  </si>
  <si>
    <t>3/21/2026, 9:37:14 AM</t>
  </si>
  <si>
    <t>3/21/2026, 9:36:41 AM</t>
  </si>
  <si>
    <t>3/21/2026, 9:36:52 AM</t>
  </si>
  <si>
    <t>3/21/2026, 9:43:25 AM</t>
  </si>
  <si>
    <t>3/21/2026, 9:43:30 AM</t>
  </si>
  <si>
    <t>3/21/2026, 9:43:33 AM</t>
  </si>
  <si>
    <t>3/21/2026, 9:43:28 AM</t>
  </si>
  <si>
    <t>3/21/2026, 9:44:09 AM</t>
  </si>
  <si>
    <t>3/21/2026, 9:43:59 AM</t>
  </si>
  <si>
    <t>3/21/2026, 9:53:17 AM</t>
  </si>
  <si>
    <t>Consistent cycles; climbed L1 cleanly; fed fuel to partners during inactive shift</t>
  </si>
  <si>
    <t>3/21/2026, 9:52:54 AM</t>
  </si>
  <si>
    <t>3/21/2026, 9:52:39 AM</t>
  </si>
  <si>
    <t>3/21/2026, 9:52:38 AM</t>
  </si>
  <si>
    <t>3/21/2026, 9:52:51 AM</t>
  </si>
  <si>
    <t>3/21/2026, 9:51:46 AM</t>
  </si>
  <si>
    <t>3/21/2026, 10:00:45 AM</t>
  </si>
  <si>
    <t>3/21/2026, 10:00:50 AM</t>
  </si>
  <si>
    <t>3/21/2026, 10:00:40 AM</t>
  </si>
  <si>
    <t>3/21/2026, 10:01:05 AM</t>
  </si>
  <si>
    <t>3/21/2026, 10:01:11 AM</t>
  </si>
  <si>
    <t>3/21/2026, 10:01:10 AM</t>
  </si>
  <si>
    <t>3/21/2026, 10:08:43 AM</t>
  </si>
  <si>
    <t>3/21/2026, 10:09:15 AM</t>
  </si>
  <si>
    <t>3/21/2026, 10:08:29 AM</t>
  </si>
  <si>
    <t>3/21/2026, 10:08:23 AM</t>
  </si>
  <si>
    <t>3/21/2026, 10:07:39 AM</t>
  </si>
  <si>
    <t>3/21/2026, 10:08:57 AM</t>
  </si>
  <si>
    <t>3/21/2026, 10:16:06 AM</t>
  </si>
  <si>
    <t>3/21/2026, 10:15:47 AM</t>
  </si>
  <si>
    <t>3/21/2026, 10:17:14 AM</t>
  </si>
  <si>
    <t>3/21/2026, 10:16:43 AM</t>
  </si>
  <si>
    <t>3/21/2026, 10:16:09 AM</t>
  </si>
  <si>
    <t>3/21/2026, 10:16:15 AM</t>
  </si>
  <si>
    <t>3/21/2026, 10:24:27 AM</t>
  </si>
  <si>
    <t>3/21/2026, 10:23:46 AM</t>
  </si>
  <si>
    <t>3/21/2026, 10:23:40 AM</t>
  </si>
  <si>
    <t>3/21/2026, 10:23:47 AM</t>
  </si>
  <si>
    <t>3/21/2026, 10:23:24 AM</t>
  </si>
  <si>
    <t>3/21/2026, 10:25:12 AM</t>
  </si>
  <si>
    <t>3/21/2026, 10:31:33 AM</t>
  </si>
  <si>
    <t>3/21/2026, 10:32:30 AM</t>
  </si>
  <si>
    <t>3/21/2026, 10:33:13 AM</t>
  </si>
  <si>
    <t>3/21/2026, 10:31:44 AM</t>
  </si>
  <si>
    <t>3/21/2026, 10:31:26 AM</t>
  </si>
  <si>
    <t>3/21/2026, 10:31:29 AM</t>
  </si>
  <si>
    <t>3/21/2026, 10:39:36 AM</t>
  </si>
  <si>
    <t>3/21/2026, 10:41:08 AM</t>
  </si>
  <si>
    <t>3/21/2026, 10:39:37 AM</t>
  </si>
  <si>
    <t>3/21/2026, 10:40:45 AM</t>
  </si>
  <si>
    <t>3/21/2026, 10:40:24 AM</t>
  </si>
  <si>
    <t>3/21/2026, 10:40:38 AM</t>
  </si>
  <si>
    <t>3/21/2026, 10:47:27 AM</t>
  </si>
  <si>
    <t>3/21/2026, 10:48:56 AM</t>
  </si>
  <si>
    <t>3/21/2026, 10:48:06 AM</t>
  </si>
  <si>
    <t>3/21/2026, 10:48:13 AM</t>
  </si>
  <si>
    <t>3/21/2026, 10:47:40 AM</t>
  </si>
  <si>
    <t>3/21/2026, 10:48:35 AM</t>
  </si>
  <si>
    <t>3/21/2026, 10:57:12 AM</t>
  </si>
  <si>
    <t>3/21/2026, 10:56:56 AM</t>
  </si>
  <si>
    <t>3/21/2026, 10:57:19 AM</t>
  </si>
  <si>
    <t>3/21/2026, 10:56:47 AM</t>
  </si>
  <si>
    <t>3/21/2026, 10:56:09 AM</t>
  </si>
  <si>
    <t>3/21/2026, 11:04:27 AM</t>
  </si>
  <si>
    <t>3/21/2026, 11:04:11 AM</t>
  </si>
  <si>
    <t>3/21/2026, 11:04:07 AM</t>
  </si>
  <si>
    <t>3/21/2026, 11:05:19 AM</t>
  </si>
  <si>
    <t>3/21/2026, 11:04:42 AM</t>
  </si>
  <si>
    <t>3/21/2026, 11:05:00 AM</t>
  </si>
  <si>
    <t>3/21/2026, 11:12:58 AM</t>
  </si>
  <si>
    <t>3/21/2026, 11:11:52 AM</t>
  </si>
  <si>
    <t>3/21/2026, 11:13:11 AM</t>
  </si>
  <si>
    <t>3/21/2026, 11:11:21 AM</t>
  </si>
  <si>
    <t>3/21/2026, 11:12:48 AM</t>
  </si>
  <si>
    <t>3/21/2026, 11:12:05 AM</t>
  </si>
  <si>
    <t>3/21/2026, 11:21:08 AM</t>
  </si>
  <si>
    <t>3/21/2026, 11:20:24 AM</t>
  </si>
  <si>
    <t>3/21/2026, 11:20:46 AM</t>
  </si>
  <si>
    <t>3/21/2026, 11:20:48 AM</t>
  </si>
  <si>
    <t>3/21/2026, 11:20:04 AM</t>
  </si>
  <si>
    <t>3/21/2026, 11:19:43 AM</t>
  </si>
  <si>
    <t>3/21/2026, 11:27:35 AM</t>
  </si>
  <si>
    <t>Struggled to score; climb attempt failed; aggressive defender</t>
  </si>
  <si>
    <t>3/21/2026, 11:28:08 AM</t>
  </si>
  <si>
    <t>3/21/2026, 11:28:31 AM</t>
  </si>
  <si>
    <t>3/21/2026, 11:27:23 AM</t>
  </si>
  <si>
    <t>3/21/2026, 11:27:29 AM</t>
  </si>
  <si>
    <t>3/21/2026, 11:28:51 AM</t>
  </si>
  <si>
    <t>3/21/2026, 11:36:22 AM</t>
  </si>
  <si>
    <t>3/21/2026, 11:36:37 AM</t>
  </si>
  <si>
    <t>3/21/2026, 11:37:04 AM</t>
  </si>
  <si>
    <t>3/21/2026, 11:36:47 AM</t>
  </si>
  <si>
    <t>3/21/2026, 11:36:35 AM</t>
  </si>
  <si>
    <t>3/21/2026, 11:45:17 AM</t>
  </si>
  <si>
    <t>3/21/2026, 11:44:39 AM</t>
  </si>
  <si>
    <t>3/21/2026, 11:44:20 AM</t>
  </si>
  <si>
    <t>3/21/2026, 11:44:41 AM</t>
  </si>
  <si>
    <t>Robot stopped moving mid-match; aggressive defender</t>
  </si>
  <si>
    <t>3/21/2026, 11:43:43 AM</t>
  </si>
  <si>
    <t>3/21/2026, 11:44:46 AM</t>
  </si>
  <si>
    <t>3/21/2026, 11:53:01 AM</t>
  </si>
  <si>
    <t>3/21/2026, 11:52:49 AM</t>
  </si>
  <si>
    <t>3/21/2026, 11:51:58 AM</t>
  </si>
  <si>
    <t>3/21/2026, 11:52:21 AM</t>
  </si>
  <si>
    <t>3/21/2026, 11:52:15 AM</t>
  </si>
  <si>
    <t>3/21/2026, 11:52:13 AM</t>
  </si>
  <si>
    <t>match_key,scheduled_date,scheduled_time,comp_level,match_number,set_number,color,team</t>
  </si>
  <si>
    <t>2026ilpe_qm1,2026-03-20,08:50 AM,qm,1,1,red,2039</t>
  </si>
  <si>
    <t>2026ilpe_qm1,2026-03-20,08:50 AM,qm,1,1,red,6237</t>
  </si>
  <si>
    <t>2026ilpe_qm1,2026-03-20,08:50 AM,qm,1,1,red,4645</t>
  </si>
  <si>
    <t>2026ilpe_qm1,2026-03-20,08:50 AM,qm,1,1,blue,2022</t>
  </si>
  <si>
    <t>2026ilpe_qm1,2026-03-20,08:50 AM,qm,1,1,blue,2040</t>
  </si>
  <si>
    <t>2026ilpe_qm1,2026-03-20,08:50 AM,qm,1,1,blue,9082</t>
  </si>
  <si>
    <t>2026ilpe_qm2,2026-03-20,09:00 AM,qm,2,1,red,3284</t>
  </si>
  <si>
    <t>2026ilpe_qm2,2026-03-20,09:00 AM,qm,2,1,red,1756</t>
  </si>
  <si>
    <t>2026ilpe_qm2,2026-03-20,09:00 AM,qm,2,1,red,4655</t>
  </si>
  <si>
    <t>2026ilpe_qm2,2026-03-20,09:00 AM,qm,2,1,blue,3067</t>
  </si>
  <si>
    <t>2026ilpe_qm2,2026-03-20,09:00 AM,qm,2,1,blue,4143</t>
  </si>
  <si>
    <t>2026ilpe_qm2,2026-03-20,09:00 AM,qm,2,1,blue,7848</t>
  </si>
  <si>
    <t>2026ilpe_qm3,2026-03-20,09:10 AM,qm,3,1,red,7417</t>
  </si>
  <si>
    <t>2026ilpe_qm3,2026-03-20,09:10 AM,qm,3,1,red,4787</t>
  </si>
  <si>
    <t>2026ilpe_qm3,2026-03-20,09:10 AM,qm,3,1,red,4213</t>
  </si>
  <si>
    <t>2026ilpe_qm3,2026-03-20,09:10 AM,qm,3,1,blue,1736</t>
  </si>
  <si>
    <t>2026ilpe_qm3,2026-03-20,09:10 AM,qm,3,1,blue,5442</t>
  </si>
  <si>
    <t>2026ilpe_qm3,2026-03-20,09:10 AM,qm,3,1,blue,8719</t>
  </si>
  <si>
    <t>2026ilpe_qm4,2026-03-20,09:20 AM,qm,4,1,red,1625</t>
  </si>
  <si>
    <t>2026ilpe_qm4,2026-03-20,09:20 AM,qm,4,1,red,3488</t>
  </si>
  <si>
    <t>2026ilpe_qm4,2026-03-20,09:20 AM,qm,4,1,red,4423</t>
  </si>
  <si>
    <t>2026ilpe_qm4,2026-03-20,09:20 AM,qm,4,1,blue,8020</t>
  </si>
  <si>
    <t>2026ilpe_qm4,2026-03-20,09:20 AM,qm,4,1,blue,2861</t>
  </si>
  <si>
    <t>2026ilpe_qm4,2026-03-20,09:20 AM,qm,4,1,blue,648</t>
  </si>
  <si>
    <t>2026ilpe_qm5,2026-03-20,09:30 AM,qm,5,1,red,8029</t>
  </si>
  <si>
    <t>2026ilpe_qm5,2026-03-20,09:30 AM,qm,5,1,red,4096</t>
  </si>
  <si>
    <t>2026ilpe_qm5,2026-03-20,09:30 AM,qm,5,1,red,4156</t>
  </si>
  <si>
    <t>2026ilpe_qm5,2026-03-20,09:30 AM,qm,5,1,blue,8096</t>
  </si>
  <si>
    <t>2026ilpe_qm5,2026-03-20,09:30 AM,qm,5,1,blue,7472</t>
  </si>
  <si>
    <t>2026ilpe_qm5,2026-03-20,09:30 AM,qm,5,1,blue,2481</t>
  </si>
  <si>
    <t>2026ilpe_qm6,2026-03-20,09:40 AM,qm,6,1,red,3284</t>
  </si>
  <si>
    <t>2026ilpe_qm6,2026-03-20,09:40 AM,qm,6,1,red,5442</t>
  </si>
  <si>
    <t>2026ilpe_qm6,2026-03-20,09:40 AM,qm,6,1,red,6651</t>
  </si>
  <si>
    <t>2026ilpe_qm6,2026-03-20,09:40 AM,qm,6,1,blue,2039</t>
  </si>
  <si>
    <t>2026ilpe_qm6,2026-03-20,09:40 AM,qm,6,1,blue,4655</t>
  </si>
  <si>
    <t>2026ilpe_qm6,2026-03-20,09:40 AM,qm,6,1,blue,4213</t>
  </si>
  <si>
    <t>2026ilpe_qm7,2026-03-20,09:50 AM,qm,7,1,red,2040</t>
  </si>
  <si>
    <t>2026ilpe_qm7,2026-03-20,09:50 AM,qm,7,1,red,4143</t>
  </si>
  <si>
    <t>2026ilpe_qm7,2026-03-20,09:50 AM,qm,7,1,red,4645</t>
  </si>
  <si>
    <t>2026ilpe_qm7,2026-03-20,09:50 AM,qm,7,1,blue,2861</t>
  </si>
  <si>
    <t>2026ilpe_qm7,2026-03-20,09:50 AM,qm,7,1,blue,3488</t>
  </si>
  <si>
    <t>2026ilpe_qm7,2026-03-20,09:50 AM,qm,7,1,blue,1736</t>
  </si>
  <si>
    <t>2026ilpe_qm8,2026-03-20,10:00 AM,qm,8,1,red,8719</t>
  </si>
  <si>
    <t>2026ilpe_qm8,2026-03-20,10:00 AM,qm,8,1,red,1756</t>
  </si>
  <si>
    <t>2026ilpe_qm8,2026-03-20,10:00 AM,qm,8,1,red,648</t>
  </si>
  <si>
    <t>2026ilpe_qm8,2026-03-20,10:00 AM,qm,8,1,blue,8029</t>
  </si>
  <si>
    <t>2026ilpe_qm8,2026-03-20,10:00 AM,qm,8,1,blue,9082</t>
  </si>
  <si>
    <t>2026ilpe_qm8,2026-03-20,10:00 AM,qm,8,1,blue,2481</t>
  </si>
  <si>
    <t>2026ilpe_qm9,2026-03-20,10:10 AM,qm,9,1,red,6651</t>
  </si>
  <si>
    <t>2026ilpe_qm9,2026-03-20,10:10 AM,qm,9,1,red,8096</t>
  </si>
  <si>
    <t>2026ilpe_qm9,2026-03-20,10:10 AM,qm,9,1,red,8020</t>
  </si>
  <si>
    <t>2026ilpe_qm9,2026-03-20,10:10 AM,qm,9,1,blue,7848</t>
  </si>
  <si>
    <t>2026ilpe_qm9,2026-03-20,10:10 AM,qm,9,1,blue,6237</t>
  </si>
  <si>
    <t>2026ilpe_qm9,2026-03-20,10:10 AM,qm,9,1,blue,4787</t>
  </si>
  <si>
    <t>2026ilpe_qm10,2026-03-20,10:20 AM,qm,10,1,red,1625</t>
  </si>
  <si>
    <t>2026ilpe_qm10,2026-03-20,10:20 AM,qm,10,1,red,3067</t>
  </si>
  <si>
    <t>2026ilpe_qm10,2026-03-20,10:20 AM,qm,10,1,red,7472</t>
  </si>
  <si>
    <t>2026ilpe_qm10,2026-03-20,10:20 AM,qm,10,1,blue,2022</t>
  </si>
  <si>
    <t>2026ilpe_qm10,2026-03-20,10:20 AM,qm,10,1,blue,4423</t>
  </si>
  <si>
    <t>2026ilpe_qm10,2026-03-20,10:20 AM,qm,10,1,blue,7417</t>
  </si>
  <si>
    <t>2026ilpe_qm11,2026-03-20,10:30 AM,qm,11,1,red,4156</t>
  </si>
  <si>
    <t>2026ilpe_qm11,2026-03-20,10:30 AM,qm,11,1,red,4655</t>
  </si>
  <si>
    <t>2026ilpe_qm11,2026-03-20,10:30 AM,qm,11,1,red,9082</t>
  </si>
  <si>
    <t>2026ilpe_qm11,2026-03-20,10:30 AM,qm,11,1,blue,4096</t>
  </si>
  <si>
    <t>2026ilpe_qm11,2026-03-20,10:30 AM,qm,11,1,blue,4645</t>
  </si>
  <si>
    <t>2026ilpe_qm11,2026-03-20,10:30 AM,qm,11,1,blue,2481</t>
  </si>
  <si>
    <t>2026ilpe_qm12,2026-03-20,10:40 AM,qm,12,1,red,8719</t>
  </si>
  <si>
    <t>2026ilpe_qm12,2026-03-20,10:40 AM,qm,12,1,red,8020</t>
  </si>
  <si>
    <t>2026ilpe_qm12,2026-03-20,10:40 AM,qm,12,1,red,2039</t>
  </si>
  <si>
    <t>2026ilpe_qm12,2026-03-20,10:40 AM,qm,12,1,blue,2040</t>
  </si>
  <si>
    <t>2026ilpe_qm12,2026-03-20,10:40 AM,qm,12,1,blue,648</t>
  </si>
  <si>
    <t>2026ilpe_qm12,2026-03-20,10:40 AM,qm,12,1,blue,6651</t>
  </si>
  <si>
    <t>2026ilpe_qm13,2026-03-20,10:50 AM,qm,13,1,red,4213</t>
  </si>
  <si>
    <t>2026ilpe_qm13,2026-03-20,10:50 AM,qm,13,1,red,1736</t>
  </si>
  <si>
    <t>2026ilpe_qm13,2026-03-20,10:50 AM,qm,13,1,red,2022</t>
  </si>
  <si>
    <t>2026ilpe_qm13,2026-03-20,10:50 AM,qm,13,1,blue,3067</t>
  </si>
  <si>
    <t>2026ilpe_qm13,2026-03-20,10:50 AM,qm,13,1,blue,8029</t>
  </si>
  <si>
    <t>2026ilpe_qm13,2026-03-20,10:50 AM,qm,13,1,blue,3488</t>
  </si>
  <si>
    <t>2026ilpe_qm14,2026-03-20,11:00 AM,qm,14,1,red,4156</t>
  </si>
  <si>
    <t>2026ilpe_qm14,2026-03-20,11:00 AM,qm,14,1,red,3284</t>
  </si>
  <si>
    <t>2026ilpe_qm14,2026-03-20,11:00 AM,qm,14,1,red,4787</t>
  </si>
  <si>
    <t>2026ilpe_qm14,2026-03-20,11:00 AM,qm,14,1,blue,6237</t>
  </si>
  <si>
    <t>2026ilpe_qm14,2026-03-20,11:00 AM,qm,14,1,blue,1756</t>
  </si>
  <si>
    <t>2026ilpe_qm14,2026-03-20,11:00 AM,qm,14,1,blue,4423</t>
  </si>
  <si>
    <t>2026ilpe_qm15,2026-03-20,11:10 AM,qm,15,1,red,5442</t>
  </si>
  <si>
    <t>2026ilpe_qm15,2026-03-20,11:10 AM,qm,15,1,red,7848</t>
  </si>
  <si>
    <t>2026ilpe_qm15,2026-03-20,11:10 AM,qm,15,1,red,2861</t>
  </si>
  <si>
    <t>2026ilpe_qm15,2026-03-20,11:10 AM,qm,15,1,blue,7417</t>
  </si>
  <si>
    <t>2026ilpe_qm15,2026-03-20,11:10 AM,qm,15,1,blue,1625</t>
  </si>
  <si>
    <t>2026ilpe_qm15,2026-03-20,11:10 AM,qm,15,1,blue,4096</t>
  </si>
  <si>
    <t>2026ilpe_qm16,2026-03-20,11:20 AM,qm,16,1,red,8096</t>
  </si>
  <si>
    <t>2026ilpe_qm16,2026-03-20,11:20 AM,qm,16,1,red,4143</t>
  </si>
  <si>
    <t>2026ilpe_qm16,2026-03-20,11:20 AM,qm,16,1,red,2022</t>
  </si>
  <si>
    <t>2026ilpe_qm16,2026-03-20,11:20 AM,qm,16,1,blue,1736</t>
  </si>
  <si>
    <t>2026ilpe_qm16,2026-03-20,11:20 AM,qm,16,1,blue,648</t>
  </si>
  <si>
    <t>2026ilpe_qm16,2026-03-20,11:20 AM,qm,16,1,blue,7472</t>
  </si>
  <si>
    <t>2026ilpe_qm17,2026-03-20,11:30 AM,qm,17,1,red,6237</t>
  </si>
  <si>
    <t>2026ilpe_qm17,2026-03-20,11:30 AM,qm,17,1,red,2481</t>
  </si>
  <si>
    <t>2026ilpe_qm17,2026-03-20,11:30 AM,qm,17,1,red,1756</t>
  </si>
  <si>
    <t>2026ilpe_qm17,2026-03-20,11:30 AM,qm,17,1,blue,2039</t>
  </si>
  <si>
    <t>2026ilpe_qm17,2026-03-20,11:30 AM,qm,17,1,blue,8719</t>
  </si>
  <si>
    <t>2026ilpe_qm17,2026-03-20,11:30 AM,qm,17,1,blue,6651</t>
  </si>
  <si>
    <t>2026ilpe_qm18,2026-03-20,11:40 AM,qm,18,1,red,4096</t>
  </si>
  <si>
    <t>2026ilpe_qm18,2026-03-20,11:40 AM,qm,18,1,red,9082</t>
  </si>
  <si>
    <t>2026ilpe_qm18,2026-03-20,11:40 AM,qm,18,1,red,5442</t>
  </si>
  <si>
    <t>2026ilpe_qm18,2026-03-20,11:40 AM,qm,18,1,blue,3488</t>
  </si>
  <si>
    <t>2026ilpe_qm18,2026-03-20,11:40 AM,qm,18,1,blue,2040</t>
  </si>
  <si>
    <t>2026ilpe_qm18,2026-03-20,11:40 AM,qm,18,1,blue,4787</t>
  </si>
  <si>
    <t>2026ilpe_qm19,2026-03-20,01:00 PM,qm,19,1,red,4213</t>
  </si>
  <si>
    <t>2026ilpe_qm19,2026-03-20,01:00 PM,qm,19,1,red,8096</t>
  </si>
  <si>
    <t>2026ilpe_qm19,2026-03-20,01:00 PM,qm,19,1,red,1625</t>
  </si>
  <si>
    <t>2026ilpe_qm19,2026-03-20,01:00 PM,qm,19,1,blue,2861</t>
  </si>
  <si>
    <t>2026ilpe_qm19,2026-03-20,01:00 PM,qm,19,1,blue,8020</t>
  </si>
  <si>
    <t>2026ilpe_qm19,2026-03-20,01:00 PM,qm,19,1,blue,4655</t>
  </si>
  <si>
    <t>2026ilpe_qm20,2026-03-20,01:10 PM,qm,20,1,red,7417</t>
  </si>
  <si>
    <t>2026ilpe_qm20,2026-03-20,01:10 PM,qm,20,1,red,7848</t>
  </si>
  <si>
    <t>2026ilpe_qm20,2026-03-20,01:10 PM,qm,20,1,red,8029</t>
  </si>
  <si>
    <t>2026ilpe_qm20,2026-03-20,01:10 PM,qm,20,1,blue,4423</t>
  </si>
  <si>
    <t>2026ilpe_qm20,2026-03-20,01:10 PM,qm,20,1,blue,3284</t>
  </si>
  <si>
    <t>2026ilpe_qm20,2026-03-20,01:10 PM,qm,20,1,blue,4143</t>
  </si>
  <si>
    <t>2026ilpe_qm21,2026-03-20,01:20 PM,qm,21,1,red,7472</t>
  </si>
  <si>
    <t>2026ilpe_qm21,2026-03-20,01:20 PM,qm,21,1,red,4645</t>
  </si>
  <si>
    <t>2026ilpe_qm21,2026-03-20,01:20 PM,qm,21,1,red,5442</t>
  </si>
  <si>
    <t>2026ilpe_qm21,2026-03-20,01:20 PM,qm,21,1,blue,3067</t>
  </si>
  <si>
    <t>2026ilpe_qm21,2026-03-20,01:20 PM,qm,21,1,blue,4156</t>
  </si>
  <si>
    <t>2026ilpe_qm21,2026-03-20,01:20 PM,qm,21,1,blue,8719</t>
  </si>
  <si>
    <t>2026ilpe_qm22,2026-03-20,01:30 PM,qm,22,1,red,9082</t>
  </si>
  <si>
    <t>2026ilpe_qm22,2026-03-20,01:30 PM,qm,22,1,red,4787</t>
  </si>
  <si>
    <t>2026ilpe_qm22,2026-03-20,01:30 PM,qm,22,1,red,2861</t>
  </si>
  <si>
    <t>2026ilpe_qm22,2026-03-20,01:30 PM,qm,22,1,blue,648</t>
  </si>
  <si>
    <t>2026ilpe_qm22,2026-03-20,01:30 PM,qm,22,1,blue,2022</t>
  </si>
  <si>
    <t>2026ilpe_qm22,2026-03-20,01:30 PM,qm,22,1,blue,2039</t>
  </si>
  <si>
    <t>2026ilpe_qm23,2026-03-20,01:40 PM,qm,23,1,red,4423</t>
  </si>
  <si>
    <t>2026ilpe_qm23,2026-03-20,01:40 PM,qm,23,1,red,2481</t>
  </si>
  <si>
    <t>2026ilpe_qm23,2026-03-20,01:40 PM,qm,23,1,red,4655</t>
  </si>
  <si>
    <t>2026ilpe_qm23,2026-03-20,01:40 PM,qm,23,1,blue,8096</t>
  </si>
  <si>
    <t>2026ilpe_qm23,2026-03-20,01:40 PM,qm,23,1,blue,4096</t>
  </si>
  <si>
    <t>2026ilpe_qm23,2026-03-20,01:40 PM,qm,23,1,blue,2040</t>
  </si>
  <si>
    <t>2026ilpe_qm24,2026-03-20,01:50 PM,qm,24,1,red,1756</t>
  </si>
  <si>
    <t>2026ilpe_qm24,2026-03-20,01:50 PM,qm,24,1,red,7417</t>
  </si>
  <si>
    <t>2026ilpe_qm24,2026-03-20,01:50 PM,qm,24,1,red,3067</t>
  </si>
  <si>
    <t>2026ilpe_qm24,2026-03-20,01:50 PM,qm,24,1,blue,1625</t>
  </si>
  <si>
    <t>2026ilpe_qm24,2026-03-20,01:50 PM,qm,24,1,blue,8029</t>
  </si>
  <si>
    <t>2026ilpe_qm24,2026-03-20,01:50 PM,qm,24,1,blue,4645</t>
  </si>
  <si>
    <t>2026ilpe_qm25,2026-03-20,02:00 PM,qm,25,1,red,3284</t>
  </si>
  <si>
    <t>2026ilpe_qm25,2026-03-20,02:00 PM,qm,25,1,red,4213</t>
  </si>
  <si>
    <t>2026ilpe_qm25,2026-03-20,02:00 PM,qm,25,1,red,6237</t>
  </si>
  <si>
    <t>2026ilpe_qm25,2026-03-20,02:00 PM,qm,25,1,blue,8020</t>
  </si>
  <si>
    <t>2026ilpe_qm25,2026-03-20,02:00 PM,qm,25,1,blue,3488</t>
  </si>
  <si>
    <t>2026ilpe_qm25,2026-03-20,02:00 PM,qm,25,1,blue,4156</t>
  </si>
  <si>
    <t>2026ilpe_qm26,2026-03-20,02:10 PM,qm,26,1,red,6651</t>
  </si>
  <si>
    <t>2026ilpe_qm26,2026-03-20,02:10 PM,qm,26,1,red,7472</t>
  </si>
  <si>
    <t>2026ilpe_qm26,2026-03-20,02:10 PM,qm,26,1,red,7848</t>
  </si>
  <si>
    <t>2026ilpe_qm26,2026-03-20,02:10 PM,qm,26,1,blue,1736</t>
  </si>
  <si>
    <t>2026ilpe_qm26,2026-03-20,02:10 PM,qm,26,1,blue,4143</t>
  </si>
  <si>
    <t>2026ilpe_qm26,2026-03-20,02:10 PM,qm,26,1,blue,9082</t>
  </si>
  <si>
    <t>2026ilpe_qm27,2026-03-20,02:20 PM,qm,27,1,red,8029</t>
  </si>
  <si>
    <t>2026ilpe_qm27,2026-03-20,02:20 PM,qm,27,1,red,4423</t>
  </si>
  <si>
    <t>2026ilpe_qm27,2026-03-20,02:20 PM,qm,27,1,red,648</t>
  </si>
  <si>
    <t>2026ilpe_qm27,2026-03-20,02:20 PM,qm,27,1,blue,4655</t>
  </si>
  <si>
    <t>2026ilpe_qm27,2026-03-20,02:20 PM,qm,27,1,blue,5442</t>
  </si>
  <si>
    <t>2026ilpe_qm27,2026-03-20,02:20 PM,qm,27,1,blue,8096</t>
  </si>
  <si>
    <t>2026ilpe_qm28,2026-03-20,02:30 PM,qm,28,1,red,2481</t>
  </si>
  <si>
    <t>2026ilpe_qm28,2026-03-20,02:30 PM,qm,28,1,red,3284</t>
  </si>
  <si>
    <t>2026ilpe_qm28,2026-03-20,02:30 PM,qm,28,1,red,1625</t>
  </si>
  <si>
    <t>2026ilpe_qm28,2026-03-20,02:30 PM,qm,28,1,blue,4213</t>
  </si>
  <si>
    <t>2026ilpe_qm28,2026-03-20,02:30 PM,qm,28,1,blue,2040</t>
  </si>
  <si>
    <t>2026ilpe_qm28,2026-03-20,02:30 PM,qm,28,1,blue,2039</t>
  </si>
  <si>
    <t>2026ilpe_qm29,2026-03-20,02:40 PM,qm,29,1,red,4143</t>
  </si>
  <si>
    <t>2026ilpe_qm29,2026-03-20,02:40 PM,qm,29,1,red,8719</t>
  </si>
  <si>
    <t>2026ilpe_qm29,2026-03-20,02:40 PM,qm,29,1,red,3488</t>
  </si>
  <si>
    <t>2026ilpe_qm29,2026-03-20,02:40 PM,qm,29,1,blue,6651</t>
  </si>
  <si>
    <t>2026ilpe_qm29,2026-03-20,02:40 PM,qm,29,1,blue,4787</t>
  </si>
  <si>
    <t>2026ilpe_qm29,2026-03-20,02:40 PM,qm,29,1,blue,3067</t>
  </si>
  <si>
    <t>2026ilpe_qm30,2026-03-20,02:50 PM,qm,30,1,red,2022</t>
  </si>
  <si>
    <t>2026ilpe_qm30,2026-03-20,02:50 PM,qm,30,1,red,4096</t>
  </si>
  <si>
    <t>2026ilpe_qm30,2026-03-20,02:50 PM,qm,30,1,red,8020</t>
  </si>
  <si>
    <t>2026ilpe_qm30,2026-03-20,02:50 PM,qm,30,1,blue,7848</t>
  </si>
  <si>
    <t>2026ilpe_qm30,2026-03-20,02:50 PM,qm,30,1,blue,1736</t>
  </si>
  <si>
    <t>2026ilpe_qm30,2026-03-20,02:50 PM,qm,30,1,blue,4645</t>
  </si>
  <si>
    <t>2026ilpe_qm31,2026-03-20,03:00 PM,qm,31,1,red,7417</t>
  </si>
  <si>
    <t>2026ilpe_qm31,2026-03-20,03:00 PM,qm,31,1,red,2861</t>
  </si>
  <si>
    <t>2026ilpe_qm31,2026-03-20,03:00 PM,qm,31,1,red,1756</t>
  </si>
  <si>
    <t>2026ilpe_qm31,2026-03-20,03:00 PM,qm,31,1,blue,4156</t>
  </si>
  <si>
    <t>2026ilpe_qm31,2026-03-20,03:00 PM,qm,31,1,blue,7472</t>
  </si>
  <si>
    <t>2026ilpe_qm31,2026-03-20,03:00 PM,qm,31,1,blue,6237</t>
  </si>
  <si>
    <t>2026ilpe_qm32,2026-03-20,03:10 PM,qm,32,1,red,1625</t>
  </si>
  <si>
    <t>2026ilpe_qm32,2026-03-20,03:10 PM,qm,32,1,red,9082</t>
  </si>
  <si>
    <t>2026ilpe_qm32,2026-03-20,03:10 PM,qm,32,1,red,2039</t>
  </si>
  <si>
    <t>2026ilpe_qm32,2026-03-20,03:10 PM,qm,32,1,blue,3284</t>
  </si>
  <si>
    <t>2026ilpe_qm32,2026-03-20,03:10 PM,qm,32,1,blue,8029</t>
  </si>
  <si>
    <t>2026ilpe_qm32,2026-03-20,03:10 PM,qm,32,1,blue,8096</t>
  </si>
  <si>
    <t>2026ilpe_qm33,2026-03-20,03:20 PM,qm,33,1,red,2481</t>
  </si>
  <si>
    <t>2026ilpe_qm33,2026-03-20,03:20 PM,qm,33,1,red,3488</t>
  </si>
  <si>
    <t>2026ilpe_qm33,2026-03-20,03:20 PM,qm,33,1,red,2022</t>
  </si>
  <si>
    <t>2026ilpe_qm33,2026-03-20,03:20 PM,qm,33,1,blue,8020</t>
  </si>
  <si>
    <t>2026ilpe_qm33,2026-03-20,03:20 PM,qm,33,1,blue,1736</t>
  </si>
  <si>
    <t>2026ilpe_qm33,2026-03-20,03:20 PM,qm,33,1,blue,4787</t>
  </si>
  <si>
    <t>2026ilpe_qm34,2026-03-20,03:30 PM,qm,34,1,red,2040</t>
  </si>
  <si>
    <t>2026ilpe_qm34,2026-03-20,03:30 PM,qm,34,1,red,648</t>
  </si>
  <si>
    <t>2026ilpe_qm34,2026-03-20,03:30 PM,qm,34,1,red,6237</t>
  </si>
  <si>
    <t>2026ilpe_qm34,2026-03-20,03:30 PM,qm,34,1,blue,4143</t>
  </si>
  <si>
    <t>2026ilpe_qm34,2026-03-20,03:30 PM,qm,34,1,blue,4645</t>
  </si>
  <si>
    <t>2026ilpe_qm34,2026-03-20,03:30 PM,qm,34,1,blue,7417</t>
  </si>
  <si>
    <t>2026ilpe_qm35,2026-03-20,03:40 PM,qm,35,1,red,5442</t>
  </si>
  <si>
    <t>2026ilpe_qm35,2026-03-20,03:40 PM,qm,35,1,red,3067</t>
  </si>
  <si>
    <t>2026ilpe_qm35,2026-03-20,03:40 PM,qm,35,1,red,4423</t>
  </si>
  <si>
    <t>2026ilpe_qm35,2026-03-20,03:40 PM,qm,35,1,blue,4096</t>
  </si>
  <si>
    <t>2026ilpe_qm35,2026-03-20,03:40 PM,qm,35,1,blue,6651</t>
  </si>
  <si>
    <t>2026ilpe_qm35,2026-03-20,03:40 PM,qm,35,1,blue,1756</t>
  </si>
  <si>
    <t>2026ilpe_qm36,2026-03-20,03:50 PM,qm,36,1,red,4655</t>
  </si>
  <si>
    <t>2026ilpe_qm36,2026-03-20,03:50 PM,qm,36,1,red,4156</t>
  </si>
  <si>
    <t>2026ilpe_qm36,2026-03-20,03:50 PM,qm,36,1,red,7848</t>
  </si>
  <si>
    <t>2026ilpe_qm36,2026-03-20,03:50 PM,qm,36,1,blue,4213</t>
  </si>
  <si>
    <t>2026ilpe_qm36,2026-03-20,03:50 PM,qm,36,1,blue,2861</t>
  </si>
  <si>
    <t>2026ilpe_qm36,2026-03-20,03:50 PM,qm,36,1,blue,8719</t>
  </si>
  <si>
    <t>2026ilpe_qm37,2026-03-20,04:00 PM,qm,37,1,red,2040</t>
  </si>
  <si>
    <t>2026ilpe_qm37,2026-03-20,04:00 PM,qm,37,1,red,7417</t>
  </si>
  <si>
    <t>2026ilpe_qm37,2026-03-20,04:00 PM,qm,37,1,red,1736</t>
  </si>
  <si>
    <t>2026ilpe_qm37,2026-03-20,04:00 PM,qm,37,1,blue,7472</t>
  </si>
  <si>
    <t>2026ilpe_qm37,2026-03-20,04:00 PM,qm,37,1,blue,9082</t>
  </si>
  <si>
    <t>2026ilpe_qm37,2026-03-20,04:00 PM,qm,37,1,blue,8096</t>
  </si>
  <si>
    <t>2026ilpe_qm38,2026-03-20,04:10 PM,qm,38,1,red,5442</t>
  </si>
  <si>
    <t>2026ilpe_qm38,2026-03-20,04:10 PM,qm,38,1,red,1625</t>
  </si>
  <si>
    <t>2026ilpe_qm38,2026-03-20,04:10 PM,qm,38,1,red,8020</t>
  </si>
  <si>
    <t>2026ilpe_qm38,2026-03-20,04:10 PM,qm,38,1,blue,4787</t>
  </si>
  <si>
    <t>2026ilpe_qm38,2026-03-20,04:10 PM,qm,38,1,blue,1756</t>
  </si>
  <si>
    <t>2026ilpe_qm38,2026-03-20,04:10 PM,qm,38,1,blue,4143</t>
  </si>
  <si>
    <t>2026ilpe_qm39,2026-03-20,04:20 PM,qm,39,1,red,648</t>
  </si>
  <si>
    <t>2026ilpe_qm39,2026-03-20,04:20 PM,qm,39,1,red,2481</t>
  </si>
  <si>
    <t>2026ilpe_qm39,2026-03-20,04:20 PM,qm,39,1,red,3067</t>
  </si>
  <si>
    <t>2026ilpe_qm39,2026-03-20,04:20 PM,qm,39,1,blue,2022</t>
  </si>
  <si>
    <t>2026ilpe_qm39,2026-03-20,04:20 PM,qm,39,1,blue,6237</t>
  </si>
  <si>
    <t>2026ilpe_qm39,2026-03-20,04:20 PM,qm,39,1,blue,2861</t>
  </si>
  <si>
    <t>2026ilpe_qm40,2026-03-20,04:30 PM,qm,40,1,red,4645</t>
  </si>
  <si>
    <t>2026ilpe_qm40,2026-03-20,04:30 PM,qm,40,1,red,4156</t>
  </si>
  <si>
    <t>2026ilpe_qm40,2026-03-20,04:30 PM,qm,40,1,red,6651</t>
  </si>
  <si>
    <t>2026ilpe_qm40,2026-03-20,04:30 PM,qm,40,1,blue,4423</t>
  </si>
  <si>
    <t>2026ilpe_qm40,2026-03-20,04:30 PM,qm,40,1,blue,4213</t>
  </si>
  <si>
    <t>2026ilpe_qm40,2026-03-20,04:30 PM,qm,40,1,blue,8029</t>
  </si>
  <si>
    <t>2026ilpe_qm41,2026-03-20,04:40 PM,qm,41,1,red,7848</t>
  </si>
  <si>
    <t>2026ilpe_qm41,2026-03-20,04:40 PM,qm,41,1,red,2039</t>
  </si>
  <si>
    <t>2026ilpe_qm41,2026-03-20,04:40 PM,qm,41,1,red,8719</t>
  </si>
  <si>
    <t>2026ilpe_qm41,2026-03-20,04:40 PM,qm,41,1,blue,3488</t>
  </si>
  <si>
    <t>2026ilpe_qm41,2026-03-20,04:40 PM,qm,41,1,blue,4655</t>
  </si>
  <si>
    <t>2026ilpe_qm41,2026-03-20,04:40 PM,qm,41,1,blue,4096</t>
  </si>
  <si>
    <t>2026ilpe_qm42,2026-03-20,04:50 PM,qm,42,1,red,648</t>
  </si>
  <si>
    <t>2026ilpe_qm42,2026-03-20,04:50 PM,qm,42,1,red,3284</t>
  </si>
  <si>
    <t>2026ilpe_qm42,2026-03-20,04:50 PM,qm,42,1,red,9082</t>
  </si>
  <si>
    <t>2026ilpe_qm42,2026-03-20,04:50 PM,qm,42,1,blue,7472</t>
  </si>
  <si>
    <t>2026ilpe_qm42,2026-03-20,04:50 PM,qm,42,1,blue,8020</t>
  </si>
  <si>
    <t>2026ilpe_qm42,2026-03-20,04:50 PM,qm,42,1,blue,1756</t>
  </si>
  <si>
    <t>2026ilpe_qm43,2026-03-20,05:00 PM,qm,43,1,red,5442</t>
  </si>
  <si>
    <t>2026ilpe_qm43,2026-03-20,05:00 PM,qm,43,1,red,7417</t>
  </si>
  <si>
    <t>2026ilpe_qm43,2026-03-20,05:00 PM,qm,43,1,red,6237</t>
  </si>
  <si>
    <t>2026ilpe_qm43,2026-03-20,05:00 PM,qm,43,1,blue,4156</t>
  </si>
  <si>
    <t>2026ilpe_qm43,2026-03-20,05:00 PM,qm,43,1,blue,2481</t>
  </si>
  <si>
    <t>2026ilpe_qm43,2026-03-20,05:00 PM,qm,43,1,blue,1736</t>
  </si>
  <si>
    <t>2026ilpe_qm44,2026-03-20,05:10 PM,qm,44,1,red,8719</t>
  </si>
  <si>
    <t>2026ilpe_qm44,2026-03-20,05:10 PM,qm,44,1,red,4787</t>
  </si>
  <si>
    <t>2026ilpe_qm44,2026-03-20,05:10 PM,qm,44,1,red,8029</t>
  </si>
  <si>
    <t>2026ilpe_qm44,2026-03-20,05:10 PM,qm,44,1,blue,7848</t>
  </si>
  <si>
    <t>2026ilpe_qm44,2026-03-20,05:10 PM,qm,44,1,blue,1625</t>
  </si>
  <si>
    <t>2026ilpe_qm44,2026-03-20,05:10 PM,qm,44,1,blue,2040</t>
  </si>
  <si>
    <t>2026ilpe_qm45,2026-03-20,05:20 PM,qm,45,1,red,4143</t>
  </si>
  <si>
    <t>2026ilpe_qm45,2026-03-20,05:20 PM,qm,45,1,red,4096</t>
  </si>
  <si>
    <t>2026ilpe_qm45,2026-03-20,05:20 PM,qm,45,1,red,7472</t>
  </si>
  <si>
    <t>2026ilpe_qm45,2026-03-20,05:20 PM,qm,45,1,blue,2861</t>
  </si>
  <si>
    <t>2026ilpe_qm45,2026-03-20,05:20 PM,qm,45,1,blue,2022</t>
  </si>
  <si>
    <t>2026ilpe_qm45,2026-03-20,05:20 PM,qm,45,1,blue,3284</t>
  </si>
  <si>
    <t>2026ilpe_qm46,2026-03-21,08:50 AM,qm,46,1,red,2039</t>
  </si>
  <si>
    <t>2026ilpe_qm46,2026-03-21,08:50 AM,qm,46,1,red,8096</t>
  </si>
  <si>
    <t>2026ilpe_qm46,2026-03-21,08:50 AM,qm,46,1,red,3067</t>
  </si>
  <si>
    <t>2026ilpe_qm46,2026-03-21,08:50 AM,qm,46,1,blue,4645</t>
  </si>
  <si>
    <t>2026ilpe_qm46,2026-03-21,08:50 AM,qm,46,1,blue,4213</t>
  </si>
  <si>
    <t>2026ilpe_qm46,2026-03-21,08:50 AM,qm,46,1,blue,3488</t>
  </si>
  <si>
    <t>2026ilpe_qm47,2026-03-21,09:00 AM,qm,47,1,red,6651</t>
  </si>
  <si>
    <t>2026ilpe_qm47,2026-03-21,09:00 AM,qm,47,1,red,4423</t>
  </si>
  <si>
    <t>2026ilpe_qm47,2026-03-21,09:00 AM,qm,47,1,red,1736</t>
  </si>
  <si>
    <t>2026ilpe_qm47,2026-03-21,09:00 AM,qm,47,1,blue,4655</t>
  </si>
  <si>
    <t>2026ilpe_qm47,2026-03-21,09:00 AM,qm,47,1,blue,6237</t>
  </si>
  <si>
    <t>2026ilpe_qm47,2026-03-21,09:00 AM,qm,47,1,blue,1625</t>
  </si>
  <si>
    <t>2026ilpe_qm48,2026-03-21,09:10 AM,qm,48,1,red,8719</t>
  </si>
  <si>
    <t>2026ilpe_qm48,2026-03-21,09:10 AM,qm,48,1,red,648</t>
  </si>
  <si>
    <t>2026ilpe_qm48,2026-03-21,09:10 AM,qm,48,1,red,4096</t>
  </si>
  <si>
    <t>2026ilpe_qm48,2026-03-21,09:10 AM,qm,48,1,blue,8020</t>
  </si>
  <si>
    <t>2026ilpe_qm48,2026-03-21,09:10 AM,qm,48,1,blue,7848</t>
  </si>
  <si>
    <t>2026ilpe_qm48,2026-03-21,09:10 AM,qm,48,1,blue,3284</t>
  </si>
  <si>
    <t>2026ilpe_qm49,2026-03-21,09:20 AM,qm,49,1,red,3488</t>
  </si>
  <si>
    <t>2026ilpe_qm49,2026-03-21,09:20 AM,qm,49,1,red,2039</t>
  </si>
  <si>
    <t>2026ilpe_qm49,2026-03-21,09:20 AM,qm,49,1,red,4143</t>
  </si>
  <si>
    <t>2026ilpe_qm49,2026-03-21,09:20 AM,qm,49,1,blue,3067</t>
  </si>
  <si>
    <t>2026ilpe_qm49,2026-03-21,09:20 AM,qm,49,1,blue,2040</t>
  </si>
  <si>
    <t>2026ilpe_qm49,2026-03-21,09:20 AM,qm,49,1,blue,4156</t>
  </si>
  <si>
    <t>2026ilpe_qm50,2026-03-21,09:30 AM,qm,50,1,red,4787</t>
  </si>
  <si>
    <t>2026ilpe_qm50,2026-03-21,09:30 AM,qm,50,1,red,4645</t>
  </si>
  <si>
    <t>2026ilpe_qm50,2026-03-21,09:30 AM,qm,50,1,red,8096</t>
  </si>
  <si>
    <t>2026ilpe_qm50,2026-03-21,09:30 AM,qm,50,1,blue,2481</t>
  </si>
  <si>
    <t>2026ilpe_qm50,2026-03-21,09:30 AM,qm,50,1,blue,6651</t>
  </si>
  <si>
    <t>2026ilpe_qm50,2026-03-21,09:30 AM,qm,50,1,blue,7417</t>
  </si>
  <si>
    <t>2026ilpe_qm51,2026-03-21,09:40 AM,qm,51,1,red,7472</t>
  </si>
  <si>
    <t>2026ilpe_qm51,2026-03-21,09:40 AM,qm,51,1,red,2022</t>
  </si>
  <si>
    <t>2026ilpe_qm51,2026-03-21,09:40 AM,qm,51,1,red,4655</t>
  </si>
  <si>
    <t>2026ilpe_qm51,2026-03-21,09:40 AM,qm,51,1,blue,1756</t>
  </si>
  <si>
    <t>2026ilpe_qm51,2026-03-21,09:40 AM,qm,51,1,blue,8029</t>
  </si>
  <si>
    <t>2026ilpe_qm51,2026-03-21,09:40 AM,qm,51,1,blue,5442</t>
  </si>
  <si>
    <t>2026ilpe_qm52,2026-03-21,09:50 AM,qm,52,1,red,4423</t>
  </si>
  <si>
    <t>2026ilpe_qm52,2026-03-21,09:50 AM,qm,52,1,red,2861</t>
  </si>
  <si>
    <t>2026ilpe_qm52,2026-03-21,09:50 AM,qm,52,1,red,2040</t>
  </si>
  <si>
    <t>2026ilpe_qm52,2026-03-21,09:50 AM,qm,52,1,blue,9082</t>
  </si>
  <si>
    <t>2026ilpe_qm52,2026-03-21,09:50 AM,qm,52,1,blue,4213</t>
  </si>
  <si>
    <t>2026ilpe_qm52,2026-03-21,09:50 AM,qm,52,1,blue,7848</t>
  </si>
  <si>
    <t>2026ilpe_qm53,2026-03-21,10:00 AM,qm,53,1,red,4645</t>
  </si>
  <si>
    <t>2026ilpe_qm53,2026-03-21,10:00 AM,qm,53,1,red,3067</t>
  </si>
  <si>
    <t>2026ilpe_qm53,2026-03-21,10:00 AM,qm,53,1,red,8020</t>
  </si>
  <si>
    <t>2026ilpe_qm53,2026-03-21,10:00 AM,qm,53,1,blue,4096</t>
  </si>
  <si>
    <t>2026ilpe_qm53,2026-03-21,10:00 AM,qm,53,1,blue,8719</t>
  </si>
  <si>
    <t>2026ilpe_qm53,2026-03-21,10:00 AM,qm,53,1,blue,3284</t>
  </si>
  <si>
    <t>2026ilpe_qm54,2026-03-21,10:10 AM,qm,54,1,red,3488</t>
  </si>
  <si>
    <t>2026ilpe_qm54,2026-03-21,10:10 AM,qm,54,1,red,8096</t>
  </si>
  <si>
    <t>2026ilpe_qm54,2026-03-21,10:10 AM,qm,54,1,red,4156</t>
  </si>
  <si>
    <t>2026ilpe_qm54,2026-03-21,10:10 AM,qm,54,1,blue,1756</t>
  </si>
  <si>
    <t>2026ilpe_qm54,2026-03-21,10:10 AM,qm,54,1,blue,2022</t>
  </si>
  <si>
    <t>2026ilpe_qm54,2026-03-21,10:10 AM,qm,54,1,blue,1625</t>
  </si>
  <si>
    <t>2026ilpe_qm55,2026-03-21,10:20 AM,qm,55,1,red,6237</t>
  </si>
  <si>
    <t>2026ilpe_qm55,2026-03-21,10:20 AM,qm,55,1,red,1736</t>
  </si>
  <si>
    <t>2026ilpe_qm55,2026-03-21,10:20 AM,qm,55,1,red,8029</t>
  </si>
  <si>
    <t>2026ilpe_qm55,2026-03-21,10:20 AM,qm,55,1,blue,648</t>
  </si>
  <si>
    <t>2026ilpe_qm55,2026-03-21,10:20 AM,qm,55,1,blue,5442</t>
  </si>
  <si>
    <t>2026ilpe_qm55,2026-03-21,10:20 AM,qm,55,1,blue,4213</t>
  </si>
  <si>
    <t>2026ilpe_qm56,2026-03-21,10:30 AM,qm,56,1,red,4787</t>
  </si>
  <si>
    <t>2026ilpe_qm56,2026-03-21,10:30 AM,qm,56,1,red,4423</t>
  </si>
  <si>
    <t>2026ilpe_qm56,2026-03-21,10:30 AM,qm,56,1,red,7472</t>
  </si>
  <si>
    <t>2026ilpe_qm56,2026-03-21,10:30 AM,qm,56,1,blue,2861</t>
  </si>
  <si>
    <t>2026ilpe_qm56,2026-03-21,10:30 AM,qm,56,1,blue,2039</t>
  </si>
  <si>
    <t>2026ilpe_qm56,2026-03-21,10:30 AM,qm,56,1,blue,2481</t>
  </si>
  <si>
    <t>2026ilpe_qm57,2026-03-21,10:40 AM,qm,57,1,red,4655</t>
  </si>
  <si>
    <t>2026ilpe_qm57,2026-03-21,10:40 AM,qm,57,1,red,6651</t>
  </si>
  <si>
    <t>2026ilpe_qm57,2026-03-21,10:40 AM,qm,57,1,red,4143</t>
  </si>
  <si>
    <t>2026ilpe_qm57,2026-03-21,10:40 AM,qm,57,1,blue,9082</t>
  </si>
  <si>
    <t>2026ilpe_qm57,2026-03-21,10:40 AM,qm,57,1,blue,7417</t>
  </si>
  <si>
    <t>2026ilpe_qm57,2026-03-21,10:40 AM,qm,57,1,blue,2022</t>
  </si>
  <si>
    <t>2026ilpe_qm58,2026-03-21,10:50 AM,qm,58,1,red,8029</t>
  </si>
  <si>
    <t>2026ilpe_qm58,2026-03-21,10:50 AM,qm,58,1,red,8020</t>
  </si>
  <si>
    <t>2026ilpe_qm58,2026-03-21,10:50 AM,qm,58,1,red,2040</t>
  </si>
  <si>
    <t>2026ilpe_qm58,2026-03-21,10:50 AM,qm,58,1,blue,6237</t>
  </si>
  <si>
    <t>2026ilpe_qm58,2026-03-21,10:50 AM,qm,58,1,blue,3067</t>
  </si>
  <si>
    <t>2026ilpe_qm58,2026-03-21,10:50 AM,qm,58,1,blue,4096</t>
  </si>
  <si>
    <t>2026ilpe_qm59,2026-03-21,11:00 AM,qm,59,1,red,1736</t>
  </si>
  <si>
    <t>2026ilpe_qm59,2026-03-21,11:00 AM,qm,59,1,red,2039</t>
  </si>
  <si>
    <t>2026ilpe_qm59,2026-03-21,11:00 AM,qm,59,1,red,3284</t>
  </si>
  <si>
    <t>2026ilpe_qm59,2026-03-21,11:00 AM,qm,59,1,blue,2481</t>
  </si>
  <si>
    <t>2026ilpe_qm59,2026-03-21,11:00 AM,qm,59,1,blue,7848</t>
  </si>
  <si>
    <t>2026ilpe_qm59,2026-03-21,11:00 AM,qm,59,1,blue,5442</t>
  </si>
  <si>
    <t>2026ilpe_qm60,2026-03-21,11:10 AM,qm,60,1,red,9082</t>
  </si>
  <si>
    <t>2026ilpe_qm60,2026-03-21,11:10 AM,qm,60,1,red,6651</t>
  </si>
  <si>
    <t>2026ilpe_qm60,2026-03-21,11:10 AM,qm,60,1,red,3488</t>
  </si>
  <si>
    <t>2026ilpe_qm60,2026-03-21,11:10 AM,qm,60,1,blue,4645</t>
  </si>
  <si>
    <t>2026ilpe_qm60,2026-03-21,11:10 AM,qm,60,1,blue,4655</t>
  </si>
  <si>
    <t>2026ilpe_qm60,2026-03-21,11:10 AM,qm,60,1,blue,7417</t>
  </si>
  <si>
    <t>2026ilpe_qm61,2026-03-21,11:20 AM,qm,61,1,red,4143</t>
  </si>
  <si>
    <t>2026ilpe_qm61,2026-03-21,11:20 AM,qm,61,1,red,4156</t>
  </si>
  <si>
    <t>2026ilpe_qm61,2026-03-21,11:20 AM,qm,61,1,red,2861</t>
  </si>
  <si>
    <t>2026ilpe_qm61,2026-03-21,11:20 AM,qm,61,1,blue,8096</t>
  </si>
  <si>
    <t>2026ilpe_qm61,2026-03-21,11:20 AM,qm,61,1,blue,8719</t>
  </si>
  <si>
    <t>2026ilpe_qm61,2026-03-21,11:20 AM,qm,61,1,blue,4423</t>
  </si>
  <si>
    <t>2026ilpe_qm62,2026-03-21,11:30 AM,qm,62,1,red,1756</t>
  </si>
  <si>
    <t>2026ilpe_qm62,2026-03-21,11:30 AM,qm,62,1,red,7472</t>
  </si>
  <si>
    <t>2026ilpe_qm62,2026-03-21,11:30 AM,qm,62,1,red,4213</t>
  </si>
  <si>
    <t>2026ilpe_qm62,2026-03-21,11:30 AM,qm,62,1,blue,4787</t>
  </si>
  <si>
    <t>2026ilpe_qm62,2026-03-21,11:30 AM,qm,62,1,blue,1625</t>
  </si>
  <si>
    <t>2026ilpe_qm62,2026-03-21,11:30 AM,qm,62,1,blue,648</t>
  </si>
  <si>
    <t>2026ilpe_sf1m1,2026-03-21,01:30 PM,sf,1,1,red,2481</t>
  </si>
  <si>
    <t>2026ilpe_sf1m1,2026-03-21,01:30 PM,sf,1,1,red,7417</t>
  </si>
  <si>
    <t>2026ilpe_sf1m1,2026-03-21,01:30 PM,sf,1,1,red,1756</t>
  </si>
  <si>
    <t>2026ilpe_sf1m1,2026-03-21,01:30 PM,sf,1,1,blue,3284</t>
  </si>
  <si>
    <t>2026ilpe_sf1m1,2026-03-21,01:30 PM,sf,1,1,blue,6237</t>
  </si>
  <si>
    <t>2026ilpe_sf1m1,2026-03-21,01:30 PM,sf,1,1,blue,5442</t>
  </si>
  <si>
    <t>2026ilpe_sf2m1,2026-03-21,01:39 PM,sf,1,2,red,1736</t>
  </si>
  <si>
    <t>2026ilpe_sf2m1,2026-03-21,01:39 PM,sf,1,2,red,1625</t>
  </si>
  <si>
    <t>2026ilpe_sf2m1,2026-03-21,01:39 PM,sf,1,2,red,4096</t>
  </si>
  <si>
    <t>2026ilpe_sf2m1,2026-03-21,01:39 PM,sf,1,2,blue,3067</t>
  </si>
  <si>
    <t>2026ilpe_sf2m1,2026-03-21,01:39 PM,sf,1,2,blue,8029</t>
  </si>
  <si>
    <t>2026ilpe_sf2m1,2026-03-21,01:39 PM,sf,1,2,blue,9082</t>
  </si>
  <si>
    <t>2026ilpe_sf3m1,2026-03-21,01:48 PM,sf,1,3,red,8719</t>
  </si>
  <si>
    <t>2026ilpe_sf3m1,2026-03-21,01:48 PM,sf,1,3,red,2040</t>
  </si>
  <si>
    <t>2026ilpe_sf3m1,2026-03-21,01:48 PM,sf,1,3,red,4143</t>
  </si>
  <si>
    <t>2026ilpe_sf3m1,2026-03-21,01:48 PM,sf,1,3,blue,7848</t>
  </si>
  <si>
    <t>2026ilpe_sf3m1,2026-03-21,01:48 PM,sf,1,3,blue,4423</t>
  </si>
  <si>
    <t>2026ilpe_sf3m1,2026-03-21,01:48 PM,sf,1,3,blue,8020</t>
  </si>
  <si>
    <t>2026ilpe_sf4m1,2026-03-21,01:57 PM,sf,1,4,red,6651</t>
  </si>
  <si>
    <t>2026ilpe_sf4m1,2026-03-21,01:57 PM,sf,1,4,red,4655</t>
  </si>
  <si>
    <t>2026ilpe_sf4m1,2026-03-21,01:57 PM,sf,1,4,red,2861</t>
  </si>
  <si>
    <t>2026ilpe_sf4m1,2026-03-21,01:57 PM,sf,1,4,blue,3488</t>
  </si>
  <si>
    <t>2026ilpe_sf4m1,2026-03-21,01:57 PM,sf,1,4,blue,4213</t>
  </si>
  <si>
    <t>2026ilpe_sf4m1,2026-03-21,01:57 PM,sf,1,4,blue,8096</t>
  </si>
  <si>
    <t>2026ilpe_sf5m1,2026-03-21,02:06 PM,sf,1,5,red,3284</t>
  </si>
  <si>
    <t>2026ilpe_sf5m1,2026-03-21,02:06 PM,sf,1,5,red,6237</t>
  </si>
  <si>
    <t>2026ilpe_sf5m1,2026-03-21,02:06 PM,sf,1,5,red,5442</t>
  </si>
  <si>
    <t>2026ilpe_sf5m1,2026-03-21,02:06 PM,sf,1,5,blue,8029</t>
  </si>
  <si>
    <t>2026ilpe_sf5m1,2026-03-21,02:06 PM,sf,1,5,blue,9082</t>
  </si>
  <si>
    <t>2026ilpe_sf5m1,2026-03-21,02:06 PM,sf,1,5,blue,3067</t>
  </si>
  <si>
    <t>2026ilpe_sf6m1,2026-03-21,02:15 PM,sf,1,6,red,7848</t>
  </si>
  <si>
    <t>2026ilpe_sf6m1,2026-03-21,02:15 PM,sf,1,6,red,4423</t>
  </si>
  <si>
    <t>2026ilpe_sf6m1,2026-03-21,02:15 PM,sf,1,6,red,8020</t>
  </si>
  <si>
    <t>2026ilpe_sf6m1,2026-03-21,02:15 PM,sf,1,6,blue,3488</t>
  </si>
  <si>
    <t>2026ilpe_sf6m1,2026-03-21,02:15 PM,sf,1,6,blue,8096</t>
  </si>
  <si>
    <t>2026ilpe_sf6m1,2026-03-21,02:15 PM,sf,1,6,blue,4213</t>
  </si>
  <si>
    <t>2026ilpe_sf7m1,2026-03-21,02:24 PM,sf,1,7,red,2481</t>
  </si>
  <si>
    <t>2026ilpe_sf7m1,2026-03-21,02:24 PM,sf,1,7,red,7417</t>
  </si>
  <si>
    <t>2026ilpe_sf7m1,2026-03-21,02:24 PM,sf,1,7,red,1756</t>
  </si>
  <si>
    <t>2026ilpe_sf7m1,2026-03-21,02:24 PM,sf,1,7,blue,1736</t>
  </si>
  <si>
    <t>2026ilpe_sf7m1,2026-03-21,02:24 PM,sf,1,7,blue,1625</t>
  </si>
  <si>
    <t>2026ilpe_sf7m1,2026-03-21,02:24 PM,sf,1,7,blue,4096</t>
  </si>
  <si>
    <t>2026ilpe_sf8m1,2026-03-21,02:33 PM,sf,1,8,red,8719</t>
  </si>
  <si>
    <t>2026ilpe_sf8m1,2026-03-21,02:33 PM,sf,1,8,red,2040</t>
  </si>
  <si>
    <t>2026ilpe_sf8m1,2026-03-21,02:33 PM,sf,1,8,red,4143</t>
  </si>
  <si>
    <t>2026ilpe_sf8m1,2026-03-21,02:33 PM,sf,1,8,blue,6651</t>
  </si>
  <si>
    <t>2026ilpe_sf8m1,2026-03-21,02:33 PM,sf,1,8,blue,4655</t>
  </si>
  <si>
    <t>2026ilpe_sf8m1,2026-03-21,02:33 PM,sf,1,8,blue,2861</t>
  </si>
  <si>
    <t>2026ilpe_sf9m1,2026-03-21,02:42 PM,sf,1,9,red,2481</t>
  </si>
  <si>
    <t>2026ilpe_sf9m1,2026-03-21,02:42 PM,sf,1,9,red,7417</t>
  </si>
  <si>
    <t>2026ilpe_sf9m1,2026-03-21,02:42 PM,sf,1,9,red,1756</t>
  </si>
  <si>
    <t>2026ilpe_sf9m1,2026-03-21,02:42 PM,sf,1,9,blue,4423</t>
  </si>
  <si>
    <t>2026ilpe_sf9m1,2026-03-21,02:42 PM,sf,1,9,blue,7848</t>
  </si>
  <si>
    <t>2026ilpe_sf9m1,2026-03-21,02:42 PM,sf,1,9,blue,8020</t>
  </si>
  <si>
    <t>2026ilpe_sf10m1,2026-03-21,02:51 PM,sf,1,10,red,6651</t>
  </si>
  <si>
    <t>2026ilpe_sf10m1,2026-03-21,02:51 PM,sf,1,10,red,4655</t>
  </si>
  <si>
    <t>2026ilpe_sf10m1,2026-03-21,02:51 PM,sf,1,10,red,2861</t>
  </si>
  <si>
    <t>2026ilpe_sf10m1,2026-03-21,02:51 PM,sf,1,10,blue,3284</t>
  </si>
  <si>
    <t>2026ilpe_sf10m1,2026-03-21,02:51 PM,sf,1,10,blue,6237</t>
  </si>
  <si>
    <t>2026ilpe_sf10m1,2026-03-21,02:51 PM,sf,1,10,blue,5442</t>
  </si>
  <si>
    <t>2026ilpe_sf11m1,2026-03-21,03:03 PM,sf,1,11,red,1736</t>
  </si>
  <si>
    <t>2026ilpe_sf11m1,2026-03-21,03:03 PM,sf,1,11,red,1625</t>
  </si>
  <si>
    <t>2026ilpe_sf11m1,2026-03-21,03:03 PM,sf,1,11,red,4096</t>
  </si>
  <si>
    <t>2026ilpe_sf11m1,2026-03-21,03:03 PM,sf,1,11,blue,8719</t>
  </si>
  <si>
    <t>2026ilpe_sf11m1,2026-03-21,03:03 PM,sf,1,11,blue,2040</t>
  </si>
  <si>
    <t>2026ilpe_sf11m1,2026-03-21,03:03 PM,sf,1,11,blue,4143</t>
  </si>
  <si>
    <t>2026ilpe_sf12m1,2026-03-21,03:12 PM,sf,1,12,red,6651</t>
  </si>
  <si>
    <t>2026ilpe_sf12m1,2026-03-21,03:12 PM,sf,1,12,red,4655</t>
  </si>
  <si>
    <t>2026ilpe_sf12m1,2026-03-21,03:12 PM,sf,1,12,red,2861</t>
  </si>
  <si>
    <t>2026ilpe_sf12m1,2026-03-21,03:12 PM,sf,1,12,blue,7417</t>
  </si>
  <si>
    <t>2026ilpe_sf12m1,2026-03-21,03:12 PM,sf,1,12,blue,2481</t>
  </si>
  <si>
    <t>2026ilpe_sf12m1,2026-03-21,03:12 PM,sf,1,12,blue,1756</t>
  </si>
  <si>
    <t>2026ilpe_sf13m1,2026-03-21,03:33 PM,sf,1,13,red,1736</t>
  </si>
  <si>
    <t>2026ilpe_sf13m1,2026-03-21,03:33 PM,sf,1,13,red,1625</t>
  </si>
  <si>
    <t>2026ilpe_sf13m1,2026-03-21,03:33 PM,sf,1,13,red,4096</t>
  </si>
  <si>
    <t>2026ilpe_sf13m1,2026-03-21,03:33 PM,sf,1,13,blue,7417</t>
  </si>
  <si>
    <t>2026ilpe_sf13m1,2026-03-21,03:33 PM,sf,1,13,blue,2481</t>
  </si>
  <si>
    <t>2026ilpe_sf13m1,2026-03-21,03:33 PM,sf,1,13,blue,1756</t>
  </si>
  <si>
    <t>2026ilpe_f1m1,2026-03-21,03:54 PM,f,1,1,red,4143</t>
  </si>
  <si>
    <t>2026ilpe_f1m1,2026-03-21,03:54 PM,f,1,1,red,2040</t>
  </si>
  <si>
    <t>2026ilpe_f1m1,2026-03-21,03:54 PM,f,1,1,red,8719</t>
  </si>
  <si>
    <t>2026ilpe_f1m1,2026-03-21,03:54 PM,f,1,1,blue,7417</t>
  </si>
  <si>
    <t>2026ilpe_f1m1,2026-03-21,03:54 PM,f,1,1,blue,2481</t>
  </si>
  <si>
    <t>2026ilpe_f1m1,2026-03-21,03:54 PM,f,1,1,blue,1756</t>
  </si>
  <si>
    <t>2026ilpe_f1m2,2026-03-21,04:15 PM,f,2,1,red,4143</t>
  </si>
  <si>
    <t>2026ilpe_f1m2,2026-03-21,04:15 PM,f,2,1,red,2040</t>
  </si>
  <si>
    <t>2026ilpe_f1m2,2026-03-21,04:15 PM,f,2,1,red,8719</t>
  </si>
  <si>
    <t>2026ilpe_f1m2,2026-03-21,04:15 PM,f,2,1,blue,7417</t>
  </si>
  <si>
    <t>2026ilpe_f1m2,2026-03-21,04:15 PM,f,2,1,blue,2481</t>
  </si>
  <si>
    <t>2026ilpe_f1m2,2026-03-21,04:15 PM,f,2,1,blue,1756</t>
  </si>
  <si>
    <t>2026ilpe_f1m3,2026-03-21,04:36 PM,f,3,1,red,4143</t>
  </si>
  <si>
    <t>2026ilpe_f1m3,2026-03-21,04:36 PM,f,3,1,red,2040</t>
  </si>
  <si>
    <t>2026ilpe_f1m3,2026-03-21,04:36 PM,f,3,1,red,8719</t>
  </si>
  <si>
    <t>2026ilpe_f1m3,2026-03-21,04:36 PM,f,3,1,blue,7472</t>
  </si>
  <si>
    <t>2026ilpe_f1m3,2026-03-21,04:36 PM,f,3,1,blue,2481</t>
  </si>
  <si>
    <t>2026ilpe_f1m3,2026-03-21,04:36 PM,f,3,1,blue,1756</t>
  </si>
  <si>
    <t>team_number,team_name,city,state_prov,country,robot_image_url</t>
  </si>
  <si>
    <t>648,QC ELITE  Flaming Squirrels,Moline,Illinois,USA,https://i.imgur.com/wSZuD0wm.jpg</t>
  </si>
  <si>
    <t>1625,Winnovation,Winnebago,Illinois,USA,</t>
  </si>
  <si>
    <t>1736,Robot Casserole,Peoria,Illinois,USA,https://i.imgur.com/N1FgZ0nm.jpg</t>
  </si>
  <si>
    <t>1756,Argos,Peoria,Illinois,USA,https://i.imgur.com/WgUNKahm.jpg</t>
  </si>
  <si>
    <t>2022,Titan Robotics,Aurora,Illinois,USA,https://i.imgur.com/eMPUR2Bm.jpg</t>
  </si>
  <si>
    <t>2039,Rockford Robotics,Rockford,Illinois,USA,</t>
  </si>
  <si>
    <t>2040,DERT - Dunlap Eagles Robotics Team,Dunlap,Illinois,USA,https://i.imgur.com/VLKYCJEm.jpg</t>
  </si>
  <si>
    <t>2481,Roboteers,Tremont,Illinois,USA,https://i.imgur.com/5ZOkuvbm.jpg</t>
  </si>
  <si>
    <t>2861,Infinity's End,Lake City,Minnesota,USA,</t>
  </si>
  <si>
    <t>3067,Robovikes,Geneva,Illinois,USA,</t>
  </si>
  <si>
    <t>3284,Camdenton  LASER 3284,Camdenton,Missouri,USA,</t>
  </si>
  <si>
    <t>3488,Eagle Army 3488,Orland Park,Illinois,USA,</t>
  </si>
  <si>
    <t>4096,Ctrl-Z,Champaign,Illinois,USA,https://i.imgur.com/TJWGnOAm.jpg</t>
  </si>
  <si>
    <t>4143,MARS/WARS,Metamora,Illinois,USA,https://i.imgur.com/bieeiS4m.jpg</t>
  </si>
  <si>
    <t>4156,Ninjaneers,Springfield,Illinois,USA,</t>
  </si>
  <si>
    <t>4213,MetalCow Robotics,Bloomington,Illinois,USA,</t>
  </si>
  <si>
    <t>4423,MARS' Minions,Metamora,Illinois,USA,https://i.imgur.com/MYX1Xlxm.jpg</t>
  </si>
  <si>
    <t>4645,The Chicago Style BotDogs,Chicago,Illinois,USA,https://i.imgur.com/ATLLDHqm.jpg</t>
  </si>
  <si>
    <t>4655,Stateline Robotics,Rockton,Illinois,USA,https://i.imgur.com/6mfDRHzm.jpg</t>
  </si>
  <si>
    <t>4787,Axiom,Chicago,Illinois,USA,https://i.imgur.com/UERu4sYm.jpg</t>
  </si>
  <si>
    <t>5442,Mechanical Monarchy,Washington,Illinois,USA,https://i.imgur.com/MQk4lB1m.jpg</t>
  </si>
  <si>
    <t>6237,Martin Motion,Neponset,Illinois,USA,https://i.imgur.com/tcRM13Xm.jpg</t>
  </si>
  <si>
    <t>6651,Golden Bots,Sterling,Illinois,USA,https://i.imgur.com/8h8bk8nm.jpg</t>
  </si>
  <si>
    <t>7417,Bionic Bombers,Williamsfield,Illinois,USA,</t>
  </si>
  <si>
    <t>7472,R2JESU Robotics,Saint Louis,Missouri,USA,</t>
  </si>
  <si>
    <t>7848,WI-FIghterz,Pontiac,Illinois,USA,https://i.imgur.com/or5wmXom.jpg</t>
  </si>
  <si>
    <t>8020,CyberpunK,Taipei,Taipei Special Municipality,Chinese Taipei,</t>
  </si>
  <si>
    <t>8029,Steel Bronco Robotics,Barrington,Illinois,USA,</t>
  </si>
  <si>
    <t>8096,Cache Money,Chicago,Illinois,USA,</t>
  </si>
  <si>
    <t>8719,Oakville Dynamics,Saint Louis,Missouri,USA,</t>
  </si>
  <si>
    <t>9082,No Limit,Pleasant Valley,Iowa,USA,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</si>
</sst>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&quot;Avg total: &quot;0.0"/>
  </numFmts>
  <fonts count="9" x14ac:knownFonts="1">
    <font>
      <sz val="10"/>
      <color theme="1"/>
      <name val="Arial"/>
      <family val="2"/>
    </font>
    <font>
      <b/>
      <sz val="16"/>
      <color rgb="FFF9F9F9"/>
      <name val="Arial"/>
      <family val="2"/>
    </font>
    <font>
      <b/>
      <sz val="10"/>
      <color rgb="FF1C1C1C"/>
      <name val="Arial"/>
      <family val="2"/>
    </font>
    <font>
      <b/>
      <sz val="10"/>
      <color theme="1"/>
      <name val="Arial"/>
      <family val="2"/>
    </font>
    <font>
      <i/>
      <sz val="10"/>
      <color rgb="FF787878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E8F8B"/>
      <name val="Arial"/>
      <family val="2"/>
    </font>
    <font>
      <sz val="10"/>
      <color rgb="FF5A5A5A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C1C1C"/>
        <bgColor indexed="64"/>
      </patternFill>
    </fill>
    <fill>
      <patternFill patternType="solid">
        <fgColor rgb="FF12B4AF"/>
        <bgColor indexed="64"/>
      </patternFill>
    </fill>
    <fill>
      <patternFill patternType="solid">
        <fgColor rgb="FFFFF299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2" fillId="3" borderId="0" xfId="0" applyFont="1" applyFill="1"/>
    <xf numFmtId="0" fontId="3" fillId="0" borderId="0" xfId="0" applyFont="1"/>
    <xf numFmtId="0" fontId="0" fillId="4" borderId="1" xfId="0" applyFill="1" applyBorder="1"/>
    <xf numFmtId="0" fontId="4" fillId="0" borderId="0" xfId="0" applyFont="1"/>
    <xf numFmtId="0" fontId="2" fillId="3" borderId="0" xfId="0" applyFont="1" applyFill="1" applyAlignment="1">
      <alignment vertical="center" wrapText="1"/>
    </xf>
    <xf numFmtId="0" fontId="3" fillId="5" borderId="0" xfId="0" applyFont="1" applyFill="1"/>
    <xf numFmtId="0" fontId="2" fillId="3" borderId="0" xfId="0" applyFont="1" applyFill="1" applyAlignment="1">
      <alignment horizontal="center" vertical="center" wrapText="1"/>
    </xf>
    <xf numFmtId="1" fontId="3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5" fillId="4" borderId="1" xfId="0" applyFont="1" applyFill="1" applyBorder="1"/>
    <xf numFmtId="165" fontId="0" fillId="0" borderId="0" xfId="0" applyNumberForma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 customBuiltin="1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  <fill>
        <patternFill>
          <fgColor indexed="64"/>
          <bgColor rgb="FFF9F9F9"/>
        </patternFill>
      </fill>
    </dxf>
    <dxf>
      <font>
        <b/>
      </font>
      <fill>
        <patternFill>
          <fgColor indexed="64"/>
          <bgColor rgb="FFF9F9F9"/>
        </patternFill>
      </fill>
    </dxf>
    <dxf>
      <font>
        <b/>
      </font>
      <fill>
        <patternFill>
          <fgColor indexed="64"/>
          <bgColor rgb="FFF9F9F9"/>
        </patternFill>
      </fill>
    </dxf>
    <dxf>
      <font>
        <b/>
      </font>
      <fill>
        <patternFill>
          <fgColor indexed="64"/>
          <bgColor rgb="FFF9F9F9"/>
        </patternFill>
      </fill>
    </dxf>
    <dxf>
      <font>
        <b/>
        <color rgb="FF1C1C1C"/>
      </font>
      <fill>
        <patternFill patternType="solid">
          <fgColor indexed="64"/>
          <bgColor rgb="FF12B4AF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B7DF69-AA67-489A-AA91-253CE54BF701}" name="Scans" displayName="Scans" ref="A1:AN373" totalsRowShown="0" headerRowDxfId="7">
  <autoFilter ref="A1:AN373" xr:uid="{35B7DF69-AA67-489A-AA91-253CE54BF701}"/>
  <tableColumns count="40">
    <tableColumn id="1" xr3:uid="{1EA9784C-4E98-465D-B93F-D73372CA6ED9}" name="Schema"/>
    <tableColumn id="2" xr3:uid="{F98FDB44-7263-4124-BE87-63561DCC69C4}" name="Match type"/>
    <tableColumn id="3" xr3:uid="{6DDCE585-9FB0-4D6C-9F56-5AFA8B4CD8AA}" name="Match #"/>
    <tableColumn id="4" xr3:uid="{8D247138-3989-4470-9D71-AD7E832A7454}" name="Team #"/>
    <tableColumn id="5" xr3:uid="{214205A1-5EE5-4174-A32F-E31199DA3DEA}" name="Alliance"/>
    <tableColumn id="6" xr3:uid="{1A77D063-DBAF-4FCA-97EE-44966C5FC613}" name="Station"/>
    <tableColumn id="7" xr3:uid="{1E5796C0-77FD-4C19-8879-4C0465F88635}" name="Scout name"/>
    <tableColumn id="8" xr3:uid="{A6A6E5F6-DA39-4074-AEB9-43AC4BEECC8E}" name="Robot on field?"/>
    <tableColumn id="9" xr3:uid="{0A69D6E3-2B9E-4E15-8721-176E7DBAEAFD}" name="Starting position"/>
    <tableColumn id="10" xr3:uid="{8EB6775E-A090-4B1B-A60C-0C989DE03A4C}" name="Fuel preloaded"/>
    <tableColumn id="11" xr3:uid="{72845A38-E29A-4B09-A584-ECEB9ABBEAF1}" name="Auto fuel scored"/>
    <tableColumn id="12" xr3:uid="{6731D0D9-190A-42BF-9D4D-B34ACB780E85}" name="Auto fuel missed"/>
    <tableColumn id="13" xr3:uid="{EB2A6801-8BCE-4233-AA0E-13A4586A3D04}" name="Auto path"/>
    <tableColumn id="14" xr3:uid="{56CE6720-61CF-4D1B-B4D1-4311A4AD602E}" name="Picked up fuel from"/>
    <tableColumn id="15" xr3:uid="{E358A264-0A38-48CC-A558-E175D3E2ADCF}" name="Tower climb in auto"/>
    <tableColumn id="16" xr3:uid="{1F21400A-4D75-499D-94F7-9FF91D9C3D0E}" name="Teleop fuel scored"/>
    <tableColumn id="17" xr3:uid="{803ABDDD-0A49-48B5-AFE9-5ED43C34BD47}" name="Teleop fuel missed"/>
    <tableColumn id="18" xr3:uid="{91F3ED04-8D6F-4D8C-9216-CC921714E5B2}" name="Intake from"/>
    <tableColumn id="19" xr3:uid="{B7BF48D0-05C0-45B0-8ACD-CC4B226AFAB4}" name="Shoots from"/>
    <tableColumn id="20" xr3:uid="{E9D24988-564E-406B-AF28-91C40FBAA9A3}" name="Drives over / through"/>
    <tableColumn id="21" xr3:uid="{FB0BB4C7-6962-4BC8-9F8C-47193B736E50}" name="Inactive Hub behavior"/>
    <tableColumn id="22" xr3:uid="{CCB2F81D-5938-469A-B9E2-DDBB232751CF}" name="Fuel it can carry"/>
    <tableColumn id="23" xr3:uid="{9D601724-8D12-41DA-A037-6500714E9898}" name="Played defense"/>
    <tableColumn id="24" xr3:uid="{D58A97B7-77ED-4648-A8B2-D565C4BAE8AB}" name="Was defended"/>
    <tableColumn id="25" xr3:uid="{6923B0F5-C761-4706-8EDB-04D514C5395D}" name="Tower climb"/>
    <tableColumn id="26" xr3:uid="{DA0DECF6-E0BB-4A6B-B550-CE63A8BAAE2E}" name="Climb time"/>
    <tableColumn id="27" xr3:uid="{76A3F881-559B-4415-BB18-CE33C64216F4}" name="Driver skill"/>
    <tableColumn id="28" xr3:uid="{BFF7C504-7FEE-475D-BAC8-84E20D4F7CA8}" name="Robot speed"/>
    <tableColumn id="29" xr3:uid="{171247CB-DA73-4D71-B159-8FC6916F732C}" name="Shooting accuracy"/>
    <tableColumn id="30" xr3:uid="{81504DD0-15D2-4136-ACAC-5C83935D41FD}" name="Problems"/>
    <tableColumn id="31" xr3:uid="{8E60D869-51CF-4F11-A10A-41FA6C6654E6}" name="Minor fouls"/>
    <tableColumn id="32" xr3:uid="{BF54C42B-4D2C-41A2-B63E-63BFB4B3A537}" name="Major fouls"/>
    <tableColumn id="33" xr3:uid="{E9509191-90C9-4D9A-9901-8CCFCDEDD6B5}" name="Card"/>
    <tableColumn id="34" xr3:uid="{B480B0D4-B3AF-48FC-9C92-051444184AE2}" name="Pick?"/>
    <tableColumn id="35" xr3:uid="{5D92BC8D-3F81-49C0-9824-1D51ADCBD535}" name="Observations"/>
    <tableColumn id="36" xr3:uid="{AA77911A-52FA-4CCF-B49C-FF6ABCD53218}" name="Auto pts" dataDxfId="6"/>
    <tableColumn id="37" xr3:uid="{883570B7-295C-4533-B7BD-E4456BDD1FB0}" name="Teleop fuel pts" dataDxfId="5"/>
    <tableColumn id="38" xr3:uid="{BA8F21D0-135F-410C-B4DA-FD221DC5FE2F}" name="Climb pts" dataDxfId="4"/>
    <tableColumn id="39" xr3:uid="{C2E108E6-4364-40E6-AFE1-51F6E72C751E}" name="Total pts" dataDxfId="3"/>
    <tableColumn id="40" xr3:uid="{FC8F8099-5900-4711-AD3F-E020FA838417}" name="Submitte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BA354-6ABD-4C4A-B403-BAFEC723A591}">
  <dimension ref="A1:J83"/>
  <sheetViews>
    <sheetView workbookViewId="0"/>
  </sheetViews>
  <sheetFormatPr defaultRowHeight="12.75" x14ac:dyDescent="0.2"/>
  <cols>
    <col min="1" max="1" width="4.7109375" customWidth="1"/>
    <col min="2" max="2" width="110.7109375" customWidth="1"/>
  </cols>
  <sheetData>
    <row r="1" spans="1:10" ht="27.95" customHeight="1" x14ac:dyDescent="0.3">
      <c r="A1" s="2" t="s">
        <v>109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">
      <c r="A2" s="4" t="s">
        <v>110</v>
      </c>
      <c r="B2" s="3"/>
      <c r="C2" s="3"/>
      <c r="D2" s="3"/>
      <c r="E2" s="3"/>
      <c r="F2" s="3"/>
      <c r="G2" s="3"/>
      <c r="H2" s="3"/>
      <c r="I2" s="3"/>
      <c r="J2" s="3"/>
    </row>
    <row r="5" spans="1:10" ht="15.75" x14ac:dyDescent="0.25">
      <c r="A5" s="21" t="s">
        <v>111</v>
      </c>
    </row>
    <row r="6" spans="1:10" x14ac:dyDescent="0.2">
      <c r="A6" s="15">
        <v>1</v>
      </c>
      <c r="B6" t="s">
        <v>112</v>
      </c>
    </row>
    <row r="7" spans="1:10" x14ac:dyDescent="0.2">
      <c r="A7" s="15"/>
      <c r="B7" t="s">
        <v>113</v>
      </c>
    </row>
    <row r="8" spans="1:10" x14ac:dyDescent="0.2">
      <c r="A8" s="15">
        <v>2</v>
      </c>
      <c r="B8" t="s">
        <v>114</v>
      </c>
    </row>
    <row r="9" spans="1:10" x14ac:dyDescent="0.2">
      <c r="A9" s="15">
        <v>3</v>
      </c>
      <c r="B9" t="s">
        <v>115</v>
      </c>
    </row>
    <row r="11" spans="1:10" ht="15.75" x14ac:dyDescent="0.25">
      <c r="A11" s="21" t="s">
        <v>116</v>
      </c>
    </row>
    <row r="12" spans="1:10" x14ac:dyDescent="0.2">
      <c r="A12" s="15">
        <v>1</v>
      </c>
      <c r="B12" t="s">
        <v>117</v>
      </c>
    </row>
    <row r="13" spans="1:10" x14ac:dyDescent="0.2">
      <c r="A13" s="15">
        <v>2</v>
      </c>
      <c r="B13" t="s">
        <v>118</v>
      </c>
    </row>
    <row r="14" spans="1:10" x14ac:dyDescent="0.2">
      <c r="A14" s="15">
        <v>3</v>
      </c>
      <c r="B14" t="s">
        <v>119</v>
      </c>
    </row>
    <row r="15" spans="1:10" x14ac:dyDescent="0.2">
      <c r="A15" s="15">
        <v>4</v>
      </c>
      <c r="B15" t="s">
        <v>120</v>
      </c>
    </row>
    <row r="17" spans="1:2" ht="15.75" x14ac:dyDescent="0.25">
      <c r="A17" s="21" t="s">
        <v>121</v>
      </c>
    </row>
    <row r="18" spans="1:2" x14ac:dyDescent="0.2">
      <c r="A18" s="15">
        <v>1</v>
      </c>
      <c r="B18" t="s">
        <v>122</v>
      </c>
    </row>
    <row r="19" spans="1:2" x14ac:dyDescent="0.2">
      <c r="A19" s="15"/>
      <c r="B19" t="s">
        <v>123</v>
      </c>
    </row>
    <row r="20" spans="1:2" x14ac:dyDescent="0.2">
      <c r="A20" s="15">
        <v>2</v>
      </c>
      <c r="B20" t="s">
        <v>124</v>
      </c>
    </row>
    <row r="22" spans="1:2" ht="15.75" x14ac:dyDescent="0.25">
      <c r="A22" s="21" t="s">
        <v>125</v>
      </c>
    </row>
    <row r="23" spans="1:2" x14ac:dyDescent="0.2">
      <c r="A23" s="15" t="s">
        <v>126</v>
      </c>
      <c r="B23" t="s">
        <v>127</v>
      </c>
    </row>
    <row r="24" spans="1:2" x14ac:dyDescent="0.2">
      <c r="A24" s="15" t="s">
        <v>126</v>
      </c>
      <c r="B24" t="s">
        <v>128</v>
      </c>
    </row>
    <row r="25" spans="1:2" x14ac:dyDescent="0.2">
      <c r="A25" s="15" t="s">
        <v>126</v>
      </c>
      <c r="B25" t="s">
        <v>129</v>
      </c>
    </row>
    <row r="26" spans="1:2" x14ac:dyDescent="0.2">
      <c r="A26" s="15" t="s">
        <v>126</v>
      </c>
      <c r="B26" t="s">
        <v>130</v>
      </c>
    </row>
    <row r="27" spans="1:2" x14ac:dyDescent="0.2">
      <c r="A27" s="15" t="s">
        <v>126</v>
      </c>
      <c r="B27" t="s">
        <v>131</v>
      </c>
    </row>
    <row r="28" spans="1:2" x14ac:dyDescent="0.2">
      <c r="A28" s="15" t="s">
        <v>126</v>
      </c>
      <c r="B28" t="s">
        <v>132</v>
      </c>
    </row>
    <row r="30" spans="1:2" ht="15.75" x14ac:dyDescent="0.25">
      <c r="A30" s="21" t="s">
        <v>133</v>
      </c>
    </row>
    <row r="31" spans="1:2" x14ac:dyDescent="0.2">
      <c r="A31" s="15" t="s">
        <v>126</v>
      </c>
      <c r="B31" t="s">
        <v>134</v>
      </c>
    </row>
    <row r="32" spans="1:2" x14ac:dyDescent="0.2">
      <c r="A32" s="15" t="s">
        <v>126</v>
      </c>
      <c r="B32" t="s">
        <v>135</v>
      </c>
    </row>
    <row r="33" spans="1:2" x14ac:dyDescent="0.2">
      <c r="A33" s="15" t="s">
        <v>126</v>
      </c>
      <c r="B33" t="s">
        <v>136</v>
      </c>
    </row>
    <row r="34" spans="1:2" x14ac:dyDescent="0.2">
      <c r="A34" s="15" t="s">
        <v>126</v>
      </c>
      <c r="B34" t="s">
        <v>137</v>
      </c>
    </row>
    <row r="35" spans="1:2" x14ac:dyDescent="0.2">
      <c r="A35" s="15" t="s">
        <v>126</v>
      </c>
      <c r="B35" t="s">
        <v>138</v>
      </c>
    </row>
    <row r="36" spans="1:2" x14ac:dyDescent="0.2">
      <c r="A36" s="15"/>
      <c r="B36" t="s">
        <v>139</v>
      </c>
    </row>
    <row r="38" spans="1:2" ht="15.75" x14ac:dyDescent="0.25">
      <c r="A38" s="21" t="s">
        <v>140</v>
      </c>
    </row>
    <row r="39" spans="1:2" x14ac:dyDescent="0.2">
      <c r="A39" s="15" t="s">
        <v>126</v>
      </c>
      <c r="B39" t="s">
        <v>141</v>
      </c>
    </row>
    <row r="40" spans="1:2" x14ac:dyDescent="0.2">
      <c r="A40" s="15"/>
      <c r="B40" t="s">
        <v>142</v>
      </c>
    </row>
    <row r="41" spans="1:2" x14ac:dyDescent="0.2">
      <c r="A41" s="15"/>
      <c r="B41" t="s">
        <v>143</v>
      </c>
    </row>
    <row r="43" spans="1:2" ht="15.75" x14ac:dyDescent="0.25">
      <c r="A43" s="21" t="s">
        <v>144</v>
      </c>
    </row>
    <row r="44" spans="1:2" x14ac:dyDescent="0.2">
      <c r="B44" s="22" t="s">
        <v>145</v>
      </c>
    </row>
    <row r="45" spans="1:2" x14ac:dyDescent="0.2">
      <c r="B45" s="22" t="s">
        <v>146</v>
      </c>
    </row>
    <row r="46" spans="1:2" x14ac:dyDescent="0.2">
      <c r="B46" s="22" t="s">
        <v>147</v>
      </c>
    </row>
    <row r="47" spans="1:2" x14ac:dyDescent="0.2">
      <c r="B47" s="22" t="s">
        <v>148</v>
      </c>
    </row>
    <row r="48" spans="1:2" x14ac:dyDescent="0.2">
      <c r="B48" s="22" t="s">
        <v>149</v>
      </c>
    </row>
    <row r="49" spans="2:2" x14ac:dyDescent="0.2">
      <c r="B49" s="22" t="s">
        <v>150</v>
      </c>
    </row>
    <row r="50" spans="2:2" x14ac:dyDescent="0.2">
      <c r="B50" s="22" t="s">
        <v>151</v>
      </c>
    </row>
    <row r="51" spans="2:2" x14ac:dyDescent="0.2">
      <c r="B51" s="22" t="s">
        <v>152</v>
      </c>
    </row>
    <row r="52" spans="2:2" x14ac:dyDescent="0.2">
      <c r="B52" s="22" t="s">
        <v>153</v>
      </c>
    </row>
    <row r="53" spans="2:2" x14ac:dyDescent="0.2">
      <c r="B53" s="22" t="s">
        <v>154</v>
      </c>
    </row>
    <row r="54" spans="2:2" x14ac:dyDescent="0.2">
      <c r="B54" s="22" t="s">
        <v>155</v>
      </c>
    </row>
    <row r="55" spans="2:2" x14ac:dyDescent="0.2">
      <c r="B55" s="22" t="s">
        <v>156</v>
      </c>
    </row>
    <row r="56" spans="2:2" x14ac:dyDescent="0.2">
      <c r="B56" s="22" t="s">
        <v>157</v>
      </c>
    </row>
    <row r="57" spans="2:2" x14ac:dyDescent="0.2">
      <c r="B57" s="22" t="s">
        <v>158</v>
      </c>
    </row>
    <row r="58" spans="2:2" x14ac:dyDescent="0.2">
      <c r="B58" s="22" t="s">
        <v>159</v>
      </c>
    </row>
    <row r="59" spans="2:2" x14ac:dyDescent="0.2">
      <c r="B59" s="22" t="s">
        <v>160</v>
      </c>
    </row>
    <row r="60" spans="2:2" x14ac:dyDescent="0.2">
      <c r="B60" s="22" t="s">
        <v>161</v>
      </c>
    </row>
    <row r="61" spans="2:2" x14ac:dyDescent="0.2">
      <c r="B61" s="22" t="s">
        <v>162</v>
      </c>
    </row>
    <row r="62" spans="2:2" x14ac:dyDescent="0.2">
      <c r="B62" s="22" t="s">
        <v>163</v>
      </c>
    </row>
    <row r="63" spans="2:2" x14ac:dyDescent="0.2">
      <c r="B63" s="22" t="s">
        <v>164</v>
      </c>
    </row>
    <row r="64" spans="2:2" x14ac:dyDescent="0.2">
      <c r="B64" s="22" t="s">
        <v>165</v>
      </c>
    </row>
    <row r="65" spans="2:2" x14ac:dyDescent="0.2">
      <c r="B65" s="22" t="s">
        <v>166</v>
      </c>
    </row>
    <row r="66" spans="2:2" x14ac:dyDescent="0.2">
      <c r="B66" s="22" t="s">
        <v>167</v>
      </c>
    </row>
    <row r="67" spans="2:2" x14ac:dyDescent="0.2">
      <c r="B67" s="22" t="s">
        <v>168</v>
      </c>
    </row>
    <row r="68" spans="2:2" x14ac:dyDescent="0.2">
      <c r="B68" s="22" t="s">
        <v>169</v>
      </c>
    </row>
    <row r="69" spans="2:2" x14ac:dyDescent="0.2">
      <c r="B69" s="22" t="s">
        <v>170</v>
      </c>
    </row>
    <row r="70" spans="2:2" x14ac:dyDescent="0.2">
      <c r="B70" s="22" t="s">
        <v>171</v>
      </c>
    </row>
    <row r="71" spans="2:2" x14ac:dyDescent="0.2">
      <c r="B71" s="22" t="s">
        <v>172</v>
      </c>
    </row>
    <row r="72" spans="2:2" x14ac:dyDescent="0.2">
      <c r="B72" s="22" t="s">
        <v>173</v>
      </c>
    </row>
    <row r="73" spans="2:2" x14ac:dyDescent="0.2">
      <c r="B73" s="22" t="s">
        <v>174</v>
      </c>
    </row>
    <row r="74" spans="2:2" x14ac:dyDescent="0.2">
      <c r="B74" s="22" t="s">
        <v>175</v>
      </c>
    </row>
    <row r="75" spans="2:2" x14ac:dyDescent="0.2">
      <c r="B75" s="22" t="s">
        <v>176</v>
      </c>
    </row>
    <row r="76" spans="2:2" x14ac:dyDescent="0.2">
      <c r="B76" s="22" t="s">
        <v>177</v>
      </c>
    </row>
    <row r="77" spans="2:2" x14ac:dyDescent="0.2">
      <c r="B77" s="22" t="s">
        <v>178</v>
      </c>
    </row>
    <row r="78" spans="2:2" x14ac:dyDescent="0.2">
      <c r="B78" s="22" t="s">
        <v>179</v>
      </c>
    </row>
    <row r="79" spans="2:2" x14ac:dyDescent="0.2">
      <c r="B79" s="22" t="s">
        <v>180</v>
      </c>
    </row>
    <row r="80" spans="2:2" x14ac:dyDescent="0.2">
      <c r="B80" s="22" t="s">
        <v>181</v>
      </c>
    </row>
    <row r="81" spans="2:2" x14ac:dyDescent="0.2">
      <c r="B81" s="22" t="s">
        <v>182</v>
      </c>
    </row>
    <row r="82" spans="2:2" x14ac:dyDescent="0.2">
      <c r="B82" s="22" t="s">
        <v>183</v>
      </c>
    </row>
    <row r="83" spans="2:2" x14ac:dyDescent="0.2">
      <c r="B83" s="22" t="s">
        <v>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00BA0-562B-4087-B435-F871A0D7DA38}">
  <dimension ref="A1:AN373"/>
  <sheetViews>
    <sheetView workbookViewId="0">
      <pane xSplit="4" ySplit="1" topLeftCell="E2" activePane="bottomRight" state="frozenSplit"/>
      <selection pane="topRight" activeCell="E1" sqref="E1"/>
      <selection pane="bottomLeft" activeCell="A2" sqref="A2"/>
      <selection pane="bottomRight" activeCell="A2" sqref="A2"/>
    </sheetView>
  </sheetViews>
  <sheetFormatPr defaultRowHeight="12.75" x14ac:dyDescent="0.2"/>
  <cols>
    <col min="1" max="1" width="13.7109375" customWidth="1"/>
    <col min="2" max="6" width="10.7109375" customWidth="1"/>
    <col min="7" max="7" width="14.7109375" customWidth="1"/>
    <col min="8" max="8" width="10.7109375" customWidth="1"/>
    <col min="9" max="9" width="11.7109375" customWidth="1"/>
    <col min="10" max="12" width="10.7109375" customWidth="1"/>
    <col min="13" max="13" width="30.7109375" customWidth="1"/>
    <col min="14" max="14" width="22.7109375" customWidth="1"/>
    <col min="15" max="17" width="10.7109375" customWidth="1"/>
    <col min="18" max="18" width="30.7109375" customWidth="1"/>
    <col min="19" max="19" width="26.7109375" customWidth="1"/>
    <col min="20" max="20" width="14.7109375" customWidth="1"/>
    <col min="21" max="21" width="30.7109375" customWidth="1"/>
    <col min="22" max="29" width="10.7109375" customWidth="1"/>
    <col min="30" max="30" width="24.7109375" customWidth="1"/>
    <col min="31" max="34" width="10.7109375" customWidth="1"/>
    <col min="35" max="35" width="50.7109375" customWidth="1"/>
    <col min="36" max="39" width="10.7109375" style="9" customWidth="1"/>
    <col min="40" max="40" width="20.7109375" customWidth="1"/>
  </cols>
  <sheetData>
    <row r="1" spans="1:40" ht="42" customHeight="1" x14ac:dyDescent="0.2">
      <c r="A1" s="8" t="s">
        <v>22</v>
      </c>
      <c r="B1" s="8" t="s">
        <v>23</v>
      </c>
      <c r="C1" s="8" t="s">
        <v>11</v>
      </c>
      <c r="D1" s="8" t="s">
        <v>13</v>
      </c>
      <c r="E1" s="8" t="s">
        <v>12</v>
      </c>
      <c r="F1" s="8" t="s">
        <v>24</v>
      </c>
      <c r="G1" s="8" t="s">
        <v>25</v>
      </c>
      <c r="H1" s="8" t="s">
        <v>26</v>
      </c>
      <c r="I1" s="8" t="s">
        <v>27</v>
      </c>
      <c r="J1" s="8" t="s">
        <v>28</v>
      </c>
      <c r="K1" s="8" t="s">
        <v>29</v>
      </c>
      <c r="L1" s="8" t="s">
        <v>30</v>
      </c>
      <c r="M1" s="8" t="s">
        <v>31</v>
      </c>
      <c r="N1" s="8" t="s">
        <v>32</v>
      </c>
      <c r="O1" s="8" t="s">
        <v>33</v>
      </c>
      <c r="P1" s="8" t="s">
        <v>34</v>
      </c>
      <c r="Q1" s="8" t="s">
        <v>35</v>
      </c>
      <c r="R1" s="8" t="s">
        <v>36</v>
      </c>
      <c r="S1" s="8" t="s">
        <v>37</v>
      </c>
      <c r="T1" s="8" t="s">
        <v>38</v>
      </c>
      <c r="U1" s="8" t="s">
        <v>39</v>
      </c>
      <c r="V1" s="8" t="s">
        <v>40</v>
      </c>
      <c r="W1" s="8" t="s">
        <v>41</v>
      </c>
      <c r="X1" s="8" t="s">
        <v>42</v>
      </c>
      <c r="Y1" s="8" t="s">
        <v>43</v>
      </c>
      <c r="Z1" s="8" t="s">
        <v>44</v>
      </c>
      <c r="AA1" s="8" t="s">
        <v>45</v>
      </c>
      <c r="AB1" s="8" t="s">
        <v>46</v>
      </c>
      <c r="AC1" s="8" t="s">
        <v>47</v>
      </c>
      <c r="AD1" s="8" t="s">
        <v>48</v>
      </c>
      <c r="AE1" s="8" t="s">
        <v>49</v>
      </c>
      <c r="AF1" s="8" t="s">
        <v>50</v>
      </c>
      <c r="AG1" s="8" t="s">
        <v>51</v>
      </c>
      <c r="AH1" s="8" t="s">
        <v>52</v>
      </c>
      <c r="AI1" s="8" t="s">
        <v>53</v>
      </c>
      <c r="AJ1" s="8" t="s">
        <v>54</v>
      </c>
      <c r="AK1" s="8" t="s">
        <v>55</v>
      </c>
      <c r="AL1" s="8" t="s">
        <v>56</v>
      </c>
      <c r="AM1" s="8" t="s">
        <v>57</v>
      </c>
      <c r="AN1" s="8" t="s">
        <v>58</v>
      </c>
    </row>
    <row r="2" spans="1:40" x14ac:dyDescent="0.2">
      <c r="A2" t="s">
        <v>185</v>
      </c>
      <c r="B2" t="s">
        <v>186</v>
      </c>
      <c r="C2">
        <v>1</v>
      </c>
      <c r="D2">
        <v>2039</v>
      </c>
      <c r="E2" t="s">
        <v>187</v>
      </c>
      <c r="F2">
        <v>1</v>
      </c>
      <c r="G2" t="s">
        <v>188</v>
      </c>
      <c r="H2" t="s">
        <v>189</v>
      </c>
      <c r="I2" t="s">
        <v>190</v>
      </c>
      <c r="J2">
        <v>8</v>
      </c>
      <c r="K2">
        <v>1</v>
      </c>
      <c r="L2">
        <v>1</v>
      </c>
      <c r="M2" t="s">
        <v>191</v>
      </c>
      <c r="O2" t="s">
        <v>192</v>
      </c>
      <c r="P2">
        <v>1</v>
      </c>
      <c r="Q2">
        <v>1</v>
      </c>
      <c r="R2" t="s">
        <v>193</v>
      </c>
      <c r="S2" t="s">
        <v>194</v>
      </c>
      <c r="U2" t="s">
        <v>195</v>
      </c>
      <c r="V2" t="s">
        <v>196</v>
      </c>
      <c r="W2" t="s">
        <v>197</v>
      </c>
      <c r="X2" t="s">
        <v>198</v>
      </c>
      <c r="Y2" t="s">
        <v>192</v>
      </c>
      <c r="AA2">
        <v>2</v>
      </c>
      <c r="AB2">
        <v>1</v>
      </c>
      <c r="AC2">
        <v>1</v>
      </c>
      <c r="AE2">
        <v>1</v>
      </c>
      <c r="AF2">
        <v>0</v>
      </c>
      <c r="AG2" t="s">
        <v>192</v>
      </c>
      <c r="AH2" t="s">
        <v>199</v>
      </c>
      <c r="AI2" t="s">
        <v>200</v>
      </c>
      <c r="AJ2" s="9">
        <v>1</v>
      </c>
      <c r="AK2" s="9">
        <v>1</v>
      </c>
      <c r="AL2" s="9">
        <v>0</v>
      </c>
      <c r="AM2" s="9">
        <v>2</v>
      </c>
      <c r="AN2" t="s">
        <v>201</v>
      </c>
    </row>
    <row r="3" spans="1:40" x14ac:dyDescent="0.2">
      <c r="A3" t="s">
        <v>185</v>
      </c>
      <c r="B3" t="s">
        <v>186</v>
      </c>
      <c r="C3">
        <v>1</v>
      </c>
      <c r="D3">
        <v>6237</v>
      </c>
      <c r="E3" t="s">
        <v>187</v>
      </c>
      <c r="F3">
        <v>2</v>
      </c>
      <c r="G3" t="s">
        <v>202</v>
      </c>
      <c r="H3" t="s">
        <v>189</v>
      </c>
      <c r="I3" t="s">
        <v>203</v>
      </c>
      <c r="J3">
        <v>8</v>
      </c>
      <c r="K3">
        <v>2</v>
      </c>
      <c r="L3">
        <v>1</v>
      </c>
      <c r="M3" t="s">
        <v>191</v>
      </c>
      <c r="O3" t="s">
        <v>192</v>
      </c>
      <c r="P3">
        <v>47</v>
      </c>
      <c r="Q3">
        <v>22</v>
      </c>
      <c r="R3" t="s">
        <v>204</v>
      </c>
      <c r="S3" t="s">
        <v>205</v>
      </c>
      <c r="T3" t="s">
        <v>206</v>
      </c>
      <c r="U3" t="s">
        <v>207</v>
      </c>
      <c r="V3" t="s">
        <v>208</v>
      </c>
      <c r="W3" t="s">
        <v>192</v>
      </c>
      <c r="X3" t="s">
        <v>198</v>
      </c>
      <c r="Y3" t="s">
        <v>192</v>
      </c>
      <c r="AA3">
        <v>5</v>
      </c>
      <c r="AB3">
        <v>4</v>
      </c>
      <c r="AC3">
        <v>2</v>
      </c>
      <c r="AE3">
        <v>0</v>
      </c>
      <c r="AF3">
        <v>0</v>
      </c>
      <c r="AG3" t="s">
        <v>192</v>
      </c>
      <c r="AH3" t="s">
        <v>189</v>
      </c>
      <c r="AI3" t="s">
        <v>209</v>
      </c>
      <c r="AJ3" s="9">
        <v>2</v>
      </c>
      <c r="AK3" s="9">
        <v>47</v>
      </c>
      <c r="AL3" s="9">
        <v>0</v>
      </c>
      <c r="AM3" s="9">
        <v>49</v>
      </c>
      <c r="AN3" t="s">
        <v>210</v>
      </c>
    </row>
    <row r="4" spans="1:40" x14ac:dyDescent="0.2">
      <c r="A4" t="s">
        <v>185</v>
      </c>
      <c r="B4" t="s">
        <v>186</v>
      </c>
      <c r="C4">
        <v>1</v>
      </c>
      <c r="D4">
        <v>4645</v>
      </c>
      <c r="E4" t="s">
        <v>187</v>
      </c>
      <c r="F4">
        <v>3</v>
      </c>
      <c r="G4" t="s">
        <v>211</v>
      </c>
      <c r="H4" t="s">
        <v>189</v>
      </c>
      <c r="I4" t="s">
        <v>212</v>
      </c>
      <c r="J4">
        <v>8</v>
      </c>
      <c r="K4">
        <v>4</v>
      </c>
      <c r="L4">
        <v>1</v>
      </c>
      <c r="M4" t="s">
        <v>191</v>
      </c>
      <c r="O4" t="s">
        <v>192</v>
      </c>
      <c r="P4">
        <v>11</v>
      </c>
      <c r="Q4">
        <v>3</v>
      </c>
      <c r="R4" t="s">
        <v>213</v>
      </c>
      <c r="S4" t="s">
        <v>214</v>
      </c>
      <c r="T4" t="s">
        <v>215</v>
      </c>
      <c r="U4" t="s">
        <v>216</v>
      </c>
      <c r="V4" t="s">
        <v>217</v>
      </c>
      <c r="W4" t="s">
        <v>192</v>
      </c>
      <c r="X4" t="s">
        <v>198</v>
      </c>
      <c r="Y4" t="s">
        <v>192</v>
      </c>
      <c r="AA4">
        <v>3</v>
      </c>
      <c r="AB4">
        <v>3</v>
      </c>
      <c r="AC4">
        <v>5</v>
      </c>
      <c r="AD4" t="s">
        <v>218</v>
      </c>
      <c r="AE4">
        <v>0</v>
      </c>
      <c r="AF4">
        <v>0</v>
      </c>
      <c r="AG4" t="s">
        <v>192</v>
      </c>
      <c r="AH4" t="s">
        <v>198</v>
      </c>
      <c r="AJ4" s="9">
        <v>4</v>
      </c>
      <c r="AK4" s="9">
        <v>11</v>
      </c>
      <c r="AL4" s="9">
        <v>0</v>
      </c>
      <c r="AM4" s="9">
        <v>15</v>
      </c>
      <c r="AN4" t="s">
        <v>219</v>
      </c>
    </row>
    <row r="5" spans="1:40" x14ac:dyDescent="0.2">
      <c r="A5" t="s">
        <v>185</v>
      </c>
      <c r="B5" t="s">
        <v>186</v>
      </c>
      <c r="C5">
        <v>1</v>
      </c>
      <c r="D5">
        <v>2022</v>
      </c>
      <c r="E5" t="s">
        <v>220</v>
      </c>
      <c r="F5">
        <v>1</v>
      </c>
      <c r="G5" t="s">
        <v>221</v>
      </c>
      <c r="H5" t="s">
        <v>189</v>
      </c>
      <c r="I5" t="s">
        <v>190</v>
      </c>
      <c r="J5">
        <v>8</v>
      </c>
      <c r="K5">
        <v>4</v>
      </c>
      <c r="L5">
        <v>1</v>
      </c>
      <c r="M5" t="s">
        <v>191</v>
      </c>
      <c r="O5" t="s">
        <v>192</v>
      </c>
      <c r="P5">
        <v>16</v>
      </c>
      <c r="Q5">
        <v>4</v>
      </c>
      <c r="R5" t="s">
        <v>213</v>
      </c>
      <c r="S5" t="s">
        <v>214</v>
      </c>
      <c r="T5" t="s">
        <v>215</v>
      </c>
      <c r="U5" t="s">
        <v>216</v>
      </c>
      <c r="V5" t="s">
        <v>217</v>
      </c>
      <c r="W5" t="s">
        <v>192</v>
      </c>
      <c r="X5" t="s">
        <v>198</v>
      </c>
      <c r="Y5" t="s">
        <v>192</v>
      </c>
      <c r="AA5">
        <v>4</v>
      </c>
      <c r="AB5">
        <v>3</v>
      </c>
      <c r="AC5">
        <v>4</v>
      </c>
      <c r="AD5" t="s">
        <v>218</v>
      </c>
      <c r="AE5">
        <v>0</v>
      </c>
      <c r="AF5">
        <v>0</v>
      </c>
      <c r="AG5" t="s">
        <v>192</v>
      </c>
      <c r="AH5" t="s">
        <v>199</v>
      </c>
      <c r="AJ5" s="9">
        <v>4</v>
      </c>
      <c r="AK5" s="9">
        <v>16</v>
      </c>
      <c r="AL5" s="9">
        <v>0</v>
      </c>
      <c r="AM5" s="9">
        <v>20</v>
      </c>
      <c r="AN5" t="s">
        <v>222</v>
      </c>
    </row>
    <row r="6" spans="1:40" x14ac:dyDescent="0.2">
      <c r="A6" t="s">
        <v>185</v>
      </c>
      <c r="B6" t="s">
        <v>186</v>
      </c>
      <c r="C6">
        <v>1</v>
      </c>
      <c r="D6">
        <v>2040</v>
      </c>
      <c r="E6" t="s">
        <v>220</v>
      </c>
      <c r="F6">
        <v>2</v>
      </c>
      <c r="G6" t="s">
        <v>223</v>
      </c>
      <c r="H6" t="s">
        <v>189</v>
      </c>
      <c r="I6" t="s">
        <v>203</v>
      </c>
      <c r="J6">
        <v>5</v>
      </c>
      <c r="K6">
        <v>26</v>
      </c>
      <c r="L6">
        <v>8</v>
      </c>
      <c r="M6" t="s">
        <v>224</v>
      </c>
      <c r="N6" t="s">
        <v>225</v>
      </c>
      <c r="O6" t="s">
        <v>192</v>
      </c>
      <c r="P6">
        <v>61</v>
      </c>
      <c r="Q6">
        <v>18</v>
      </c>
      <c r="R6" t="s">
        <v>204</v>
      </c>
      <c r="S6" t="s">
        <v>205</v>
      </c>
      <c r="T6" t="s">
        <v>206</v>
      </c>
      <c r="U6" t="s">
        <v>207</v>
      </c>
      <c r="V6" t="s">
        <v>208</v>
      </c>
      <c r="W6" t="s">
        <v>192</v>
      </c>
      <c r="X6" t="s">
        <v>198</v>
      </c>
      <c r="Y6" t="s">
        <v>192</v>
      </c>
      <c r="AA6">
        <v>5</v>
      </c>
      <c r="AB6">
        <v>5</v>
      </c>
      <c r="AC6">
        <v>3</v>
      </c>
      <c r="AE6">
        <v>0</v>
      </c>
      <c r="AF6">
        <v>0</v>
      </c>
      <c r="AG6" t="s">
        <v>192</v>
      </c>
      <c r="AH6" t="s">
        <v>189</v>
      </c>
      <c r="AI6" t="s">
        <v>226</v>
      </c>
      <c r="AJ6" s="9">
        <v>26</v>
      </c>
      <c r="AK6" s="9">
        <v>61</v>
      </c>
      <c r="AL6" s="9">
        <v>0</v>
      </c>
      <c r="AM6" s="9">
        <v>87</v>
      </c>
      <c r="AN6" t="s">
        <v>227</v>
      </c>
    </row>
    <row r="7" spans="1:40" x14ac:dyDescent="0.2">
      <c r="A7" t="s">
        <v>185</v>
      </c>
      <c r="B7" t="s">
        <v>186</v>
      </c>
      <c r="C7">
        <v>1</v>
      </c>
      <c r="D7">
        <v>9082</v>
      </c>
      <c r="E7" t="s">
        <v>220</v>
      </c>
      <c r="F7">
        <v>3</v>
      </c>
      <c r="G7" t="s">
        <v>228</v>
      </c>
      <c r="H7" t="s">
        <v>189</v>
      </c>
      <c r="I7" t="s">
        <v>190</v>
      </c>
      <c r="J7">
        <v>8</v>
      </c>
      <c r="K7">
        <v>11</v>
      </c>
      <c r="L7">
        <v>0</v>
      </c>
      <c r="M7" t="s">
        <v>224</v>
      </c>
      <c r="N7" t="s">
        <v>225</v>
      </c>
      <c r="O7" t="s">
        <v>192</v>
      </c>
      <c r="P7">
        <v>60</v>
      </c>
      <c r="Q7">
        <v>2</v>
      </c>
      <c r="R7" t="s">
        <v>204</v>
      </c>
      <c r="S7" t="s">
        <v>205</v>
      </c>
      <c r="T7" t="s">
        <v>206</v>
      </c>
      <c r="U7" t="s">
        <v>207</v>
      </c>
      <c r="V7" t="s">
        <v>217</v>
      </c>
      <c r="W7" t="s">
        <v>192</v>
      </c>
      <c r="X7" t="s">
        <v>229</v>
      </c>
      <c r="Y7" t="s">
        <v>192</v>
      </c>
      <c r="AA7">
        <v>5</v>
      </c>
      <c r="AB7">
        <v>4</v>
      </c>
      <c r="AC7">
        <v>5</v>
      </c>
      <c r="AE7">
        <v>0</v>
      </c>
      <c r="AF7">
        <v>0</v>
      </c>
      <c r="AG7" t="s">
        <v>192</v>
      </c>
      <c r="AH7" t="s">
        <v>189</v>
      </c>
      <c r="AI7" t="s">
        <v>230</v>
      </c>
      <c r="AJ7" s="9">
        <v>11</v>
      </c>
      <c r="AK7" s="9">
        <v>60</v>
      </c>
      <c r="AL7" s="9">
        <v>0</v>
      </c>
      <c r="AM7" s="9">
        <v>71</v>
      </c>
      <c r="AN7" t="s">
        <v>231</v>
      </c>
    </row>
    <row r="8" spans="1:40" x14ac:dyDescent="0.2">
      <c r="A8" t="s">
        <v>185</v>
      </c>
      <c r="B8" t="s">
        <v>186</v>
      </c>
      <c r="C8">
        <v>2</v>
      </c>
      <c r="D8">
        <v>3284</v>
      </c>
      <c r="E8" t="s">
        <v>187</v>
      </c>
      <c r="F8">
        <v>1</v>
      </c>
      <c r="G8" t="s">
        <v>188</v>
      </c>
      <c r="H8" t="s">
        <v>189</v>
      </c>
      <c r="I8" t="s">
        <v>203</v>
      </c>
      <c r="J8">
        <v>8</v>
      </c>
      <c r="K8">
        <v>3</v>
      </c>
      <c r="L8">
        <v>1</v>
      </c>
      <c r="M8" t="s">
        <v>191</v>
      </c>
      <c r="O8" t="s">
        <v>192</v>
      </c>
      <c r="P8">
        <v>7</v>
      </c>
      <c r="Q8">
        <v>3</v>
      </c>
      <c r="R8" t="s">
        <v>193</v>
      </c>
      <c r="S8" t="s">
        <v>194</v>
      </c>
      <c r="U8" t="s">
        <v>195</v>
      </c>
      <c r="V8" t="s">
        <v>196</v>
      </c>
      <c r="W8" t="s">
        <v>197</v>
      </c>
      <c r="X8" t="s">
        <v>198</v>
      </c>
      <c r="Y8" t="s">
        <v>192</v>
      </c>
      <c r="AA8">
        <v>1</v>
      </c>
      <c r="AB8">
        <v>3</v>
      </c>
      <c r="AC8">
        <v>2</v>
      </c>
      <c r="AE8">
        <v>0</v>
      </c>
      <c r="AF8">
        <v>0</v>
      </c>
      <c r="AG8" t="s">
        <v>192</v>
      </c>
      <c r="AH8" t="s">
        <v>199</v>
      </c>
      <c r="AI8" t="s">
        <v>200</v>
      </c>
      <c r="AJ8" s="9">
        <v>3</v>
      </c>
      <c r="AK8" s="9">
        <v>7</v>
      </c>
      <c r="AL8" s="9">
        <v>0</v>
      </c>
      <c r="AM8" s="9">
        <v>10</v>
      </c>
      <c r="AN8" t="s">
        <v>232</v>
      </c>
    </row>
    <row r="9" spans="1:40" x14ac:dyDescent="0.2">
      <c r="A9" t="s">
        <v>185</v>
      </c>
      <c r="B9" t="s">
        <v>186</v>
      </c>
      <c r="C9">
        <v>2</v>
      </c>
      <c r="D9">
        <v>1756</v>
      </c>
      <c r="E9" t="s">
        <v>187</v>
      </c>
      <c r="F9">
        <v>2</v>
      </c>
      <c r="G9" t="s">
        <v>202</v>
      </c>
      <c r="H9" t="s">
        <v>189</v>
      </c>
      <c r="I9" t="s">
        <v>190</v>
      </c>
      <c r="J9">
        <v>8</v>
      </c>
      <c r="K9">
        <v>5</v>
      </c>
      <c r="L9">
        <v>1</v>
      </c>
      <c r="M9" t="s">
        <v>233</v>
      </c>
      <c r="O9" t="s">
        <v>192</v>
      </c>
      <c r="P9">
        <v>66</v>
      </c>
      <c r="Q9">
        <v>15</v>
      </c>
      <c r="R9" t="s">
        <v>204</v>
      </c>
      <c r="S9" t="s">
        <v>205</v>
      </c>
      <c r="T9" t="s">
        <v>206</v>
      </c>
      <c r="U9" t="s">
        <v>207</v>
      </c>
      <c r="V9" t="s">
        <v>208</v>
      </c>
      <c r="W9" t="s">
        <v>192</v>
      </c>
      <c r="X9" t="s">
        <v>198</v>
      </c>
      <c r="Y9" t="s">
        <v>192</v>
      </c>
      <c r="AA9">
        <v>5</v>
      </c>
      <c r="AB9">
        <v>5</v>
      </c>
      <c r="AC9">
        <v>3</v>
      </c>
      <c r="AE9">
        <v>0</v>
      </c>
      <c r="AF9">
        <v>1</v>
      </c>
      <c r="AG9" t="s">
        <v>192</v>
      </c>
      <c r="AH9" t="s">
        <v>189</v>
      </c>
      <c r="AI9" t="s">
        <v>234</v>
      </c>
      <c r="AJ9" s="9">
        <v>5</v>
      </c>
      <c r="AK9" s="9">
        <v>66</v>
      </c>
      <c r="AL9" s="9">
        <v>0</v>
      </c>
      <c r="AM9" s="9">
        <v>71</v>
      </c>
      <c r="AN9" t="s">
        <v>235</v>
      </c>
    </row>
    <row r="10" spans="1:40" x14ac:dyDescent="0.2">
      <c r="A10" t="s">
        <v>185</v>
      </c>
      <c r="B10" t="s">
        <v>186</v>
      </c>
      <c r="C10">
        <v>2</v>
      </c>
      <c r="D10">
        <v>4655</v>
      </c>
      <c r="E10" t="s">
        <v>187</v>
      </c>
      <c r="F10">
        <v>3</v>
      </c>
      <c r="G10" t="s">
        <v>211</v>
      </c>
      <c r="H10" t="s">
        <v>189</v>
      </c>
      <c r="I10" t="s">
        <v>190</v>
      </c>
      <c r="J10">
        <v>8</v>
      </c>
      <c r="K10">
        <v>3</v>
      </c>
      <c r="L10">
        <v>1</v>
      </c>
      <c r="M10" t="s">
        <v>191</v>
      </c>
      <c r="O10" t="s">
        <v>192</v>
      </c>
      <c r="P10">
        <v>19</v>
      </c>
      <c r="Q10">
        <v>7</v>
      </c>
      <c r="R10" t="s">
        <v>204</v>
      </c>
      <c r="S10" t="s">
        <v>214</v>
      </c>
      <c r="T10" t="s">
        <v>206</v>
      </c>
      <c r="U10" t="s">
        <v>207</v>
      </c>
      <c r="V10" t="s">
        <v>217</v>
      </c>
      <c r="W10" t="s">
        <v>192</v>
      </c>
      <c r="X10" t="s">
        <v>229</v>
      </c>
      <c r="Y10" t="s">
        <v>192</v>
      </c>
      <c r="AA10">
        <v>3</v>
      </c>
      <c r="AB10">
        <v>4</v>
      </c>
      <c r="AC10">
        <v>3</v>
      </c>
      <c r="AE10">
        <v>0</v>
      </c>
      <c r="AF10">
        <v>1</v>
      </c>
      <c r="AG10" t="s">
        <v>192</v>
      </c>
      <c r="AH10" t="s">
        <v>199</v>
      </c>
      <c r="AJ10" s="9">
        <v>3</v>
      </c>
      <c r="AK10" s="9">
        <v>19</v>
      </c>
      <c r="AL10" s="9">
        <v>0</v>
      </c>
      <c r="AM10" s="9">
        <v>22</v>
      </c>
      <c r="AN10" t="s">
        <v>236</v>
      </c>
    </row>
    <row r="11" spans="1:40" x14ac:dyDescent="0.2">
      <c r="A11" t="s">
        <v>185</v>
      </c>
      <c r="B11" t="s">
        <v>186</v>
      </c>
      <c r="C11">
        <v>2</v>
      </c>
      <c r="D11">
        <v>3067</v>
      </c>
      <c r="E11" t="s">
        <v>220</v>
      </c>
      <c r="F11">
        <v>1</v>
      </c>
      <c r="G11" t="s">
        <v>221</v>
      </c>
      <c r="H11" t="s">
        <v>189</v>
      </c>
      <c r="I11" t="s">
        <v>212</v>
      </c>
      <c r="J11">
        <v>8</v>
      </c>
      <c r="K11">
        <v>2</v>
      </c>
      <c r="L11">
        <v>0</v>
      </c>
      <c r="M11" t="s">
        <v>191</v>
      </c>
      <c r="O11" t="s">
        <v>192</v>
      </c>
      <c r="P11">
        <v>83</v>
      </c>
      <c r="Q11">
        <v>15</v>
      </c>
      <c r="R11" t="s">
        <v>204</v>
      </c>
      <c r="S11" t="s">
        <v>214</v>
      </c>
      <c r="T11" t="s">
        <v>237</v>
      </c>
      <c r="U11" t="s">
        <v>216</v>
      </c>
      <c r="V11" t="s">
        <v>217</v>
      </c>
      <c r="W11" t="s">
        <v>192</v>
      </c>
      <c r="X11" t="s">
        <v>198</v>
      </c>
      <c r="Y11" t="s">
        <v>192</v>
      </c>
      <c r="AA11">
        <v>4</v>
      </c>
      <c r="AB11">
        <v>3</v>
      </c>
      <c r="AC11">
        <v>5</v>
      </c>
      <c r="AE11">
        <v>0</v>
      </c>
      <c r="AF11">
        <v>0</v>
      </c>
      <c r="AG11" t="s">
        <v>192</v>
      </c>
      <c r="AH11" t="s">
        <v>199</v>
      </c>
      <c r="AI11" t="s">
        <v>234</v>
      </c>
      <c r="AJ11" s="9">
        <v>2</v>
      </c>
      <c r="AK11" s="9">
        <v>83</v>
      </c>
      <c r="AL11" s="9">
        <v>0</v>
      </c>
      <c r="AM11" s="9">
        <v>85</v>
      </c>
      <c r="AN11" t="s">
        <v>238</v>
      </c>
    </row>
    <row r="12" spans="1:40" x14ac:dyDescent="0.2">
      <c r="A12" t="s">
        <v>185</v>
      </c>
      <c r="B12" t="s">
        <v>186</v>
      </c>
      <c r="C12">
        <v>2</v>
      </c>
      <c r="D12">
        <v>4143</v>
      </c>
      <c r="E12" t="s">
        <v>220</v>
      </c>
      <c r="F12">
        <v>2</v>
      </c>
      <c r="G12" t="s">
        <v>223</v>
      </c>
      <c r="H12" t="s">
        <v>189</v>
      </c>
      <c r="I12" t="s">
        <v>212</v>
      </c>
      <c r="J12">
        <v>7</v>
      </c>
      <c r="K12">
        <v>32</v>
      </c>
      <c r="L12">
        <v>3</v>
      </c>
      <c r="M12" t="s">
        <v>224</v>
      </c>
      <c r="N12" t="s">
        <v>239</v>
      </c>
      <c r="O12" t="s">
        <v>192</v>
      </c>
      <c r="P12">
        <v>38</v>
      </c>
      <c r="Q12">
        <v>3</v>
      </c>
      <c r="R12" t="s">
        <v>204</v>
      </c>
      <c r="S12" t="s">
        <v>205</v>
      </c>
      <c r="T12" t="s">
        <v>206</v>
      </c>
      <c r="U12" t="s">
        <v>207</v>
      </c>
      <c r="V12" t="s">
        <v>208</v>
      </c>
      <c r="W12" t="s">
        <v>192</v>
      </c>
      <c r="X12" t="s">
        <v>240</v>
      </c>
      <c r="Y12" t="s">
        <v>192</v>
      </c>
      <c r="AA12">
        <v>5</v>
      </c>
      <c r="AB12">
        <v>3</v>
      </c>
      <c r="AC12">
        <v>5</v>
      </c>
      <c r="AD12" t="s">
        <v>241</v>
      </c>
      <c r="AE12">
        <v>0</v>
      </c>
      <c r="AF12">
        <v>0</v>
      </c>
      <c r="AG12" t="s">
        <v>192</v>
      </c>
      <c r="AH12" t="s">
        <v>189</v>
      </c>
      <c r="AI12" t="s">
        <v>242</v>
      </c>
      <c r="AJ12" s="9">
        <v>32</v>
      </c>
      <c r="AK12" s="9">
        <v>38</v>
      </c>
      <c r="AL12" s="9">
        <v>0</v>
      </c>
      <c r="AM12" s="9">
        <v>70</v>
      </c>
      <c r="AN12" t="s">
        <v>235</v>
      </c>
    </row>
    <row r="13" spans="1:40" x14ac:dyDescent="0.2">
      <c r="A13" t="s">
        <v>185</v>
      </c>
      <c r="B13" t="s">
        <v>186</v>
      </c>
      <c r="C13">
        <v>2</v>
      </c>
      <c r="D13">
        <v>7848</v>
      </c>
      <c r="E13" t="s">
        <v>220</v>
      </c>
      <c r="F13">
        <v>3</v>
      </c>
      <c r="G13" t="s">
        <v>228</v>
      </c>
      <c r="H13" t="s">
        <v>189</v>
      </c>
      <c r="I13" t="s">
        <v>203</v>
      </c>
      <c r="J13">
        <v>8</v>
      </c>
      <c r="K13">
        <v>2</v>
      </c>
      <c r="L13">
        <v>1</v>
      </c>
      <c r="M13" t="s">
        <v>191</v>
      </c>
      <c r="O13" t="s">
        <v>192</v>
      </c>
      <c r="P13">
        <v>71</v>
      </c>
      <c r="Q13">
        <v>21</v>
      </c>
      <c r="R13" t="s">
        <v>204</v>
      </c>
      <c r="S13" t="s">
        <v>214</v>
      </c>
      <c r="T13" t="s">
        <v>215</v>
      </c>
      <c r="U13" t="s">
        <v>216</v>
      </c>
      <c r="V13" t="s">
        <v>217</v>
      </c>
      <c r="W13" t="s">
        <v>192</v>
      </c>
      <c r="X13" t="s">
        <v>198</v>
      </c>
      <c r="Y13" t="s">
        <v>192</v>
      </c>
      <c r="AA13">
        <v>3</v>
      </c>
      <c r="AB13">
        <v>2</v>
      </c>
      <c r="AC13">
        <v>4</v>
      </c>
      <c r="AE13">
        <v>0</v>
      </c>
      <c r="AF13">
        <v>0</v>
      </c>
      <c r="AG13" t="s">
        <v>192</v>
      </c>
      <c r="AH13" t="s">
        <v>198</v>
      </c>
      <c r="AI13" t="s">
        <v>234</v>
      </c>
      <c r="AJ13" s="9">
        <v>2</v>
      </c>
      <c r="AK13" s="9">
        <v>71</v>
      </c>
      <c r="AL13" s="9">
        <v>0</v>
      </c>
      <c r="AM13" s="9">
        <v>73</v>
      </c>
      <c r="AN13" t="s">
        <v>243</v>
      </c>
    </row>
    <row r="14" spans="1:40" x14ac:dyDescent="0.2">
      <c r="A14" t="s">
        <v>185</v>
      </c>
      <c r="B14" t="s">
        <v>186</v>
      </c>
      <c r="C14">
        <v>3</v>
      </c>
      <c r="D14">
        <v>7417</v>
      </c>
      <c r="E14" t="s">
        <v>187</v>
      </c>
      <c r="F14">
        <v>1</v>
      </c>
      <c r="G14" t="s">
        <v>188</v>
      </c>
      <c r="H14" t="s">
        <v>189</v>
      </c>
      <c r="I14" t="s">
        <v>203</v>
      </c>
      <c r="J14">
        <v>8</v>
      </c>
      <c r="K14">
        <v>4</v>
      </c>
      <c r="L14">
        <v>3</v>
      </c>
      <c r="M14" t="s">
        <v>191</v>
      </c>
      <c r="O14" t="s">
        <v>192</v>
      </c>
      <c r="P14">
        <v>3</v>
      </c>
      <c r="Q14">
        <v>2</v>
      </c>
      <c r="R14" t="s">
        <v>193</v>
      </c>
      <c r="S14" t="s">
        <v>194</v>
      </c>
      <c r="U14" t="s">
        <v>195</v>
      </c>
      <c r="V14" t="s">
        <v>196</v>
      </c>
      <c r="W14" t="s">
        <v>192</v>
      </c>
      <c r="X14" t="s">
        <v>198</v>
      </c>
      <c r="Y14" t="s">
        <v>192</v>
      </c>
      <c r="AA14">
        <v>1</v>
      </c>
      <c r="AB14">
        <v>1</v>
      </c>
      <c r="AC14">
        <v>1</v>
      </c>
      <c r="AE14">
        <v>0</v>
      </c>
      <c r="AF14">
        <v>1</v>
      </c>
      <c r="AG14" t="s">
        <v>192</v>
      </c>
      <c r="AH14" t="s">
        <v>198</v>
      </c>
      <c r="AI14" t="s">
        <v>244</v>
      </c>
      <c r="AJ14" s="9">
        <v>4</v>
      </c>
      <c r="AK14" s="9">
        <v>3</v>
      </c>
      <c r="AL14" s="9">
        <v>0</v>
      </c>
      <c r="AM14" s="9">
        <v>7</v>
      </c>
      <c r="AN14" t="s">
        <v>245</v>
      </c>
    </row>
    <row r="15" spans="1:40" x14ac:dyDescent="0.2">
      <c r="A15" t="s">
        <v>185</v>
      </c>
      <c r="B15" t="s">
        <v>186</v>
      </c>
      <c r="C15">
        <v>3</v>
      </c>
      <c r="D15">
        <v>4787</v>
      </c>
      <c r="E15" t="s">
        <v>187</v>
      </c>
      <c r="F15">
        <v>2</v>
      </c>
      <c r="G15" t="s">
        <v>202</v>
      </c>
      <c r="H15" t="s">
        <v>189</v>
      </c>
      <c r="I15" t="s">
        <v>212</v>
      </c>
      <c r="J15">
        <v>7</v>
      </c>
      <c r="K15">
        <v>1</v>
      </c>
      <c r="L15">
        <v>1</v>
      </c>
      <c r="M15" t="s">
        <v>191</v>
      </c>
      <c r="O15" t="s">
        <v>192</v>
      </c>
      <c r="P15">
        <v>10</v>
      </c>
      <c r="Q15">
        <v>6</v>
      </c>
      <c r="R15" t="s">
        <v>213</v>
      </c>
      <c r="S15" t="s">
        <v>214</v>
      </c>
      <c r="T15" t="s">
        <v>215</v>
      </c>
      <c r="U15" t="s">
        <v>216</v>
      </c>
      <c r="V15" t="s">
        <v>246</v>
      </c>
      <c r="W15" t="s">
        <v>192</v>
      </c>
      <c r="X15" t="s">
        <v>198</v>
      </c>
      <c r="Y15" t="s">
        <v>192</v>
      </c>
      <c r="AA15">
        <v>3</v>
      </c>
      <c r="AB15">
        <v>3</v>
      </c>
      <c r="AC15">
        <v>2</v>
      </c>
      <c r="AE15">
        <v>0</v>
      </c>
      <c r="AF15">
        <v>1</v>
      </c>
      <c r="AG15" t="s">
        <v>192</v>
      </c>
      <c r="AH15" t="s">
        <v>199</v>
      </c>
      <c r="AJ15" s="9">
        <v>1</v>
      </c>
      <c r="AK15" s="9">
        <v>10</v>
      </c>
      <c r="AL15" s="9">
        <v>0</v>
      </c>
      <c r="AM15" s="9">
        <v>11</v>
      </c>
      <c r="AN15" t="s">
        <v>247</v>
      </c>
    </row>
    <row r="16" spans="1:40" x14ac:dyDescent="0.2">
      <c r="A16" t="s">
        <v>185</v>
      </c>
      <c r="B16" t="s">
        <v>186</v>
      </c>
      <c r="C16">
        <v>3</v>
      </c>
      <c r="D16">
        <v>4213</v>
      </c>
      <c r="E16" t="s">
        <v>187</v>
      </c>
      <c r="F16">
        <v>3</v>
      </c>
      <c r="G16" t="s">
        <v>211</v>
      </c>
      <c r="H16" t="s">
        <v>189</v>
      </c>
      <c r="I16" t="s">
        <v>212</v>
      </c>
      <c r="J16">
        <v>8</v>
      </c>
      <c r="K16">
        <v>6</v>
      </c>
      <c r="L16">
        <v>2</v>
      </c>
      <c r="M16" t="s">
        <v>191</v>
      </c>
      <c r="O16" t="s">
        <v>192</v>
      </c>
      <c r="P16">
        <v>27</v>
      </c>
      <c r="Q16">
        <v>9</v>
      </c>
      <c r="R16" t="s">
        <v>204</v>
      </c>
      <c r="S16" t="s">
        <v>214</v>
      </c>
      <c r="T16" t="s">
        <v>237</v>
      </c>
      <c r="U16" t="s">
        <v>216</v>
      </c>
      <c r="V16" t="s">
        <v>217</v>
      </c>
      <c r="W16" t="s">
        <v>192</v>
      </c>
      <c r="X16" t="s">
        <v>198</v>
      </c>
      <c r="Y16" t="s">
        <v>192</v>
      </c>
      <c r="AA16">
        <v>3</v>
      </c>
      <c r="AB16">
        <v>4</v>
      </c>
      <c r="AC16">
        <v>3</v>
      </c>
      <c r="AE16">
        <v>0</v>
      </c>
      <c r="AF16">
        <v>0</v>
      </c>
      <c r="AG16" t="s">
        <v>192</v>
      </c>
      <c r="AH16" t="s">
        <v>199</v>
      </c>
      <c r="AJ16" s="9">
        <v>6</v>
      </c>
      <c r="AK16" s="9">
        <v>27</v>
      </c>
      <c r="AL16" s="9">
        <v>0</v>
      </c>
      <c r="AM16" s="9">
        <v>33</v>
      </c>
      <c r="AN16" t="s">
        <v>248</v>
      </c>
    </row>
    <row r="17" spans="1:40" x14ac:dyDescent="0.2">
      <c r="A17" t="s">
        <v>185</v>
      </c>
      <c r="B17" t="s">
        <v>186</v>
      </c>
      <c r="C17">
        <v>3</v>
      </c>
      <c r="D17">
        <v>1736</v>
      </c>
      <c r="E17" t="s">
        <v>220</v>
      </c>
      <c r="F17">
        <v>1</v>
      </c>
      <c r="G17" t="s">
        <v>221</v>
      </c>
      <c r="H17" t="s">
        <v>189</v>
      </c>
      <c r="I17" t="s">
        <v>203</v>
      </c>
      <c r="J17">
        <v>5</v>
      </c>
      <c r="K17">
        <v>3</v>
      </c>
      <c r="L17">
        <v>2</v>
      </c>
      <c r="M17" t="s">
        <v>191</v>
      </c>
      <c r="O17" t="s">
        <v>192</v>
      </c>
      <c r="P17">
        <v>24</v>
      </c>
      <c r="Q17">
        <v>16</v>
      </c>
      <c r="R17" t="s">
        <v>213</v>
      </c>
      <c r="S17" t="s">
        <v>194</v>
      </c>
      <c r="T17" t="s">
        <v>215</v>
      </c>
      <c r="U17" t="s">
        <v>216</v>
      </c>
      <c r="V17" t="s">
        <v>246</v>
      </c>
      <c r="W17" t="s">
        <v>192</v>
      </c>
      <c r="X17" t="s">
        <v>198</v>
      </c>
      <c r="Y17" t="s">
        <v>192</v>
      </c>
      <c r="AA17">
        <v>3</v>
      </c>
      <c r="AB17">
        <v>1</v>
      </c>
      <c r="AC17">
        <v>4</v>
      </c>
      <c r="AE17">
        <v>2</v>
      </c>
      <c r="AF17">
        <v>0</v>
      </c>
      <c r="AG17" t="s">
        <v>192</v>
      </c>
      <c r="AH17" t="s">
        <v>199</v>
      </c>
      <c r="AJ17" s="9">
        <v>3</v>
      </c>
      <c r="AK17" s="9">
        <v>24</v>
      </c>
      <c r="AL17" s="9">
        <v>0</v>
      </c>
      <c r="AM17" s="9">
        <v>27</v>
      </c>
      <c r="AN17" t="s">
        <v>249</v>
      </c>
    </row>
    <row r="18" spans="1:40" x14ac:dyDescent="0.2">
      <c r="A18" t="s">
        <v>185</v>
      </c>
      <c r="B18" t="s">
        <v>186</v>
      </c>
      <c r="C18">
        <v>3</v>
      </c>
      <c r="D18">
        <v>5442</v>
      </c>
      <c r="E18" t="s">
        <v>220</v>
      </c>
      <c r="F18">
        <v>2</v>
      </c>
      <c r="G18" t="s">
        <v>223</v>
      </c>
      <c r="H18" t="s">
        <v>189</v>
      </c>
      <c r="I18" t="s">
        <v>212</v>
      </c>
      <c r="J18">
        <v>8</v>
      </c>
      <c r="K18">
        <v>0</v>
      </c>
      <c r="L18">
        <v>0</v>
      </c>
      <c r="O18" t="s">
        <v>192</v>
      </c>
      <c r="P18">
        <v>20</v>
      </c>
      <c r="Q18">
        <v>10</v>
      </c>
      <c r="R18" t="s">
        <v>213</v>
      </c>
      <c r="S18" t="s">
        <v>214</v>
      </c>
      <c r="T18" t="s">
        <v>215</v>
      </c>
      <c r="U18" t="s">
        <v>216</v>
      </c>
      <c r="V18" t="s">
        <v>246</v>
      </c>
      <c r="W18" t="s">
        <v>192</v>
      </c>
      <c r="X18" t="s">
        <v>198</v>
      </c>
      <c r="Y18" t="s">
        <v>192</v>
      </c>
      <c r="AA18">
        <v>3</v>
      </c>
      <c r="AB18">
        <v>3</v>
      </c>
      <c r="AC18">
        <v>3</v>
      </c>
      <c r="AE18">
        <v>2</v>
      </c>
      <c r="AF18">
        <v>0</v>
      </c>
      <c r="AG18" t="s">
        <v>192</v>
      </c>
      <c r="AH18" t="s">
        <v>199</v>
      </c>
      <c r="AJ18" s="9">
        <v>0</v>
      </c>
      <c r="AK18" s="9">
        <v>20</v>
      </c>
      <c r="AL18" s="9">
        <v>0</v>
      </c>
      <c r="AM18" s="9">
        <v>20</v>
      </c>
      <c r="AN18" t="s">
        <v>247</v>
      </c>
    </row>
    <row r="19" spans="1:40" x14ac:dyDescent="0.2">
      <c r="A19" t="s">
        <v>185</v>
      </c>
      <c r="B19" t="s">
        <v>186</v>
      </c>
      <c r="C19">
        <v>3</v>
      </c>
      <c r="D19">
        <v>8719</v>
      </c>
      <c r="E19" t="s">
        <v>220</v>
      </c>
      <c r="F19">
        <v>3</v>
      </c>
      <c r="G19" t="s">
        <v>228</v>
      </c>
      <c r="H19" t="s">
        <v>189</v>
      </c>
      <c r="I19" t="s">
        <v>190</v>
      </c>
      <c r="J19">
        <v>5</v>
      </c>
      <c r="K19">
        <v>5</v>
      </c>
      <c r="L19">
        <v>3</v>
      </c>
      <c r="M19" t="s">
        <v>191</v>
      </c>
      <c r="O19" t="s">
        <v>192</v>
      </c>
      <c r="P19">
        <v>2</v>
      </c>
      <c r="Q19">
        <v>1</v>
      </c>
      <c r="R19" t="s">
        <v>193</v>
      </c>
      <c r="S19" t="s">
        <v>194</v>
      </c>
      <c r="U19" t="s">
        <v>250</v>
      </c>
      <c r="V19" t="s">
        <v>196</v>
      </c>
      <c r="W19" t="s">
        <v>229</v>
      </c>
      <c r="X19" t="s">
        <v>198</v>
      </c>
      <c r="Y19" t="s">
        <v>192</v>
      </c>
      <c r="AA19">
        <v>2</v>
      </c>
      <c r="AB19">
        <v>3</v>
      </c>
      <c r="AC19">
        <v>1</v>
      </c>
      <c r="AE19">
        <v>0</v>
      </c>
      <c r="AF19">
        <v>0</v>
      </c>
      <c r="AG19" t="s">
        <v>192</v>
      </c>
      <c r="AH19" t="s">
        <v>198</v>
      </c>
      <c r="AI19" t="s">
        <v>244</v>
      </c>
      <c r="AJ19" s="9">
        <v>5</v>
      </c>
      <c r="AK19" s="9">
        <v>2</v>
      </c>
      <c r="AL19" s="9">
        <v>0</v>
      </c>
      <c r="AM19" s="9">
        <v>7</v>
      </c>
      <c r="AN19" t="s">
        <v>251</v>
      </c>
    </row>
    <row r="20" spans="1:40" x14ac:dyDescent="0.2">
      <c r="A20" t="s">
        <v>185</v>
      </c>
      <c r="B20" t="s">
        <v>186</v>
      </c>
      <c r="C20">
        <v>4</v>
      </c>
      <c r="D20">
        <v>1625</v>
      </c>
      <c r="E20" t="s">
        <v>187</v>
      </c>
      <c r="F20">
        <v>1</v>
      </c>
      <c r="G20" t="s">
        <v>188</v>
      </c>
      <c r="H20" t="s">
        <v>189</v>
      </c>
      <c r="I20" t="s">
        <v>212</v>
      </c>
      <c r="J20">
        <v>8</v>
      </c>
      <c r="K20">
        <v>28</v>
      </c>
      <c r="L20">
        <v>7</v>
      </c>
      <c r="M20" t="s">
        <v>233</v>
      </c>
      <c r="N20" t="s">
        <v>239</v>
      </c>
      <c r="O20" t="s">
        <v>192</v>
      </c>
      <c r="P20">
        <v>74</v>
      </c>
      <c r="Q20">
        <v>18</v>
      </c>
      <c r="R20" t="s">
        <v>204</v>
      </c>
      <c r="S20" t="s">
        <v>205</v>
      </c>
      <c r="T20" t="s">
        <v>206</v>
      </c>
      <c r="U20" t="s">
        <v>207</v>
      </c>
      <c r="V20" t="s">
        <v>208</v>
      </c>
      <c r="W20" t="s">
        <v>192</v>
      </c>
      <c r="X20" t="s">
        <v>198</v>
      </c>
      <c r="Y20" t="s">
        <v>192</v>
      </c>
      <c r="AA20">
        <v>5</v>
      </c>
      <c r="AB20">
        <v>5</v>
      </c>
      <c r="AC20">
        <v>3</v>
      </c>
      <c r="AE20">
        <v>0</v>
      </c>
      <c r="AF20">
        <v>0</v>
      </c>
      <c r="AG20" t="s">
        <v>192</v>
      </c>
      <c r="AH20" t="s">
        <v>189</v>
      </c>
      <c r="AI20" t="s">
        <v>230</v>
      </c>
      <c r="AJ20" s="9">
        <v>28</v>
      </c>
      <c r="AK20" s="9">
        <v>74</v>
      </c>
      <c r="AL20" s="9">
        <v>0</v>
      </c>
      <c r="AM20" s="9">
        <v>102</v>
      </c>
      <c r="AN20" t="s">
        <v>252</v>
      </c>
    </row>
    <row r="21" spans="1:40" x14ac:dyDescent="0.2">
      <c r="A21" t="s">
        <v>185</v>
      </c>
      <c r="B21" t="s">
        <v>186</v>
      </c>
      <c r="C21">
        <v>4</v>
      </c>
      <c r="D21">
        <v>3488</v>
      </c>
      <c r="E21" t="s">
        <v>187</v>
      </c>
      <c r="F21">
        <v>2</v>
      </c>
      <c r="G21" t="s">
        <v>202</v>
      </c>
      <c r="H21" t="s">
        <v>189</v>
      </c>
      <c r="I21" t="s">
        <v>203</v>
      </c>
      <c r="J21">
        <v>8</v>
      </c>
      <c r="K21">
        <v>1</v>
      </c>
      <c r="L21">
        <v>1</v>
      </c>
      <c r="M21" t="s">
        <v>191</v>
      </c>
      <c r="O21" t="s">
        <v>192</v>
      </c>
      <c r="P21">
        <v>25</v>
      </c>
      <c r="Q21">
        <v>16</v>
      </c>
      <c r="R21" t="s">
        <v>213</v>
      </c>
      <c r="S21" t="s">
        <v>194</v>
      </c>
      <c r="T21" t="s">
        <v>237</v>
      </c>
      <c r="U21" t="s">
        <v>216</v>
      </c>
      <c r="V21" t="s">
        <v>246</v>
      </c>
      <c r="W21" t="s">
        <v>192</v>
      </c>
      <c r="X21" t="s">
        <v>198</v>
      </c>
      <c r="Y21" t="s">
        <v>192</v>
      </c>
      <c r="AA21">
        <v>2</v>
      </c>
      <c r="AB21">
        <v>3</v>
      </c>
      <c r="AC21">
        <v>3</v>
      </c>
      <c r="AE21">
        <v>0</v>
      </c>
      <c r="AF21">
        <v>0</v>
      </c>
      <c r="AG21" t="s">
        <v>192</v>
      </c>
      <c r="AH21" t="s">
        <v>198</v>
      </c>
      <c r="AJ21" s="9">
        <v>1</v>
      </c>
      <c r="AK21" s="9">
        <v>25</v>
      </c>
      <c r="AL21" s="9">
        <v>0</v>
      </c>
      <c r="AM21" s="9">
        <v>26</v>
      </c>
      <c r="AN21" t="s">
        <v>253</v>
      </c>
    </row>
    <row r="22" spans="1:40" x14ac:dyDescent="0.2">
      <c r="A22" t="s">
        <v>185</v>
      </c>
      <c r="B22" t="s">
        <v>186</v>
      </c>
      <c r="C22">
        <v>4</v>
      </c>
      <c r="D22">
        <v>4423</v>
      </c>
      <c r="E22" t="s">
        <v>187</v>
      </c>
      <c r="F22">
        <v>3</v>
      </c>
      <c r="G22" t="s">
        <v>211</v>
      </c>
      <c r="H22" t="s">
        <v>189</v>
      </c>
      <c r="I22" t="s">
        <v>203</v>
      </c>
      <c r="J22">
        <v>8</v>
      </c>
      <c r="K22">
        <v>1</v>
      </c>
      <c r="L22">
        <v>0</v>
      </c>
      <c r="M22" t="s">
        <v>191</v>
      </c>
      <c r="O22" t="s">
        <v>192</v>
      </c>
      <c r="P22">
        <v>40</v>
      </c>
      <c r="Q22">
        <v>10</v>
      </c>
      <c r="R22" t="s">
        <v>204</v>
      </c>
      <c r="S22" t="s">
        <v>214</v>
      </c>
      <c r="T22" t="s">
        <v>206</v>
      </c>
      <c r="U22" t="s">
        <v>207</v>
      </c>
      <c r="V22" t="s">
        <v>217</v>
      </c>
      <c r="W22" t="s">
        <v>192</v>
      </c>
      <c r="X22" t="s">
        <v>240</v>
      </c>
      <c r="Y22" t="s">
        <v>254</v>
      </c>
      <c r="Z22" t="s">
        <v>255</v>
      </c>
      <c r="AA22">
        <v>4</v>
      </c>
      <c r="AB22">
        <v>3</v>
      </c>
      <c r="AC22">
        <v>4</v>
      </c>
      <c r="AE22">
        <v>0</v>
      </c>
      <c r="AF22">
        <v>0</v>
      </c>
      <c r="AG22" t="s">
        <v>192</v>
      </c>
      <c r="AH22" t="s">
        <v>189</v>
      </c>
      <c r="AI22" t="s">
        <v>256</v>
      </c>
      <c r="AJ22" s="9">
        <v>1</v>
      </c>
      <c r="AK22" s="9">
        <v>40</v>
      </c>
      <c r="AL22" s="9">
        <v>10</v>
      </c>
      <c r="AM22" s="9">
        <v>51</v>
      </c>
      <c r="AN22" t="s">
        <v>257</v>
      </c>
    </row>
    <row r="23" spans="1:40" x14ac:dyDescent="0.2">
      <c r="A23" t="s">
        <v>185</v>
      </c>
      <c r="B23" t="s">
        <v>186</v>
      </c>
      <c r="C23">
        <v>4</v>
      </c>
      <c r="D23">
        <v>8020</v>
      </c>
      <c r="E23" t="s">
        <v>220</v>
      </c>
      <c r="F23">
        <v>1</v>
      </c>
      <c r="G23" t="s">
        <v>221</v>
      </c>
      <c r="H23" t="s">
        <v>189</v>
      </c>
      <c r="I23" t="s">
        <v>190</v>
      </c>
      <c r="J23">
        <v>8</v>
      </c>
      <c r="K23">
        <v>14</v>
      </c>
      <c r="L23">
        <v>2</v>
      </c>
      <c r="M23" t="s">
        <v>224</v>
      </c>
      <c r="N23" t="s">
        <v>239</v>
      </c>
      <c r="O23" t="s">
        <v>192</v>
      </c>
      <c r="P23">
        <v>65</v>
      </c>
      <c r="Q23">
        <v>10</v>
      </c>
      <c r="R23" t="s">
        <v>204</v>
      </c>
      <c r="S23" t="s">
        <v>205</v>
      </c>
      <c r="T23" t="s">
        <v>206</v>
      </c>
      <c r="U23" t="s">
        <v>207</v>
      </c>
      <c r="V23" t="s">
        <v>208</v>
      </c>
      <c r="W23" t="s">
        <v>192</v>
      </c>
      <c r="X23" t="s">
        <v>198</v>
      </c>
      <c r="Y23" t="s">
        <v>192</v>
      </c>
      <c r="AA23">
        <v>4</v>
      </c>
      <c r="AB23">
        <v>5</v>
      </c>
      <c r="AC23">
        <v>4</v>
      </c>
      <c r="AE23">
        <v>0</v>
      </c>
      <c r="AF23">
        <v>0</v>
      </c>
      <c r="AG23" t="s">
        <v>192</v>
      </c>
      <c r="AH23" t="s">
        <v>189</v>
      </c>
      <c r="AI23" t="s">
        <v>234</v>
      </c>
      <c r="AJ23" s="9">
        <v>14</v>
      </c>
      <c r="AK23" s="9">
        <v>65</v>
      </c>
      <c r="AL23" s="9">
        <v>0</v>
      </c>
      <c r="AM23" s="9">
        <v>79</v>
      </c>
      <c r="AN23" t="s">
        <v>258</v>
      </c>
    </row>
    <row r="24" spans="1:40" x14ac:dyDescent="0.2">
      <c r="A24" t="s">
        <v>185</v>
      </c>
      <c r="B24" t="s">
        <v>186</v>
      </c>
      <c r="C24">
        <v>4</v>
      </c>
      <c r="D24">
        <v>2861</v>
      </c>
      <c r="E24" t="s">
        <v>220</v>
      </c>
      <c r="F24">
        <v>2</v>
      </c>
      <c r="G24" t="s">
        <v>223</v>
      </c>
      <c r="H24" t="s">
        <v>189</v>
      </c>
      <c r="I24" t="s">
        <v>203</v>
      </c>
      <c r="J24">
        <v>8</v>
      </c>
      <c r="K24">
        <v>6</v>
      </c>
      <c r="L24">
        <v>0</v>
      </c>
      <c r="M24" t="s">
        <v>191</v>
      </c>
      <c r="O24" t="s">
        <v>192</v>
      </c>
      <c r="P24">
        <v>67</v>
      </c>
      <c r="Q24">
        <v>2</v>
      </c>
      <c r="R24" t="s">
        <v>204</v>
      </c>
      <c r="S24" t="s">
        <v>205</v>
      </c>
      <c r="T24" t="s">
        <v>206</v>
      </c>
      <c r="U24" t="s">
        <v>207</v>
      </c>
      <c r="V24" t="s">
        <v>208</v>
      </c>
      <c r="W24" t="s">
        <v>192</v>
      </c>
      <c r="X24" t="s">
        <v>240</v>
      </c>
      <c r="Y24" t="s">
        <v>192</v>
      </c>
      <c r="AA24">
        <v>5</v>
      </c>
      <c r="AB24">
        <v>4</v>
      </c>
      <c r="AC24">
        <v>5</v>
      </c>
      <c r="AE24">
        <v>0</v>
      </c>
      <c r="AF24">
        <v>0</v>
      </c>
      <c r="AG24" t="s">
        <v>192</v>
      </c>
      <c r="AH24" t="s">
        <v>189</v>
      </c>
      <c r="AI24" t="s">
        <v>234</v>
      </c>
      <c r="AJ24" s="9">
        <v>6</v>
      </c>
      <c r="AK24" s="9">
        <v>67</v>
      </c>
      <c r="AL24" s="9">
        <v>0</v>
      </c>
      <c r="AM24" s="9">
        <v>73</v>
      </c>
      <c r="AN24" t="s">
        <v>259</v>
      </c>
    </row>
    <row r="25" spans="1:40" x14ac:dyDescent="0.2">
      <c r="A25" t="s">
        <v>185</v>
      </c>
      <c r="B25" t="s">
        <v>186</v>
      </c>
      <c r="C25">
        <v>4</v>
      </c>
      <c r="D25">
        <v>648</v>
      </c>
      <c r="E25" t="s">
        <v>220</v>
      </c>
      <c r="F25">
        <v>3</v>
      </c>
      <c r="G25" t="s">
        <v>228</v>
      </c>
      <c r="H25" t="s">
        <v>189</v>
      </c>
      <c r="I25" t="s">
        <v>190</v>
      </c>
      <c r="J25">
        <v>8</v>
      </c>
      <c r="K25">
        <v>4</v>
      </c>
      <c r="L25">
        <v>2</v>
      </c>
      <c r="M25" t="s">
        <v>191</v>
      </c>
      <c r="O25" t="s">
        <v>192</v>
      </c>
      <c r="P25">
        <v>14</v>
      </c>
      <c r="Q25">
        <v>7</v>
      </c>
      <c r="R25" t="s">
        <v>213</v>
      </c>
      <c r="S25" t="s">
        <v>194</v>
      </c>
      <c r="U25" t="s">
        <v>250</v>
      </c>
      <c r="V25" t="s">
        <v>246</v>
      </c>
      <c r="W25" t="s">
        <v>197</v>
      </c>
      <c r="X25" t="s">
        <v>198</v>
      </c>
      <c r="Y25" t="s">
        <v>192</v>
      </c>
      <c r="AA25">
        <v>1</v>
      </c>
      <c r="AB25">
        <v>2</v>
      </c>
      <c r="AC25">
        <v>3</v>
      </c>
      <c r="AE25">
        <v>0</v>
      </c>
      <c r="AF25">
        <v>0</v>
      </c>
      <c r="AG25" t="s">
        <v>192</v>
      </c>
      <c r="AH25" t="s">
        <v>198</v>
      </c>
      <c r="AI25" t="s">
        <v>260</v>
      </c>
      <c r="AJ25" s="9">
        <v>4</v>
      </c>
      <c r="AK25" s="9">
        <v>14</v>
      </c>
      <c r="AL25" s="9">
        <v>0</v>
      </c>
      <c r="AM25" s="9">
        <v>18</v>
      </c>
      <c r="AN25" t="s">
        <v>261</v>
      </c>
    </row>
    <row r="26" spans="1:40" x14ac:dyDescent="0.2">
      <c r="A26" t="s">
        <v>185</v>
      </c>
      <c r="B26" t="s">
        <v>186</v>
      </c>
      <c r="C26">
        <v>5</v>
      </c>
      <c r="D26">
        <v>8029</v>
      </c>
      <c r="E26" t="s">
        <v>187</v>
      </c>
      <c r="F26">
        <v>1</v>
      </c>
      <c r="G26" t="s">
        <v>188</v>
      </c>
      <c r="H26" t="s">
        <v>189</v>
      </c>
      <c r="I26" t="s">
        <v>190</v>
      </c>
      <c r="J26">
        <v>5</v>
      </c>
      <c r="K26">
        <v>6</v>
      </c>
      <c r="L26">
        <v>4</v>
      </c>
      <c r="M26" t="s">
        <v>233</v>
      </c>
      <c r="N26" t="s">
        <v>225</v>
      </c>
      <c r="O26" t="s">
        <v>192</v>
      </c>
      <c r="P26">
        <v>3</v>
      </c>
      <c r="Q26">
        <v>2</v>
      </c>
      <c r="R26" t="s">
        <v>193</v>
      </c>
      <c r="S26" t="s">
        <v>194</v>
      </c>
      <c r="U26" t="s">
        <v>262</v>
      </c>
      <c r="V26" t="s">
        <v>196</v>
      </c>
      <c r="W26" t="s">
        <v>229</v>
      </c>
      <c r="X26" t="s">
        <v>198</v>
      </c>
      <c r="Y26" t="s">
        <v>192</v>
      </c>
      <c r="AA26">
        <v>1</v>
      </c>
      <c r="AB26">
        <v>3</v>
      </c>
      <c r="AC26">
        <v>3</v>
      </c>
      <c r="AE26">
        <v>0</v>
      </c>
      <c r="AF26">
        <v>0</v>
      </c>
      <c r="AG26" t="s">
        <v>192</v>
      </c>
      <c r="AH26" t="s">
        <v>199</v>
      </c>
      <c r="AI26" t="s">
        <v>244</v>
      </c>
      <c r="AJ26" s="9">
        <v>6</v>
      </c>
      <c r="AK26" s="9">
        <v>3</v>
      </c>
      <c r="AL26" s="9">
        <v>0</v>
      </c>
      <c r="AM26" s="9">
        <v>9</v>
      </c>
      <c r="AN26" t="s">
        <v>263</v>
      </c>
    </row>
    <row r="27" spans="1:40" x14ac:dyDescent="0.2">
      <c r="A27" t="s">
        <v>185</v>
      </c>
      <c r="B27" t="s">
        <v>186</v>
      </c>
      <c r="C27">
        <v>5</v>
      </c>
      <c r="D27">
        <v>4096</v>
      </c>
      <c r="E27" t="s">
        <v>187</v>
      </c>
      <c r="F27">
        <v>2</v>
      </c>
      <c r="G27" t="s">
        <v>202</v>
      </c>
      <c r="H27" t="s">
        <v>189</v>
      </c>
      <c r="I27" t="s">
        <v>190</v>
      </c>
      <c r="J27">
        <v>8</v>
      </c>
      <c r="K27">
        <v>7</v>
      </c>
      <c r="L27">
        <v>1</v>
      </c>
      <c r="M27" t="s">
        <v>191</v>
      </c>
      <c r="O27" t="s">
        <v>192</v>
      </c>
      <c r="P27">
        <v>86</v>
      </c>
      <c r="Q27">
        <v>11</v>
      </c>
      <c r="R27" t="s">
        <v>204</v>
      </c>
      <c r="S27" t="s">
        <v>214</v>
      </c>
      <c r="T27" t="s">
        <v>206</v>
      </c>
      <c r="U27" t="s">
        <v>207</v>
      </c>
      <c r="V27" t="s">
        <v>217</v>
      </c>
      <c r="W27" t="s">
        <v>192</v>
      </c>
      <c r="X27" t="s">
        <v>198</v>
      </c>
      <c r="Y27" t="s">
        <v>192</v>
      </c>
      <c r="AA27">
        <v>5</v>
      </c>
      <c r="AB27">
        <v>4</v>
      </c>
      <c r="AC27">
        <v>4</v>
      </c>
      <c r="AE27">
        <v>0</v>
      </c>
      <c r="AF27">
        <v>0</v>
      </c>
      <c r="AG27" t="s">
        <v>192</v>
      </c>
      <c r="AH27" t="s">
        <v>199</v>
      </c>
      <c r="AI27" t="s">
        <v>234</v>
      </c>
      <c r="AJ27" s="9">
        <v>7</v>
      </c>
      <c r="AK27" s="9">
        <v>86</v>
      </c>
      <c r="AL27" s="9">
        <v>0</v>
      </c>
      <c r="AM27" s="9">
        <v>93</v>
      </c>
      <c r="AN27" t="s">
        <v>264</v>
      </c>
    </row>
    <row r="28" spans="1:40" x14ac:dyDescent="0.2">
      <c r="A28" t="s">
        <v>185</v>
      </c>
      <c r="B28" t="s">
        <v>186</v>
      </c>
      <c r="C28">
        <v>5</v>
      </c>
      <c r="D28">
        <v>4156</v>
      </c>
      <c r="E28" t="s">
        <v>187</v>
      </c>
      <c r="F28">
        <v>3</v>
      </c>
      <c r="G28" t="s">
        <v>211</v>
      </c>
      <c r="H28" t="s">
        <v>189</v>
      </c>
      <c r="I28" t="s">
        <v>190</v>
      </c>
      <c r="J28">
        <v>8</v>
      </c>
      <c r="K28">
        <v>1</v>
      </c>
      <c r="L28">
        <v>0</v>
      </c>
      <c r="M28" t="s">
        <v>191</v>
      </c>
      <c r="O28" t="s">
        <v>192</v>
      </c>
      <c r="P28">
        <v>2</v>
      </c>
      <c r="Q28">
        <v>1</v>
      </c>
      <c r="R28" t="s">
        <v>193</v>
      </c>
      <c r="S28" t="s">
        <v>194</v>
      </c>
      <c r="U28" t="s">
        <v>195</v>
      </c>
      <c r="V28" t="s">
        <v>196</v>
      </c>
      <c r="W28" t="s">
        <v>192</v>
      </c>
      <c r="X28" t="s">
        <v>198</v>
      </c>
      <c r="Y28" t="s">
        <v>192</v>
      </c>
      <c r="AA28">
        <v>1</v>
      </c>
      <c r="AB28">
        <v>2</v>
      </c>
      <c r="AC28">
        <v>4</v>
      </c>
      <c r="AE28">
        <v>0</v>
      </c>
      <c r="AF28">
        <v>0</v>
      </c>
      <c r="AG28" t="s">
        <v>192</v>
      </c>
      <c r="AH28" t="s">
        <v>198</v>
      </c>
      <c r="AI28" t="s">
        <v>244</v>
      </c>
      <c r="AJ28" s="9">
        <v>1</v>
      </c>
      <c r="AK28" s="9">
        <v>2</v>
      </c>
      <c r="AL28" s="9">
        <v>0</v>
      </c>
      <c r="AM28" s="9">
        <v>3</v>
      </c>
      <c r="AN28" t="s">
        <v>265</v>
      </c>
    </row>
    <row r="29" spans="1:40" x14ac:dyDescent="0.2">
      <c r="A29" t="s">
        <v>185</v>
      </c>
      <c r="B29" t="s">
        <v>186</v>
      </c>
      <c r="C29">
        <v>5</v>
      </c>
      <c r="D29">
        <v>8096</v>
      </c>
      <c r="E29" t="s">
        <v>220</v>
      </c>
      <c r="F29">
        <v>1</v>
      </c>
      <c r="G29" t="s">
        <v>221</v>
      </c>
      <c r="H29" t="s">
        <v>189</v>
      </c>
      <c r="I29" t="s">
        <v>203</v>
      </c>
      <c r="J29">
        <v>8</v>
      </c>
      <c r="K29">
        <v>17</v>
      </c>
      <c r="L29">
        <v>6</v>
      </c>
      <c r="M29" t="s">
        <v>224</v>
      </c>
      <c r="N29" t="s">
        <v>225</v>
      </c>
      <c r="O29" t="s">
        <v>192</v>
      </c>
      <c r="P29">
        <v>7</v>
      </c>
      <c r="Q29">
        <v>3</v>
      </c>
      <c r="R29" t="s">
        <v>213</v>
      </c>
      <c r="S29" t="s">
        <v>214</v>
      </c>
      <c r="T29" t="s">
        <v>215</v>
      </c>
      <c r="U29" t="s">
        <v>216</v>
      </c>
      <c r="V29" t="s">
        <v>246</v>
      </c>
      <c r="W29" t="s">
        <v>192</v>
      </c>
      <c r="X29" t="s">
        <v>198</v>
      </c>
      <c r="Y29" t="s">
        <v>192</v>
      </c>
      <c r="AA29">
        <v>2</v>
      </c>
      <c r="AB29">
        <v>4</v>
      </c>
      <c r="AC29">
        <v>3</v>
      </c>
      <c r="AE29">
        <v>0</v>
      </c>
      <c r="AF29">
        <v>1</v>
      </c>
      <c r="AG29" t="s">
        <v>192</v>
      </c>
      <c r="AH29" t="s">
        <v>199</v>
      </c>
      <c r="AI29" t="s">
        <v>244</v>
      </c>
      <c r="AJ29" s="9">
        <v>17</v>
      </c>
      <c r="AK29" s="9">
        <v>7</v>
      </c>
      <c r="AL29" s="9">
        <v>0</v>
      </c>
      <c r="AM29" s="9">
        <v>24</v>
      </c>
      <c r="AN29" t="s">
        <v>266</v>
      </c>
    </row>
    <row r="30" spans="1:40" x14ac:dyDescent="0.2">
      <c r="A30" t="s">
        <v>185</v>
      </c>
      <c r="B30" t="s">
        <v>186</v>
      </c>
      <c r="C30">
        <v>5</v>
      </c>
      <c r="D30">
        <v>7472</v>
      </c>
      <c r="E30" t="s">
        <v>220</v>
      </c>
      <c r="F30">
        <v>2</v>
      </c>
      <c r="G30" t="s">
        <v>223</v>
      </c>
      <c r="H30" t="s">
        <v>189</v>
      </c>
      <c r="I30" t="s">
        <v>190</v>
      </c>
      <c r="J30">
        <v>8</v>
      </c>
      <c r="K30">
        <v>8</v>
      </c>
      <c r="L30">
        <v>7</v>
      </c>
      <c r="M30" t="s">
        <v>191</v>
      </c>
      <c r="O30" t="s">
        <v>192</v>
      </c>
      <c r="P30">
        <v>0</v>
      </c>
      <c r="Q30">
        <v>0</v>
      </c>
      <c r="R30" t="s">
        <v>193</v>
      </c>
      <c r="S30" t="s">
        <v>194</v>
      </c>
      <c r="U30" t="s">
        <v>262</v>
      </c>
      <c r="V30" t="s">
        <v>196</v>
      </c>
      <c r="W30" t="s">
        <v>192</v>
      </c>
      <c r="X30" t="s">
        <v>198</v>
      </c>
      <c r="Y30" t="s">
        <v>192</v>
      </c>
      <c r="AA30">
        <v>2</v>
      </c>
      <c r="AB30">
        <v>1</v>
      </c>
      <c r="AC30">
        <v>3</v>
      </c>
      <c r="AE30">
        <v>0</v>
      </c>
      <c r="AF30">
        <v>0</v>
      </c>
      <c r="AG30" t="s">
        <v>192</v>
      </c>
      <c r="AH30" t="s">
        <v>198</v>
      </c>
      <c r="AI30" t="s">
        <v>244</v>
      </c>
      <c r="AJ30" s="9">
        <v>8</v>
      </c>
      <c r="AK30" s="9">
        <v>0</v>
      </c>
      <c r="AL30" s="9">
        <v>0</v>
      </c>
      <c r="AM30" s="9">
        <v>8</v>
      </c>
      <c r="AN30" t="s">
        <v>267</v>
      </c>
    </row>
    <row r="31" spans="1:40" x14ac:dyDescent="0.2">
      <c r="A31" t="s">
        <v>185</v>
      </c>
      <c r="B31" t="s">
        <v>186</v>
      </c>
      <c r="C31">
        <v>5</v>
      </c>
      <c r="D31">
        <v>2481</v>
      </c>
      <c r="E31" t="s">
        <v>220</v>
      </c>
      <c r="F31">
        <v>3</v>
      </c>
      <c r="G31" t="s">
        <v>228</v>
      </c>
      <c r="H31" t="s">
        <v>189</v>
      </c>
      <c r="I31" t="s">
        <v>190</v>
      </c>
      <c r="J31">
        <v>8</v>
      </c>
      <c r="K31">
        <v>80</v>
      </c>
      <c r="L31">
        <v>22</v>
      </c>
      <c r="M31" t="s">
        <v>233</v>
      </c>
      <c r="N31" t="s">
        <v>239</v>
      </c>
      <c r="O31" t="s">
        <v>192</v>
      </c>
      <c r="P31">
        <v>38</v>
      </c>
      <c r="Q31">
        <v>10</v>
      </c>
      <c r="R31" t="s">
        <v>204</v>
      </c>
      <c r="S31" t="s">
        <v>205</v>
      </c>
      <c r="T31" t="s">
        <v>206</v>
      </c>
      <c r="U31" t="s">
        <v>207</v>
      </c>
      <c r="V31" t="s">
        <v>208</v>
      </c>
      <c r="W31" t="s">
        <v>192</v>
      </c>
      <c r="X31" t="s">
        <v>229</v>
      </c>
      <c r="Y31" t="s">
        <v>192</v>
      </c>
      <c r="AA31">
        <v>4</v>
      </c>
      <c r="AB31">
        <v>5</v>
      </c>
      <c r="AC31">
        <v>2</v>
      </c>
      <c r="AE31">
        <v>1</v>
      </c>
      <c r="AF31">
        <v>0</v>
      </c>
      <c r="AG31" t="s">
        <v>192</v>
      </c>
      <c r="AH31" t="s">
        <v>189</v>
      </c>
      <c r="AI31" t="s">
        <v>209</v>
      </c>
      <c r="AJ31" s="9">
        <v>80</v>
      </c>
      <c r="AK31" s="9">
        <v>38</v>
      </c>
      <c r="AL31" s="9">
        <v>0</v>
      </c>
      <c r="AM31" s="9">
        <v>118</v>
      </c>
      <c r="AN31" t="s">
        <v>268</v>
      </c>
    </row>
    <row r="32" spans="1:40" x14ac:dyDescent="0.2">
      <c r="A32" t="s">
        <v>185</v>
      </c>
      <c r="B32" t="s">
        <v>186</v>
      </c>
      <c r="C32">
        <v>6</v>
      </c>
      <c r="D32">
        <v>3284</v>
      </c>
      <c r="E32" t="s">
        <v>187</v>
      </c>
      <c r="F32">
        <v>1</v>
      </c>
      <c r="G32" t="s">
        <v>188</v>
      </c>
      <c r="H32" t="s">
        <v>189</v>
      </c>
      <c r="I32" t="s">
        <v>203</v>
      </c>
      <c r="J32">
        <v>8</v>
      </c>
      <c r="K32">
        <v>10</v>
      </c>
      <c r="L32">
        <v>4</v>
      </c>
      <c r="M32" t="s">
        <v>224</v>
      </c>
      <c r="N32" t="s">
        <v>239</v>
      </c>
      <c r="O32" t="s">
        <v>192</v>
      </c>
      <c r="P32">
        <v>11</v>
      </c>
      <c r="Q32">
        <v>5</v>
      </c>
      <c r="R32" t="s">
        <v>193</v>
      </c>
      <c r="S32" t="s">
        <v>194</v>
      </c>
      <c r="U32" t="s">
        <v>195</v>
      </c>
      <c r="V32" t="s">
        <v>196</v>
      </c>
      <c r="W32" t="s">
        <v>197</v>
      </c>
      <c r="X32" t="s">
        <v>198</v>
      </c>
      <c r="Y32" t="s">
        <v>192</v>
      </c>
      <c r="AA32">
        <v>2</v>
      </c>
      <c r="AB32">
        <v>1</v>
      </c>
      <c r="AC32">
        <v>3</v>
      </c>
      <c r="AE32">
        <v>2</v>
      </c>
      <c r="AF32">
        <v>0</v>
      </c>
      <c r="AG32" t="s">
        <v>192</v>
      </c>
      <c r="AH32" t="s">
        <v>198</v>
      </c>
      <c r="AI32" t="s">
        <v>260</v>
      </c>
      <c r="AJ32" s="9">
        <v>10</v>
      </c>
      <c r="AK32" s="9">
        <v>11</v>
      </c>
      <c r="AL32" s="9">
        <v>0</v>
      </c>
      <c r="AM32" s="9">
        <v>21</v>
      </c>
      <c r="AN32" t="s">
        <v>269</v>
      </c>
    </row>
    <row r="33" spans="1:40" x14ac:dyDescent="0.2">
      <c r="A33" t="s">
        <v>185</v>
      </c>
      <c r="B33" t="s">
        <v>186</v>
      </c>
      <c r="C33">
        <v>6</v>
      </c>
      <c r="D33">
        <v>5442</v>
      </c>
      <c r="E33" t="s">
        <v>187</v>
      </c>
      <c r="F33">
        <v>2</v>
      </c>
      <c r="G33" t="s">
        <v>202</v>
      </c>
      <c r="H33" t="s">
        <v>189</v>
      </c>
      <c r="I33" t="s">
        <v>212</v>
      </c>
      <c r="J33">
        <v>8</v>
      </c>
      <c r="K33">
        <v>1</v>
      </c>
      <c r="L33">
        <v>0</v>
      </c>
      <c r="M33" t="s">
        <v>191</v>
      </c>
      <c r="O33" t="s">
        <v>192</v>
      </c>
      <c r="P33">
        <v>17</v>
      </c>
      <c r="Q33">
        <v>7</v>
      </c>
      <c r="R33" t="s">
        <v>213</v>
      </c>
      <c r="S33" t="s">
        <v>214</v>
      </c>
      <c r="T33" t="s">
        <v>215</v>
      </c>
      <c r="U33" t="s">
        <v>216</v>
      </c>
      <c r="V33" t="s">
        <v>246</v>
      </c>
      <c r="W33" t="s">
        <v>192</v>
      </c>
      <c r="X33" t="s">
        <v>198</v>
      </c>
      <c r="Y33" t="s">
        <v>192</v>
      </c>
      <c r="AA33">
        <v>2</v>
      </c>
      <c r="AB33">
        <v>3</v>
      </c>
      <c r="AC33">
        <v>4</v>
      </c>
      <c r="AE33">
        <v>1</v>
      </c>
      <c r="AF33">
        <v>0</v>
      </c>
      <c r="AG33" t="s">
        <v>192</v>
      </c>
      <c r="AH33" t="s">
        <v>189</v>
      </c>
      <c r="AJ33" s="9">
        <v>1</v>
      </c>
      <c r="AK33" s="9">
        <v>17</v>
      </c>
      <c r="AL33" s="9">
        <v>0</v>
      </c>
      <c r="AM33" s="9">
        <v>18</v>
      </c>
      <c r="AN33" t="s">
        <v>270</v>
      </c>
    </row>
    <row r="34" spans="1:40" x14ac:dyDescent="0.2">
      <c r="A34" t="s">
        <v>185</v>
      </c>
      <c r="B34" t="s">
        <v>186</v>
      </c>
      <c r="C34">
        <v>6</v>
      </c>
      <c r="D34">
        <v>6651</v>
      </c>
      <c r="E34" t="s">
        <v>187</v>
      </c>
      <c r="F34">
        <v>3</v>
      </c>
      <c r="G34" t="s">
        <v>211</v>
      </c>
      <c r="H34" t="s">
        <v>189</v>
      </c>
      <c r="I34" t="s">
        <v>203</v>
      </c>
      <c r="J34">
        <v>8</v>
      </c>
      <c r="K34">
        <v>9</v>
      </c>
      <c r="L34">
        <v>3</v>
      </c>
      <c r="M34" t="s">
        <v>233</v>
      </c>
      <c r="N34" t="s">
        <v>225</v>
      </c>
      <c r="O34" t="s">
        <v>192</v>
      </c>
      <c r="P34">
        <v>14</v>
      </c>
      <c r="Q34">
        <v>5</v>
      </c>
      <c r="R34" t="s">
        <v>213</v>
      </c>
      <c r="S34" t="s">
        <v>194</v>
      </c>
      <c r="U34" t="s">
        <v>216</v>
      </c>
      <c r="V34" t="s">
        <v>246</v>
      </c>
      <c r="W34" t="s">
        <v>192</v>
      </c>
      <c r="X34" t="s">
        <v>198</v>
      </c>
      <c r="Y34" t="s">
        <v>192</v>
      </c>
      <c r="AA34">
        <v>2</v>
      </c>
      <c r="AB34">
        <v>1</v>
      </c>
      <c r="AC34">
        <v>5</v>
      </c>
      <c r="AE34">
        <v>0</v>
      </c>
      <c r="AF34">
        <v>0</v>
      </c>
      <c r="AG34" t="s">
        <v>192</v>
      </c>
      <c r="AH34" t="s">
        <v>198</v>
      </c>
      <c r="AJ34" s="9">
        <v>9</v>
      </c>
      <c r="AK34" s="9">
        <v>14</v>
      </c>
      <c r="AL34" s="9">
        <v>0</v>
      </c>
      <c r="AM34" s="9">
        <v>23</v>
      </c>
      <c r="AN34" t="s">
        <v>271</v>
      </c>
    </row>
    <row r="35" spans="1:40" x14ac:dyDescent="0.2">
      <c r="A35" t="s">
        <v>185</v>
      </c>
      <c r="B35" t="s">
        <v>186</v>
      </c>
      <c r="C35">
        <v>6</v>
      </c>
      <c r="D35">
        <v>2039</v>
      </c>
      <c r="E35" t="s">
        <v>220</v>
      </c>
      <c r="F35">
        <v>1</v>
      </c>
      <c r="G35" t="s">
        <v>221</v>
      </c>
      <c r="H35" t="s">
        <v>189</v>
      </c>
      <c r="I35" t="s">
        <v>190</v>
      </c>
      <c r="J35">
        <v>8</v>
      </c>
      <c r="K35">
        <v>2</v>
      </c>
      <c r="L35">
        <v>2</v>
      </c>
      <c r="M35" t="s">
        <v>191</v>
      </c>
      <c r="O35" t="s">
        <v>192</v>
      </c>
      <c r="P35">
        <v>3</v>
      </c>
      <c r="Q35">
        <v>3</v>
      </c>
      <c r="R35" t="s">
        <v>193</v>
      </c>
      <c r="S35" t="s">
        <v>194</v>
      </c>
      <c r="U35" t="s">
        <v>195</v>
      </c>
      <c r="V35" t="s">
        <v>196</v>
      </c>
      <c r="W35" t="s">
        <v>197</v>
      </c>
      <c r="X35" t="s">
        <v>198</v>
      </c>
      <c r="Y35" t="s">
        <v>254</v>
      </c>
      <c r="Z35" t="s">
        <v>255</v>
      </c>
      <c r="AA35">
        <v>1</v>
      </c>
      <c r="AB35">
        <v>1</v>
      </c>
      <c r="AC35">
        <v>2</v>
      </c>
      <c r="AE35">
        <v>0</v>
      </c>
      <c r="AF35">
        <v>0</v>
      </c>
      <c r="AG35" t="s">
        <v>192</v>
      </c>
      <c r="AH35" t="s">
        <v>198</v>
      </c>
      <c r="AI35" t="s">
        <v>272</v>
      </c>
      <c r="AJ35" s="9">
        <v>2</v>
      </c>
      <c r="AK35" s="9">
        <v>3</v>
      </c>
      <c r="AL35" s="9">
        <v>10</v>
      </c>
      <c r="AM35" s="9">
        <v>15</v>
      </c>
      <c r="AN35" t="s">
        <v>273</v>
      </c>
    </row>
    <row r="36" spans="1:40" x14ac:dyDescent="0.2">
      <c r="A36" t="s">
        <v>185</v>
      </c>
      <c r="B36" t="s">
        <v>186</v>
      </c>
      <c r="C36">
        <v>6</v>
      </c>
      <c r="D36">
        <v>4655</v>
      </c>
      <c r="E36" t="s">
        <v>220</v>
      </c>
      <c r="F36">
        <v>2</v>
      </c>
      <c r="G36" t="s">
        <v>223</v>
      </c>
      <c r="H36" t="s">
        <v>189</v>
      </c>
      <c r="I36" t="s">
        <v>190</v>
      </c>
      <c r="J36">
        <v>8</v>
      </c>
      <c r="K36">
        <v>9</v>
      </c>
      <c r="L36">
        <v>3</v>
      </c>
      <c r="M36" t="s">
        <v>233</v>
      </c>
      <c r="N36" t="s">
        <v>239</v>
      </c>
      <c r="O36" t="s">
        <v>192</v>
      </c>
      <c r="P36">
        <v>32</v>
      </c>
      <c r="Q36">
        <v>12</v>
      </c>
      <c r="R36" t="s">
        <v>204</v>
      </c>
      <c r="S36" t="s">
        <v>214</v>
      </c>
      <c r="T36" t="s">
        <v>206</v>
      </c>
      <c r="U36" t="s">
        <v>207</v>
      </c>
      <c r="V36" t="s">
        <v>217</v>
      </c>
      <c r="W36" t="s">
        <v>229</v>
      </c>
      <c r="X36" t="s">
        <v>198</v>
      </c>
      <c r="Y36" t="s">
        <v>192</v>
      </c>
      <c r="AA36">
        <v>4</v>
      </c>
      <c r="AB36">
        <v>3</v>
      </c>
      <c r="AC36">
        <v>5</v>
      </c>
      <c r="AE36">
        <v>0</v>
      </c>
      <c r="AF36">
        <v>0</v>
      </c>
      <c r="AG36" t="s">
        <v>192</v>
      </c>
      <c r="AH36" t="s">
        <v>198</v>
      </c>
      <c r="AI36" t="s">
        <v>274</v>
      </c>
      <c r="AJ36" s="9">
        <v>9</v>
      </c>
      <c r="AK36" s="9">
        <v>32</v>
      </c>
      <c r="AL36" s="9">
        <v>0</v>
      </c>
      <c r="AM36" s="9">
        <v>41</v>
      </c>
      <c r="AN36" t="s">
        <v>275</v>
      </c>
    </row>
    <row r="37" spans="1:40" x14ac:dyDescent="0.2">
      <c r="A37" t="s">
        <v>185</v>
      </c>
      <c r="B37" t="s">
        <v>186</v>
      </c>
      <c r="C37">
        <v>6</v>
      </c>
      <c r="D37">
        <v>4213</v>
      </c>
      <c r="E37" t="s">
        <v>220</v>
      </c>
      <c r="F37">
        <v>3</v>
      </c>
      <c r="G37" t="s">
        <v>228</v>
      </c>
      <c r="H37" t="s">
        <v>189</v>
      </c>
      <c r="I37" t="s">
        <v>212</v>
      </c>
      <c r="J37">
        <v>8</v>
      </c>
      <c r="K37">
        <v>7</v>
      </c>
      <c r="L37">
        <v>3</v>
      </c>
      <c r="M37" t="s">
        <v>191</v>
      </c>
      <c r="O37" t="s">
        <v>192</v>
      </c>
      <c r="P37">
        <v>24</v>
      </c>
      <c r="Q37">
        <v>10</v>
      </c>
      <c r="R37" t="s">
        <v>204</v>
      </c>
      <c r="S37" t="s">
        <v>214</v>
      </c>
      <c r="T37" t="s">
        <v>237</v>
      </c>
      <c r="U37" t="s">
        <v>216</v>
      </c>
      <c r="V37" t="s">
        <v>217</v>
      </c>
      <c r="W37" t="s">
        <v>192</v>
      </c>
      <c r="X37" t="s">
        <v>198</v>
      </c>
      <c r="Y37" t="s">
        <v>192</v>
      </c>
      <c r="AA37">
        <v>3</v>
      </c>
      <c r="AB37">
        <v>4</v>
      </c>
      <c r="AC37">
        <v>3</v>
      </c>
      <c r="AE37">
        <v>0</v>
      </c>
      <c r="AF37">
        <v>0</v>
      </c>
      <c r="AG37" t="s">
        <v>192</v>
      </c>
      <c r="AH37" t="s">
        <v>189</v>
      </c>
      <c r="AJ37" s="9">
        <v>7</v>
      </c>
      <c r="AK37" s="9">
        <v>24</v>
      </c>
      <c r="AL37" s="9">
        <v>0</v>
      </c>
      <c r="AM37" s="9">
        <v>31</v>
      </c>
      <c r="AN37" t="s">
        <v>276</v>
      </c>
    </row>
    <row r="38" spans="1:40" x14ac:dyDescent="0.2">
      <c r="A38" t="s">
        <v>185</v>
      </c>
      <c r="B38" t="s">
        <v>186</v>
      </c>
      <c r="C38">
        <v>7</v>
      </c>
      <c r="D38">
        <v>2040</v>
      </c>
      <c r="E38" t="s">
        <v>187</v>
      </c>
      <c r="F38">
        <v>1</v>
      </c>
      <c r="G38" t="s">
        <v>188</v>
      </c>
      <c r="H38" t="s">
        <v>189</v>
      </c>
      <c r="I38" t="s">
        <v>203</v>
      </c>
      <c r="J38">
        <v>5</v>
      </c>
      <c r="K38">
        <v>18</v>
      </c>
      <c r="L38">
        <v>4</v>
      </c>
      <c r="M38" t="s">
        <v>224</v>
      </c>
      <c r="N38" t="s">
        <v>225</v>
      </c>
      <c r="O38" t="s">
        <v>192</v>
      </c>
      <c r="P38">
        <v>127</v>
      </c>
      <c r="Q38">
        <v>25</v>
      </c>
      <c r="R38" t="s">
        <v>204</v>
      </c>
      <c r="S38" t="s">
        <v>205</v>
      </c>
      <c r="T38" t="s">
        <v>206</v>
      </c>
      <c r="U38" t="s">
        <v>207</v>
      </c>
      <c r="V38" t="s">
        <v>208</v>
      </c>
      <c r="W38" t="s">
        <v>192</v>
      </c>
      <c r="X38" t="s">
        <v>198</v>
      </c>
      <c r="Y38" t="s">
        <v>192</v>
      </c>
      <c r="AA38">
        <v>4</v>
      </c>
      <c r="AB38">
        <v>5</v>
      </c>
      <c r="AC38">
        <v>5</v>
      </c>
      <c r="AE38">
        <v>0</v>
      </c>
      <c r="AF38">
        <v>0</v>
      </c>
      <c r="AG38" t="s">
        <v>192</v>
      </c>
      <c r="AH38" t="s">
        <v>189</v>
      </c>
      <c r="AI38" t="s">
        <v>277</v>
      </c>
      <c r="AJ38" s="9">
        <v>18</v>
      </c>
      <c r="AK38" s="9">
        <v>127</v>
      </c>
      <c r="AL38" s="9">
        <v>0</v>
      </c>
      <c r="AM38" s="9">
        <v>145</v>
      </c>
      <c r="AN38" t="s">
        <v>278</v>
      </c>
    </row>
    <row r="39" spans="1:40" x14ac:dyDescent="0.2">
      <c r="A39" t="s">
        <v>185</v>
      </c>
      <c r="B39" t="s">
        <v>186</v>
      </c>
      <c r="C39">
        <v>7</v>
      </c>
      <c r="D39">
        <v>4143</v>
      </c>
      <c r="E39" t="s">
        <v>187</v>
      </c>
      <c r="F39">
        <v>2</v>
      </c>
      <c r="G39" t="s">
        <v>202</v>
      </c>
      <c r="H39" t="s">
        <v>189</v>
      </c>
      <c r="I39" t="s">
        <v>212</v>
      </c>
      <c r="J39">
        <v>7</v>
      </c>
      <c r="K39">
        <v>55</v>
      </c>
      <c r="L39">
        <v>8</v>
      </c>
      <c r="M39" t="s">
        <v>233</v>
      </c>
      <c r="N39" t="s">
        <v>225</v>
      </c>
      <c r="O39" t="s">
        <v>192</v>
      </c>
      <c r="P39">
        <v>102</v>
      </c>
      <c r="Q39">
        <v>15</v>
      </c>
      <c r="R39" t="s">
        <v>204</v>
      </c>
      <c r="S39" t="s">
        <v>205</v>
      </c>
      <c r="T39" t="s">
        <v>206</v>
      </c>
      <c r="U39" t="s">
        <v>207</v>
      </c>
      <c r="V39" t="s">
        <v>208</v>
      </c>
      <c r="W39" t="s">
        <v>192</v>
      </c>
      <c r="X39" t="s">
        <v>240</v>
      </c>
      <c r="Y39" t="s">
        <v>192</v>
      </c>
      <c r="AA39">
        <v>5</v>
      </c>
      <c r="AB39">
        <v>5</v>
      </c>
      <c r="AC39">
        <v>5</v>
      </c>
      <c r="AE39">
        <v>0</v>
      </c>
      <c r="AF39">
        <v>0</v>
      </c>
      <c r="AG39" t="s">
        <v>192</v>
      </c>
      <c r="AH39" t="s">
        <v>189</v>
      </c>
      <c r="AI39" t="s">
        <v>279</v>
      </c>
      <c r="AJ39" s="9">
        <v>55</v>
      </c>
      <c r="AK39" s="9">
        <v>102</v>
      </c>
      <c r="AL39" s="9">
        <v>0</v>
      </c>
      <c r="AM39" s="9">
        <v>157</v>
      </c>
      <c r="AN39" t="s">
        <v>280</v>
      </c>
    </row>
    <row r="40" spans="1:40" x14ac:dyDescent="0.2">
      <c r="A40" t="s">
        <v>185</v>
      </c>
      <c r="B40" t="s">
        <v>186</v>
      </c>
      <c r="C40">
        <v>7</v>
      </c>
      <c r="D40">
        <v>4645</v>
      </c>
      <c r="E40" t="s">
        <v>187</v>
      </c>
      <c r="F40">
        <v>3</v>
      </c>
      <c r="G40" t="s">
        <v>211</v>
      </c>
      <c r="H40" t="s">
        <v>189</v>
      </c>
      <c r="I40" t="s">
        <v>212</v>
      </c>
      <c r="J40">
        <v>8</v>
      </c>
      <c r="K40">
        <v>3</v>
      </c>
      <c r="L40">
        <v>1</v>
      </c>
      <c r="M40" t="s">
        <v>191</v>
      </c>
      <c r="O40" t="s">
        <v>192</v>
      </c>
      <c r="P40">
        <v>50</v>
      </c>
      <c r="Q40">
        <v>12</v>
      </c>
      <c r="R40" t="s">
        <v>213</v>
      </c>
      <c r="S40" t="s">
        <v>214</v>
      </c>
      <c r="T40" t="s">
        <v>215</v>
      </c>
      <c r="U40" t="s">
        <v>216</v>
      </c>
      <c r="V40" t="s">
        <v>217</v>
      </c>
      <c r="W40" t="s">
        <v>192</v>
      </c>
      <c r="X40" t="s">
        <v>198</v>
      </c>
      <c r="Y40" t="s">
        <v>192</v>
      </c>
      <c r="AA40">
        <v>2</v>
      </c>
      <c r="AB40">
        <v>3</v>
      </c>
      <c r="AC40">
        <v>4</v>
      </c>
      <c r="AE40">
        <v>0</v>
      </c>
      <c r="AF40">
        <v>0</v>
      </c>
      <c r="AG40" t="s">
        <v>192</v>
      </c>
      <c r="AH40" t="s">
        <v>199</v>
      </c>
      <c r="AI40" t="s">
        <v>234</v>
      </c>
      <c r="AJ40" s="9">
        <v>3</v>
      </c>
      <c r="AK40" s="9">
        <v>50</v>
      </c>
      <c r="AL40" s="9">
        <v>0</v>
      </c>
      <c r="AM40" s="9">
        <v>53</v>
      </c>
      <c r="AN40" t="s">
        <v>281</v>
      </c>
    </row>
    <row r="41" spans="1:40" x14ac:dyDescent="0.2">
      <c r="A41" t="s">
        <v>185</v>
      </c>
      <c r="B41" t="s">
        <v>186</v>
      </c>
      <c r="C41">
        <v>7</v>
      </c>
      <c r="D41">
        <v>2861</v>
      </c>
      <c r="E41" t="s">
        <v>220</v>
      </c>
      <c r="F41">
        <v>1</v>
      </c>
      <c r="G41" t="s">
        <v>221</v>
      </c>
      <c r="H41" t="s">
        <v>189</v>
      </c>
      <c r="I41" t="s">
        <v>203</v>
      </c>
      <c r="J41">
        <v>8</v>
      </c>
      <c r="K41">
        <v>16</v>
      </c>
      <c r="L41">
        <v>1</v>
      </c>
      <c r="M41" t="s">
        <v>233</v>
      </c>
      <c r="N41" t="s">
        <v>225</v>
      </c>
      <c r="O41" t="s">
        <v>192</v>
      </c>
      <c r="P41">
        <v>52</v>
      </c>
      <c r="Q41">
        <v>4</v>
      </c>
      <c r="R41" t="s">
        <v>204</v>
      </c>
      <c r="S41" t="s">
        <v>205</v>
      </c>
      <c r="T41" t="s">
        <v>206</v>
      </c>
      <c r="U41" t="s">
        <v>207</v>
      </c>
      <c r="V41" t="s">
        <v>208</v>
      </c>
      <c r="W41" t="s">
        <v>229</v>
      </c>
      <c r="X41" t="s">
        <v>198</v>
      </c>
      <c r="Y41" t="s">
        <v>192</v>
      </c>
      <c r="AA41">
        <v>5</v>
      </c>
      <c r="AB41">
        <v>5</v>
      </c>
      <c r="AC41">
        <v>5</v>
      </c>
      <c r="AE41">
        <v>0</v>
      </c>
      <c r="AF41">
        <v>0</v>
      </c>
      <c r="AG41" t="s">
        <v>192</v>
      </c>
      <c r="AH41" t="s">
        <v>189</v>
      </c>
      <c r="AI41" t="s">
        <v>230</v>
      </c>
      <c r="AJ41" s="9">
        <v>16</v>
      </c>
      <c r="AK41" s="9">
        <v>52</v>
      </c>
      <c r="AL41" s="9">
        <v>0</v>
      </c>
      <c r="AM41" s="9">
        <v>68</v>
      </c>
      <c r="AN41" t="s">
        <v>282</v>
      </c>
    </row>
    <row r="42" spans="1:40" x14ac:dyDescent="0.2">
      <c r="A42" t="s">
        <v>185</v>
      </c>
      <c r="B42" t="s">
        <v>186</v>
      </c>
      <c r="C42">
        <v>7</v>
      </c>
      <c r="D42">
        <v>3488</v>
      </c>
      <c r="E42" t="s">
        <v>220</v>
      </c>
      <c r="F42">
        <v>2</v>
      </c>
      <c r="G42" t="s">
        <v>223</v>
      </c>
      <c r="H42" t="s">
        <v>189</v>
      </c>
      <c r="I42" t="s">
        <v>203</v>
      </c>
      <c r="J42">
        <v>8</v>
      </c>
      <c r="K42">
        <v>1</v>
      </c>
      <c r="L42">
        <v>1</v>
      </c>
      <c r="M42" t="s">
        <v>191</v>
      </c>
      <c r="O42" t="s">
        <v>192</v>
      </c>
      <c r="P42">
        <v>29</v>
      </c>
      <c r="Q42">
        <v>19</v>
      </c>
      <c r="R42" t="s">
        <v>213</v>
      </c>
      <c r="S42" t="s">
        <v>194</v>
      </c>
      <c r="T42" t="s">
        <v>237</v>
      </c>
      <c r="U42" t="s">
        <v>216</v>
      </c>
      <c r="V42" t="s">
        <v>246</v>
      </c>
      <c r="W42" t="s">
        <v>192</v>
      </c>
      <c r="X42" t="s">
        <v>198</v>
      </c>
      <c r="Y42" t="s">
        <v>192</v>
      </c>
      <c r="AA42">
        <v>3</v>
      </c>
      <c r="AB42">
        <v>1</v>
      </c>
      <c r="AC42">
        <v>2</v>
      </c>
      <c r="AE42">
        <v>0</v>
      </c>
      <c r="AF42">
        <v>0</v>
      </c>
      <c r="AG42" t="s">
        <v>192</v>
      </c>
      <c r="AH42" t="s">
        <v>198</v>
      </c>
      <c r="AJ42" s="9">
        <v>1</v>
      </c>
      <c r="AK42" s="9">
        <v>29</v>
      </c>
      <c r="AL42" s="9">
        <v>0</v>
      </c>
      <c r="AM42" s="9">
        <v>30</v>
      </c>
      <c r="AN42" t="s">
        <v>283</v>
      </c>
    </row>
    <row r="43" spans="1:40" x14ac:dyDescent="0.2">
      <c r="A43" t="s">
        <v>185</v>
      </c>
      <c r="B43" t="s">
        <v>186</v>
      </c>
      <c r="C43">
        <v>7</v>
      </c>
      <c r="D43">
        <v>1736</v>
      </c>
      <c r="E43" t="s">
        <v>220</v>
      </c>
      <c r="F43">
        <v>3</v>
      </c>
      <c r="G43" t="s">
        <v>228</v>
      </c>
      <c r="H43" t="s">
        <v>189</v>
      </c>
      <c r="I43" t="s">
        <v>203</v>
      </c>
      <c r="J43">
        <v>5</v>
      </c>
      <c r="K43">
        <v>3</v>
      </c>
      <c r="L43">
        <v>1</v>
      </c>
      <c r="M43" t="s">
        <v>191</v>
      </c>
      <c r="O43" t="s">
        <v>192</v>
      </c>
      <c r="P43">
        <v>34</v>
      </c>
      <c r="Q43">
        <v>14</v>
      </c>
      <c r="R43" t="s">
        <v>213</v>
      </c>
      <c r="S43" t="s">
        <v>194</v>
      </c>
      <c r="T43" t="s">
        <v>215</v>
      </c>
      <c r="U43" t="s">
        <v>216</v>
      </c>
      <c r="V43" t="s">
        <v>246</v>
      </c>
      <c r="W43" t="s">
        <v>192</v>
      </c>
      <c r="X43" t="s">
        <v>198</v>
      </c>
      <c r="Y43" t="s">
        <v>192</v>
      </c>
      <c r="AA43">
        <v>2</v>
      </c>
      <c r="AB43">
        <v>2</v>
      </c>
      <c r="AC43">
        <v>3</v>
      </c>
      <c r="AE43">
        <v>0</v>
      </c>
      <c r="AF43">
        <v>0</v>
      </c>
      <c r="AG43" t="s">
        <v>192</v>
      </c>
      <c r="AH43" t="s">
        <v>199</v>
      </c>
      <c r="AJ43" s="9">
        <v>3</v>
      </c>
      <c r="AK43" s="9">
        <v>34</v>
      </c>
      <c r="AL43" s="9">
        <v>0</v>
      </c>
      <c r="AM43" s="9">
        <v>37</v>
      </c>
      <c r="AN43" t="s">
        <v>284</v>
      </c>
    </row>
    <row r="44" spans="1:40" x14ac:dyDescent="0.2">
      <c r="A44" t="s">
        <v>185</v>
      </c>
      <c r="B44" t="s">
        <v>186</v>
      </c>
      <c r="C44">
        <v>8</v>
      </c>
      <c r="D44">
        <v>8719</v>
      </c>
      <c r="E44" t="s">
        <v>187</v>
      </c>
      <c r="F44">
        <v>1</v>
      </c>
      <c r="G44" t="s">
        <v>188</v>
      </c>
      <c r="H44" t="s">
        <v>189</v>
      </c>
      <c r="I44" t="s">
        <v>190</v>
      </c>
      <c r="J44">
        <v>5</v>
      </c>
      <c r="K44">
        <v>8</v>
      </c>
      <c r="L44">
        <v>8</v>
      </c>
      <c r="M44" t="s">
        <v>233</v>
      </c>
      <c r="N44" t="s">
        <v>239</v>
      </c>
      <c r="O44" t="s">
        <v>192</v>
      </c>
      <c r="P44">
        <v>3</v>
      </c>
      <c r="Q44">
        <v>3</v>
      </c>
      <c r="R44" t="s">
        <v>193</v>
      </c>
      <c r="S44" t="s">
        <v>194</v>
      </c>
      <c r="U44" t="s">
        <v>250</v>
      </c>
      <c r="V44" t="s">
        <v>196</v>
      </c>
      <c r="W44" t="s">
        <v>229</v>
      </c>
      <c r="X44" t="s">
        <v>198</v>
      </c>
      <c r="Y44" t="s">
        <v>192</v>
      </c>
      <c r="AA44">
        <v>1</v>
      </c>
      <c r="AB44">
        <v>2</v>
      </c>
      <c r="AC44">
        <v>2</v>
      </c>
      <c r="AE44">
        <v>1</v>
      </c>
      <c r="AF44">
        <v>0</v>
      </c>
      <c r="AG44" t="s">
        <v>192</v>
      </c>
      <c r="AH44" t="s">
        <v>198</v>
      </c>
      <c r="AI44" t="s">
        <v>244</v>
      </c>
      <c r="AJ44" s="9">
        <v>8</v>
      </c>
      <c r="AK44" s="9">
        <v>3</v>
      </c>
      <c r="AL44" s="9">
        <v>0</v>
      </c>
      <c r="AM44" s="9">
        <v>11</v>
      </c>
      <c r="AN44" t="s">
        <v>285</v>
      </c>
    </row>
    <row r="45" spans="1:40" x14ac:dyDescent="0.2">
      <c r="A45" t="s">
        <v>185</v>
      </c>
      <c r="B45" t="s">
        <v>186</v>
      </c>
      <c r="C45">
        <v>8</v>
      </c>
      <c r="D45">
        <v>1756</v>
      </c>
      <c r="E45" t="s">
        <v>187</v>
      </c>
      <c r="F45">
        <v>2</v>
      </c>
      <c r="G45" t="s">
        <v>202</v>
      </c>
      <c r="H45" t="s">
        <v>189</v>
      </c>
      <c r="I45" t="s">
        <v>190</v>
      </c>
      <c r="J45">
        <v>8</v>
      </c>
      <c r="K45">
        <v>27</v>
      </c>
      <c r="L45">
        <v>5</v>
      </c>
      <c r="M45" t="s">
        <v>233</v>
      </c>
      <c r="N45" t="s">
        <v>225</v>
      </c>
      <c r="O45" t="s">
        <v>192</v>
      </c>
      <c r="P45">
        <v>125</v>
      </c>
      <c r="Q45">
        <v>23</v>
      </c>
      <c r="R45" t="s">
        <v>204</v>
      </c>
      <c r="S45" t="s">
        <v>205</v>
      </c>
      <c r="T45" t="s">
        <v>206</v>
      </c>
      <c r="U45" t="s">
        <v>207</v>
      </c>
      <c r="V45" t="s">
        <v>208</v>
      </c>
      <c r="W45" t="s">
        <v>192</v>
      </c>
      <c r="X45" t="s">
        <v>198</v>
      </c>
      <c r="Y45" t="s">
        <v>192</v>
      </c>
      <c r="AA45">
        <v>4</v>
      </c>
      <c r="AB45">
        <v>5</v>
      </c>
      <c r="AC45">
        <v>4</v>
      </c>
      <c r="AE45">
        <v>0</v>
      </c>
      <c r="AF45">
        <v>0</v>
      </c>
      <c r="AG45" t="s">
        <v>192</v>
      </c>
      <c r="AH45" t="s">
        <v>189</v>
      </c>
      <c r="AI45" t="s">
        <v>286</v>
      </c>
      <c r="AJ45" s="9">
        <v>27</v>
      </c>
      <c r="AK45" s="9">
        <v>125</v>
      </c>
      <c r="AL45" s="9">
        <v>0</v>
      </c>
      <c r="AM45" s="9">
        <v>152</v>
      </c>
      <c r="AN45" t="s">
        <v>287</v>
      </c>
    </row>
    <row r="46" spans="1:40" x14ac:dyDescent="0.2">
      <c r="A46" t="s">
        <v>185</v>
      </c>
      <c r="B46" t="s">
        <v>186</v>
      </c>
      <c r="C46">
        <v>8</v>
      </c>
      <c r="D46">
        <v>648</v>
      </c>
      <c r="E46" t="s">
        <v>187</v>
      </c>
      <c r="F46">
        <v>3</v>
      </c>
      <c r="G46" t="s">
        <v>211</v>
      </c>
      <c r="H46" t="s">
        <v>189</v>
      </c>
      <c r="I46" t="s">
        <v>190</v>
      </c>
      <c r="J46">
        <v>8</v>
      </c>
      <c r="K46">
        <v>15</v>
      </c>
      <c r="L46">
        <v>9</v>
      </c>
      <c r="M46" t="s">
        <v>233</v>
      </c>
      <c r="N46" t="s">
        <v>239</v>
      </c>
      <c r="O46" t="s">
        <v>192</v>
      </c>
      <c r="P46">
        <v>4</v>
      </c>
      <c r="Q46">
        <v>2</v>
      </c>
      <c r="R46" t="s">
        <v>213</v>
      </c>
      <c r="S46" t="s">
        <v>194</v>
      </c>
      <c r="U46" t="s">
        <v>250</v>
      </c>
      <c r="V46" t="s">
        <v>246</v>
      </c>
      <c r="W46" t="s">
        <v>197</v>
      </c>
      <c r="X46" t="s">
        <v>198</v>
      </c>
      <c r="Y46" t="s">
        <v>192</v>
      </c>
      <c r="AA46">
        <v>1</v>
      </c>
      <c r="AB46">
        <v>3</v>
      </c>
      <c r="AC46">
        <v>3</v>
      </c>
      <c r="AE46">
        <v>0</v>
      </c>
      <c r="AF46">
        <v>0</v>
      </c>
      <c r="AG46" t="s">
        <v>192</v>
      </c>
      <c r="AH46" t="s">
        <v>199</v>
      </c>
      <c r="AI46" t="s">
        <v>200</v>
      </c>
      <c r="AJ46" s="9">
        <v>15</v>
      </c>
      <c r="AK46" s="9">
        <v>4</v>
      </c>
      <c r="AL46" s="9">
        <v>0</v>
      </c>
      <c r="AM46" s="9">
        <v>19</v>
      </c>
      <c r="AN46" t="s">
        <v>288</v>
      </c>
    </row>
    <row r="47" spans="1:40" x14ac:dyDescent="0.2">
      <c r="A47" t="s">
        <v>185</v>
      </c>
      <c r="B47" t="s">
        <v>186</v>
      </c>
      <c r="C47">
        <v>8</v>
      </c>
      <c r="D47">
        <v>8029</v>
      </c>
      <c r="E47" t="s">
        <v>220</v>
      </c>
      <c r="F47">
        <v>1</v>
      </c>
      <c r="G47" t="s">
        <v>221</v>
      </c>
      <c r="H47" t="s">
        <v>189</v>
      </c>
      <c r="I47" t="s">
        <v>190</v>
      </c>
      <c r="J47">
        <v>5</v>
      </c>
      <c r="K47">
        <v>11</v>
      </c>
      <c r="L47">
        <v>12</v>
      </c>
      <c r="M47" t="s">
        <v>233</v>
      </c>
      <c r="N47" t="s">
        <v>225</v>
      </c>
      <c r="O47" t="s">
        <v>192</v>
      </c>
      <c r="P47">
        <v>3</v>
      </c>
      <c r="Q47">
        <v>3</v>
      </c>
      <c r="R47" t="s">
        <v>193</v>
      </c>
      <c r="S47" t="s">
        <v>194</v>
      </c>
      <c r="U47" t="s">
        <v>262</v>
      </c>
      <c r="V47" t="s">
        <v>196</v>
      </c>
      <c r="W47" t="s">
        <v>229</v>
      </c>
      <c r="X47" t="s">
        <v>198</v>
      </c>
      <c r="Y47" t="s">
        <v>192</v>
      </c>
      <c r="AA47">
        <v>2</v>
      </c>
      <c r="AB47">
        <v>2</v>
      </c>
      <c r="AC47">
        <v>2</v>
      </c>
      <c r="AD47" t="s">
        <v>241</v>
      </c>
      <c r="AE47">
        <v>0</v>
      </c>
      <c r="AF47">
        <v>0</v>
      </c>
      <c r="AG47" t="s">
        <v>192</v>
      </c>
      <c r="AH47" t="s">
        <v>199</v>
      </c>
      <c r="AI47" t="s">
        <v>242</v>
      </c>
      <c r="AJ47" s="9">
        <v>11</v>
      </c>
      <c r="AK47" s="9">
        <v>3</v>
      </c>
      <c r="AL47" s="9">
        <v>0</v>
      </c>
      <c r="AM47" s="9">
        <v>14</v>
      </c>
      <c r="AN47" t="s">
        <v>289</v>
      </c>
    </row>
    <row r="48" spans="1:40" x14ac:dyDescent="0.2">
      <c r="A48" t="s">
        <v>185</v>
      </c>
      <c r="B48" t="s">
        <v>186</v>
      </c>
      <c r="C48">
        <v>8</v>
      </c>
      <c r="D48">
        <v>9082</v>
      </c>
      <c r="E48" t="s">
        <v>220</v>
      </c>
      <c r="F48">
        <v>2</v>
      </c>
      <c r="G48" t="s">
        <v>223</v>
      </c>
      <c r="H48" t="s">
        <v>189</v>
      </c>
      <c r="I48" t="s">
        <v>190</v>
      </c>
      <c r="J48">
        <v>8</v>
      </c>
      <c r="K48">
        <v>9</v>
      </c>
      <c r="L48">
        <v>1</v>
      </c>
      <c r="M48" t="s">
        <v>233</v>
      </c>
      <c r="N48" t="s">
        <v>239</v>
      </c>
      <c r="O48" t="s">
        <v>192</v>
      </c>
      <c r="P48">
        <v>55</v>
      </c>
      <c r="Q48">
        <v>6</v>
      </c>
      <c r="R48" t="s">
        <v>204</v>
      </c>
      <c r="S48" t="s">
        <v>205</v>
      </c>
      <c r="T48" t="s">
        <v>206</v>
      </c>
      <c r="U48" t="s">
        <v>207</v>
      </c>
      <c r="V48" t="s">
        <v>217</v>
      </c>
      <c r="W48" t="s">
        <v>192</v>
      </c>
      <c r="X48" t="s">
        <v>198</v>
      </c>
      <c r="Y48" t="s">
        <v>192</v>
      </c>
      <c r="AA48">
        <v>5</v>
      </c>
      <c r="AB48">
        <v>5</v>
      </c>
      <c r="AC48">
        <v>5</v>
      </c>
      <c r="AE48">
        <v>0</v>
      </c>
      <c r="AF48">
        <v>0</v>
      </c>
      <c r="AG48" t="s">
        <v>192</v>
      </c>
      <c r="AH48" t="s">
        <v>189</v>
      </c>
      <c r="AI48" t="s">
        <v>226</v>
      </c>
      <c r="AJ48" s="9">
        <v>9</v>
      </c>
      <c r="AK48" s="9">
        <v>55</v>
      </c>
      <c r="AL48" s="9">
        <v>0</v>
      </c>
      <c r="AM48" s="9">
        <v>64</v>
      </c>
      <c r="AN48" t="s">
        <v>290</v>
      </c>
    </row>
    <row r="49" spans="1:40" x14ac:dyDescent="0.2">
      <c r="A49" t="s">
        <v>185</v>
      </c>
      <c r="B49" t="s">
        <v>186</v>
      </c>
      <c r="C49">
        <v>8</v>
      </c>
      <c r="D49">
        <v>2481</v>
      </c>
      <c r="E49" t="s">
        <v>220</v>
      </c>
      <c r="F49">
        <v>3</v>
      </c>
      <c r="G49" t="s">
        <v>228</v>
      </c>
      <c r="H49" t="s">
        <v>189</v>
      </c>
      <c r="I49" t="s">
        <v>190</v>
      </c>
      <c r="J49">
        <v>8</v>
      </c>
      <c r="K49">
        <v>74</v>
      </c>
      <c r="L49">
        <v>22</v>
      </c>
      <c r="M49" t="s">
        <v>233</v>
      </c>
      <c r="N49" t="s">
        <v>239</v>
      </c>
      <c r="O49" t="s">
        <v>192</v>
      </c>
      <c r="P49">
        <v>156</v>
      </c>
      <c r="Q49">
        <v>47</v>
      </c>
      <c r="R49" t="s">
        <v>204</v>
      </c>
      <c r="S49" t="s">
        <v>205</v>
      </c>
      <c r="T49" t="s">
        <v>206</v>
      </c>
      <c r="U49" t="s">
        <v>207</v>
      </c>
      <c r="V49" t="s">
        <v>208</v>
      </c>
      <c r="W49" t="s">
        <v>192</v>
      </c>
      <c r="X49" t="s">
        <v>229</v>
      </c>
      <c r="Y49" t="s">
        <v>192</v>
      </c>
      <c r="AA49">
        <v>5</v>
      </c>
      <c r="AB49">
        <v>3</v>
      </c>
      <c r="AC49">
        <v>4</v>
      </c>
      <c r="AE49">
        <v>0</v>
      </c>
      <c r="AF49">
        <v>0</v>
      </c>
      <c r="AG49" t="s">
        <v>192</v>
      </c>
      <c r="AH49" t="s">
        <v>189</v>
      </c>
      <c r="AI49" t="s">
        <v>286</v>
      </c>
      <c r="AJ49" s="9">
        <v>74</v>
      </c>
      <c r="AK49" s="9">
        <v>156</v>
      </c>
      <c r="AL49" s="9">
        <v>0</v>
      </c>
      <c r="AM49" s="9">
        <v>230</v>
      </c>
      <c r="AN49" t="s">
        <v>291</v>
      </c>
    </row>
    <row r="50" spans="1:40" x14ac:dyDescent="0.2">
      <c r="A50" t="s">
        <v>185</v>
      </c>
      <c r="B50" t="s">
        <v>186</v>
      </c>
      <c r="C50">
        <v>9</v>
      </c>
      <c r="D50">
        <v>6651</v>
      </c>
      <c r="E50" t="s">
        <v>187</v>
      </c>
      <c r="F50">
        <v>1</v>
      </c>
      <c r="G50" t="s">
        <v>188</v>
      </c>
      <c r="H50" t="s">
        <v>189</v>
      </c>
      <c r="I50" t="s">
        <v>203</v>
      </c>
      <c r="J50">
        <v>8</v>
      </c>
      <c r="K50">
        <v>10</v>
      </c>
      <c r="L50">
        <v>5</v>
      </c>
      <c r="M50" t="s">
        <v>233</v>
      </c>
      <c r="N50" t="s">
        <v>225</v>
      </c>
      <c r="O50" t="s">
        <v>192</v>
      </c>
      <c r="P50">
        <v>24</v>
      </c>
      <c r="Q50">
        <v>11</v>
      </c>
      <c r="R50" t="s">
        <v>213</v>
      </c>
      <c r="S50" t="s">
        <v>194</v>
      </c>
      <c r="U50" t="s">
        <v>216</v>
      </c>
      <c r="V50" t="s">
        <v>246</v>
      </c>
      <c r="W50" t="s">
        <v>192</v>
      </c>
      <c r="X50" t="s">
        <v>198</v>
      </c>
      <c r="Y50" t="s">
        <v>192</v>
      </c>
      <c r="AA50">
        <v>2</v>
      </c>
      <c r="AB50">
        <v>2</v>
      </c>
      <c r="AC50">
        <v>3</v>
      </c>
      <c r="AD50" t="s">
        <v>292</v>
      </c>
      <c r="AE50">
        <v>0</v>
      </c>
      <c r="AF50">
        <v>0</v>
      </c>
      <c r="AG50" t="s">
        <v>192</v>
      </c>
      <c r="AH50" t="s">
        <v>198</v>
      </c>
      <c r="AJ50" s="9">
        <v>10</v>
      </c>
      <c r="AK50" s="9">
        <v>24</v>
      </c>
      <c r="AL50" s="9">
        <v>0</v>
      </c>
      <c r="AM50" s="9">
        <v>34</v>
      </c>
      <c r="AN50" t="s">
        <v>293</v>
      </c>
    </row>
    <row r="51" spans="1:40" x14ac:dyDescent="0.2">
      <c r="A51" t="s">
        <v>185</v>
      </c>
      <c r="B51" t="s">
        <v>186</v>
      </c>
      <c r="C51">
        <v>9</v>
      </c>
      <c r="D51">
        <v>8096</v>
      </c>
      <c r="E51" t="s">
        <v>187</v>
      </c>
      <c r="F51">
        <v>2</v>
      </c>
      <c r="G51" t="s">
        <v>202</v>
      </c>
      <c r="H51" t="s">
        <v>189</v>
      </c>
      <c r="I51" t="s">
        <v>203</v>
      </c>
      <c r="J51">
        <v>8</v>
      </c>
      <c r="K51">
        <v>12</v>
      </c>
      <c r="L51">
        <v>4</v>
      </c>
      <c r="M51" t="s">
        <v>224</v>
      </c>
      <c r="N51" t="s">
        <v>225</v>
      </c>
      <c r="O51" t="s">
        <v>192</v>
      </c>
      <c r="P51">
        <v>30</v>
      </c>
      <c r="Q51">
        <v>9</v>
      </c>
      <c r="R51" t="s">
        <v>213</v>
      </c>
      <c r="S51" t="s">
        <v>214</v>
      </c>
      <c r="T51" t="s">
        <v>215</v>
      </c>
      <c r="U51" t="s">
        <v>216</v>
      </c>
      <c r="V51" t="s">
        <v>246</v>
      </c>
      <c r="W51" t="s">
        <v>192</v>
      </c>
      <c r="X51" t="s">
        <v>198</v>
      </c>
      <c r="Y51" t="s">
        <v>192</v>
      </c>
      <c r="AA51">
        <v>3</v>
      </c>
      <c r="AB51">
        <v>3</v>
      </c>
      <c r="AC51">
        <v>4</v>
      </c>
      <c r="AE51">
        <v>0</v>
      </c>
      <c r="AF51">
        <v>0</v>
      </c>
      <c r="AG51" t="s">
        <v>192</v>
      </c>
      <c r="AH51" t="s">
        <v>198</v>
      </c>
      <c r="AJ51" s="9">
        <v>12</v>
      </c>
      <c r="AK51" s="9">
        <v>30</v>
      </c>
      <c r="AL51" s="9">
        <v>0</v>
      </c>
      <c r="AM51" s="9">
        <v>42</v>
      </c>
      <c r="AN51" t="s">
        <v>294</v>
      </c>
    </row>
    <row r="52" spans="1:40" x14ac:dyDescent="0.2">
      <c r="A52" t="s">
        <v>185</v>
      </c>
      <c r="B52" t="s">
        <v>186</v>
      </c>
      <c r="C52">
        <v>9</v>
      </c>
      <c r="D52">
        <v>8020</v>
      </c>
      <c r="E52" t="s">
        <v>187</v>
      </c>
      <c r="F52">
        <v>3</v>
      </c>
      <c r="G52" t="s">
        <v>211</v>
      </c>
      <c r="H52" t="s">
        <v>189</v>
      </c>
      <c r="I52" t="s">
        <v>190</v>
      </c>
      <c r="J52">
        <v>8</v>
      </c>
      <c r="K52">
        <v>26</v>
      </c>
      <c r="L52">
        <v>9</v>
      </c>
      <c r="M52" t="s">
        <v>233</v>
      </c>
      <c r="N52" t="s">
        <v>225</v>
      </c>
      <c r="O52" t="s">
        <v>192</v>
      </c>
      <c r="P52">
        <v>82</v>
      </c>
      <c r="Q52">
        <v>27</v>
      </c>
      <c r="R52" t="s">
        <v>204</v>
      </c>
      <c r="S52" t="s">
        <v>205</v>
      </c>
      <c r="T52" t="s">
        <v>206</v>
      </c>
      <c r="U52" t="s">
        <v>207</v>
      </c>
      <c r="V52" t="s">
        <v>208</v>
      </c>
      <c r="W52" t="s">
        <v>192</v>
      </c>
      <c r="X52" t="s">
        <v>198</v>
      </c>
      <c r="Y52" t="s">
        <v>192</v>
      </c>
      <c r="AA52">
        <v>4</v>
      </c>
      <c r="AB52">
        <v>4</v>
      </c>
      <c r="AC52">
        <v>4</v>
      </c>
      <c r="AE52">
        <v>0</v>
      </c>
      <c r="AF52">
        <v>0</v>
      </c>
      <c r="AG52" t="s">
        <v>192</v>
      </c>
      <c r="AH52" t="s">
        <v>189</v>
      </c>
      <c r="AI52" t="s">
        <v>234</v>
      </c>
      <c r="AJ52" s="9">
        <v>26</v>
      </c>
      <c r="AK52" s="9">
        <v>82</v>
      </c>
      <c r="AL52" s="9">
        <v>0</v>
      </c>
      <c r="AM52" s="9">
        <v>108</v>
      </c>
      <c r="AN52" t="s">
        <v>295</v>
      </c>
    </row>
    <row r="53" spans="1:40" x14ac:dyDescent="0.2">
      <c r="A53" t="s">
        <v>185</v>
      </c>
      <c r="B53" t="s">
        <v>186</v>
      </c>
      <c r="C53">
        <v>9</v>
      </c>
      <c r="D53">
        <v>7848</v>
      </c>
      <c r="E53" t="s">
        <v>220</v>
      </c>
      <c r="F53">
        <v>1</v>
      </c>
      <c r="G53" t="s">
        <v>221</v>
      </c>
      <c r="H53" t="s">
        <v>189</v>
      </c>
      <c r="I53" t="s">
        <v>203</v>
      </c>
      <c r="J53">
        <v>8</v>
      </c>
      <c r="K53">
        <v>2</v>
      </c>
      <c r="L53">
        <v>1</v>
      </c>
      <c r="M53" t="s">
        <v>191</v>
      </c>
      <c r="O53" t="s">
        <v>192</v>
      </c>
      <c r="P53">
        <v>38</v>
      </c>
      <c r="Q53">
        <v>10</v>
      </c>
      <c r="R53" t="s">
        <v>204</v>
      </c>
      <c r="S53" t="s">
        <v>214</v>
      </c>
      <c r="T53" t="s">
        <v>215</v>
      </c>
      <c r="U53" t="s">
        <v>216</v>
      </c>
      <c r="V53" t="s">
        <v>217</v>
      </c>
      <c r="W53" t="s">
        <v>192</v>
      </c>
      <c r="X53" t="s">
        <v>198</v>
      </c>
      <c r="Y53" t="s">
        <v>192</v>
      </c>
      <c r="AA53">
        <v>4</v>
      </c>
      <c r="AB53">
        <v>3</v>
      </c>
      <c r="AC53">
        <v>4</v>
      </c>
      <c r="AE53">
        <v>0</v>
      </c>
      <c r="AF53">
        <v>0</v>
      </c>
      <c r="AG53" t="s">
        <v>192</v>
      </c>
      <c r="AH53" t="s">
        <v>199</v>
      </c>
      <c r="AJ53" s="9">
        <v>2</v>
      </c>
      <c r="AK53" s="9">
        <v>38</v>
      </c>
      <c r="AL53" s="9">
        <v>0</v>
      </c>
      <c r="AM53" s="9">
        <v>40</v>
      </c>
      <c r="AN53" t="s">
        <v>296</v>
      </c>
    </row>
    <row r="54" spans="1:40" x14ac:dyDescent="0.2">
      <c r="A54" t="s">
        <v>185</v>
      </c>
      <c r="B54" t="s">
        <v>186</v>
      </c>
      <c r="C54">
        <v>9</v>
      </c>
      <c r="D54">
        <v>6237</v>
      </c>
      <c r="E54" t="s">
        <v>220</v>
      </c>
      <c r="F54">
        <v>2</v>
      </c>
      <c r="G54" t="s">
        <v>223</v>
      </c>
      <c r="H54" t="s">
        <v>189</v>
      </c>
      <c r="I54" t="s">
        <v>203</v>
      </c>
      <c r="J54">
        <v>8</v>
      </c>
      <c r="K54">
        <v>3</v>
      </c>
      <c r="L54">
        <v>1</v>
      </c>
      <c r="M54" t="s">
        <v>191</v>
      </c>
      <c r="O54" t="s">
        <v>192</v>
      </c>
      <c r="P54">
        <v>51</v>
      </c>
      <c r="Q54">
        <v>20</v>
      </c>
      <c r="R54" t="s">
        <v>204</v>
      </c>
      <c r="S54" t="s">
        <v>205</v>
      </c>
      <c r="T54" t="s">
        <v>206</v>
      </c>
      <c r="U54" t="s">
        <v>207</v>
      </c>
      <c r="V54" t="s">
        <v>208</v>
      </c>
      <c r="W54" t="s">
        <v>192</v>
      </c>
      <c r="X54" t="s">
        <v>229</v>
      </c>
      <c r="Y54" t="s">
        <v>192</v>
      </c>
      <c r="AA54">
        <v>3</v>
      </c>
      <c r="AB54">
        <v>5</v>
      </c>
      <c r="AC54">
        <v>4</v>
      </c>
      <c r="AE54">
        <v>1</v>
      </c>
      <c r="AF54">
        <v>0</v>
      </c>
      <c r="AG54" t="s">
        <v>192</v>
      </c>
      <c r="AH54" t="s">
        <v>189</v>
      </c>
      <c r="AI54" t="s">
        <v>234</v>
      </c>
      <c r="AJ54" s="9">
        <v>3</v>
      </c>
      <c r="AK54" s="9">
        <v>51</v>
      </c>
      <c r="AL54" s="9">
        <v>0</v>
      </c>
      <c r="AM54" s="9">
        <v>54</v>
      </c>
      <c r="AN54" t="s">
        <v>297</v>
      </c>
    </row>
    <row r="55" spans="1:40" x14ac:dyDescent="0.2">
      <c r="A55" t="s">
        <v>185</v>
      </c>
      <c r="B55" t="s">
        <v>186</v>
      </c>
      <c r="C55">
        <v>9</v>
      </c>
      <c r="D55">
        <v>4787</v>
      </c>
      <c r="E55" t="s">
        <v>220</v>
      </c>
      <c r="F55">
        <v>3</v>
      </c>
      <c r="G55" t="s">
        <v>228</v>
      </c>
      <c r="H55" t="s">
        <v>189</v>
      </c>
      <c r="I55" t="s">
        <v>212</v>
      </c>
      <c r="J55">
        <v>7</v>
      </c>
      <c r="K55">
        <v>0</v>
      </c>
      <c r="L55">
        <v>0</v>
      </c>
      <c r="O55" t="s">
        <v>192</v>
      </c>
      <c r="P55">
        <v>22</v>
      </c>
      <c r="Q55">
        <v>12</v>
      </c>
      <c r="R55" t="s">
        <v>213</v>
      </c>
      <c r="S55" t="s">
        <v>214</v>
      </c>
      <c r="T55" t="s">
        <v>215</v>
      </c>
      <c r="U55" t="s">
        <v>216</v>
      </c>
      <c r="V55" t="s">
        <v>246</v>
      </c>
      <c r="W55" t="s">
        <v>192</v>
      </c>
      <c r="X55" t="s">
        <v>198</v>
      </c>
      <c r="Y55" t="s">
        <v>192</v>
      </c>
      <c r="AA55">
        <v>3</v>
      </c>
      <c r="AB55">
        <v>3</v>
      </c>
      <c r="AC55">
        <v>3</v>
      </c>
      <c r="AE55">
        <v>1</v>
      </c>
      <c r="AF55">
        <v>0</v>
      </c>
      <c r="AG55" t="s">
        <v>192</v>
      </c>
      <c r="AH55" t="s">
        <v>198</v>
      </c>
      <c r="AJ55" s="9">
        <v>0</v>
      </c>
      <c r="AK55" s="9">
        <v>22</v>
      </c>
      <c r="AL55" s="9">
        <v>0</v>
      </c>
      <c r="AM55" s="9">
        <v>22</v>
      </c>
      <c r="AN55" t="s">
        <v>298</v>
      </c>
    </row>
    <row r="56" spans="1:40" x14ac:dyDescent="0.2">
      <c r="A56" t="s">
        <v>185</v>
      </c>
      <c r="B56" t="s">
        <v>186</v>
      </c>
      <c r="C56">
        <v>10</v>
      </c>
      <c r="D56">
        <v>1625</v>
      </c>
      <c r="E56" t="s">
        <v>187</v>
      </c>
      <c r="F56">
        <v>1</v>
      </c>
      <c r="G56" t="s">
        <v>188</v>
      </c>
      <c r="H56" t="s">
        <v>189</v>
      </c>
      <c r="I56" t="s">
        <v>212</v>
      </c>
      <c r="J56">
        <v>8</v>
      </c>
      <c r="K56">
        <v>15</v>
      </c>
      <c r="L56">
        <v>6</v>
      </c>
      <c r="M56" t="s">
        <v>233</v>
      </c>
      <c r="N56" t="s">
        <v>225</v>
      </c>
      <c r="O56" t="s">
        <v>192</v>
      </c>
      <c r="P56">
        <v>71</v>
      </c>
      <c r="Q56">
        <v>27</v>
      </c>
      <c r="R56" t="s">
        <v>204</v>
      </c>
      <c r="S56" t="s">
        <v>205</v>
      </c>
      <c r="T56" t="s">
        <v>206</v>
      </c>
      <c r="U56" t="s">
        <v>207</v>
      </c>
      <c r="V56" t="s">
        <v>208</v>
      </c>
      <c r="W56" t="s">
        <v>192</v>
      </c>
      <c r="X56" t="s">
        <v>198</v>
      </c>
      <c r="Y56" t="s">
        <v>192</v>
      </c>
      <c r="AA56">
        <v>3</v>
      </c>
      <c r="AB56">
        <v>5</v>
      </c>
      <c r="AC56">
        <v>4</v>
      </c>
      <c r="AE56">
        <v>0</v>
      </c>
      <c r="AF56">
        <v>0</v>
      </c>
      <c r="AG56" t="s">
        <v>192</v>
      </c>
      <c r="AH56" t="s">
        <v>189</v>
      </c>
      <c r="AI56" t="s">
        <v>226</v>
      </c>
      <c r="AJ56" s="9">
        <v>15</v>
      </c>
      <c r="AK56" s="9">
        <v>71</v>
      </c>
      <c r="AL56" s="9">
        <v>0</v>
      </c>
      <c r="AM56" s="9">
        <v>86</v>
      </c>
      <c r="AN56" t="s">
        <v>299</v>
      </c>
    </row>
    <row r="57" spans="1:40" x14ac:dyDescent="0.2">
      <c r="A57" t="s">
        <v>185</v>
      </c>
      <c r="B57" t="s">
        <v>186</v>
      </c>
      <c r="C57">
        <v>10</v>
      </c>
      <c r="D57">
        <v>3067</v>
      </c>
      <c r="E57" t="s">
        <v>187</v>
      </c>
      <c r="F57">
        <v>2</v>
      </c>
      <c r="G57" t="s">
        <v>202</v>
      </c>
      <c r="H57" t="s">
        <v>189</v>
      </c>
      <c r="I57" t="s">
        <v>212</v>
      </c>
      <c r="J57">
        <v>8</v>
      </c>
      <c r="K57">
        <v>2</v>
      </c>
      <c r="L57">
        <v>0</v>
      </c>
      <c r="M57" t="s">
        <v>191</v>
      </c>
      <c r="O57" t="s">
        <v>192</v>
      </c>
      <c r="P57">
        <v>46</v>
      </c>
      <c r="Q57">
        <v>9</v>
      </c>
      <c r="R57" t="s">
        <v>204</v>
      </c>
      <c r="S57" t="s">
        <v>214</v>
      </c>
      <c r="T57" t="s">
        <v>237</v>
      </c>
      <c r="U57" t="s">
        <v>216</v>
      </c>
      <c r="V57" t="s">
        <v>217</v>
      </c>
      <c r="W57" t="s">
        <v>192</v>
      </c>
      <c r="X57" t="s">
        <v>198</v>
      </c>
      <c r="Y57" t="s">
        <v>192</v>
      </c>
      <c r="AA57">
        <v>3</v>
      </c>
      <c r="AB57">
        <v>4</v>
      </c>
      <c r="AC57">
        <v>5</v>
      </c>
      <c r="AE57">
        <v>0</v>
      </c>
      <c r="AF57">
        <v>0</v>
      </c>
      <c r="AG57" t="s">
        <v>192</v>
      </c>
      <c r="AH57" t="s">
        <v>198</v>
      </c>
      <c r="AJ57" s="9">
        <v>2</v>
      </c>
      <c r="AK57" s="9">
        <v>46</v>
      </c>
      <c r="AL57" s="9">
        <v>0</v>
      </c>
      <c r="AM57" s="9">
        <v>48</v>
      </c>
      <c r="AN57" t="s">
        <v>300</v>
      </c>
    </row>
    <row r="58" spans="1:40" x14ac:dyDescent="0.2">
      <c r="A58" t="s">
        <v>185</v>
      </c>
      <c r="B58" t="s">
        <v>186</v>
      </c>
      <c r="C58">
        <v>10</v>
      </c>
      <c r="D58">
        <v>7472</v>
      </c>
      <c r="E58" t="s">
        <v>187</v>
      </c>
      <c r="F58">
        <v>3</v>
      </c>
      <c r="G58" t="s">
        <v>211</v>
      </c>
      <c r="H58" t="s">
        <v>189</v>
      </c>
      <c r="I58" t="s">
        <v>190</v>
      </c>
      <c r="J58">
        <v>8</v>
      </c>
      <c r="K58">
        <v>2</v>
      </c>
      <c r="L58">
        <v>2</v>
      </c>
      <c r="M58" t="s">
        <v>191</v>
      </c>
      <c r="O58" t="s">
        <v>192</v>
      </c>
      <c r="P58">
        <v>3</v>
      </c>
      <c r="Q58">
        <v>3</v>
      </c>
      <c r="R58" t="s">
        <v>193</v>
      </c>
      <c r="S58" t="s">
        <v>194</v>
      </c>
      <c r="U58" t="s">
        <v>262</v>
      </c>
      <c r="V58" t="s">
        <v>196</v>
      </c>
      <c r="W58" t="s">
        <v>192</v>
      </c>
      <c r="X58" t="s">
        <v>198</v>
      </c>
      <c r="Y58" t="s">
        <v>192</v>
      </c>
      <c r="AA58">
        <v>2</v>
      </c>
      <c r="AB58">
        <v>2</v>
      </c>
      <c r="AC58">
        <v>1</v>
      </c>
      <c r="AE58">
        <v>0</v>
      </c>
      <c r="AF58">
        <v>0</v>
      </c>
      <c r="AG58" t="s">
        <v>192</v>
      </c>
      <c r="AH58" t="s">
        <v>198</v>
      </c>
      <c r="AI58" t="s">
        <v>244</v>
      </c>
      <c r="AJ58" s="9">
        <v>2</v>
      </c>
      <c r="AK58" s="9">
        <v>3</v>
      </c>
      <c r="AL58" s="9">
        <v>0</v>
      </c>
      <c r="AM58" s="9">
        <v>5</v>
      </c>
      <c r="AN58" t="s">
        <v>301</v>
      </c>
    </row>
    <row r="59" spans="1:40" x14ac:dyDescent="0.2">
      <c r="A59" t="s">
        <v>185</v>
      </c>
      <c r="B59" t="s">
        <v>186</v>
      </c>
      <c r="C59">
        <v>10</v>
      </c>
      <c r="D59">
        <v>2022</v>
      </c>
      <c r="E59" t="s">
        <v>220</v>
      </c>
      <c r="F59">
        <v>1</v>
      </c>
      <c r="G59" t="s">
        <v>221</v>
      </c>
      <c r="H59" t="s">
        <v>189</v>
      </c>
      <c r="I59" t="s">
        <v>190</v>
      </c>
      <c r="J59">
        <v>8</v>
      </c>
      <c r="K59">
        <v>6</v>
      </c>
      <c r="L59">
        <v>1</v>
      </c>
      <c r="M59" t="s">
        <v>191</v>
      </c>
      <c r="O59" t="s">
        <v>192</v>
      </c>
      <c r="P59">
        <v>26</v>
      </c>
      <c r="Q59">
        <v>3</v>
      </c>
      <c r="R59" t="s">
        <v>213</v>
      </c>
      <c r="S59" t="s">
        <v>214</v>
      </c>
      <c r="T59" t="s">
        <v>215</v>
      </c>
      <c r="U59" t="s">
        <v>216</v>
      </c>
      <c r="V59" t="s">
        <v>217</v>
      </c>
      <c r="W59" t="s">
        <v>192</v>
      </c>
      <c r="X59" t="s">
        <v>198</v>
      </c>
      <c r="Y59" t="s">
        <v>192</v>
      </c>
      <c r="AA59">
        <v>3</v>
      </c>
      <c r="AB59">
        <v>4</v>
      </c>
      <c r="AC59">
        <v>4</v>
      </c>
      <c r="AE59">
        <v>0</v>
      </c>
      <c r="AF59">
        <v>0</v>
      </c>
      <c r="AG59" t="s">
        <v>192</v>
      </c>
      <c r="AH59" t="s">
        <v>199</v>
      </c>
      <c r="AJ59" s="9">
        <v>6</v>
      </c>
      <c r="AK59" s="9">
        <v>26</v>
      </c>
      <c r="AL59" s="9">
        <v>0</v>
      </c>
      <c r="AM59" s="9">
        <v>32</v>
      </c>
      <c r="AN59" t="s">
        <v>302</v>
      </c>
    </row>
    <row r="60" spans="1:40" x14ac:dyDescent="0.2">
      <c r="A60" t="s">
        <v>185</v>
      </c>
      <c r="B60" t="s">
        <v>186</v>
      </c>
      <c r="C60">
        <v>10</v>
      </c>
      <c r="D60">
        <v>4423</v>
      </c>
      <c r="E60" t="s">
        <v>220</v>
      </c>
      <c r="F60">
        <v>2</v>
      </c>
      <c r="G60" t="s">
        <v>223</v>
      </c>
      <c r="H60" t="s">
        <v>189</v>
      </c>
      <c r="I60" t="s">
        <v>203</v>
      </c>
      <c r="J60">
        <v>8</v>
      </c>
      <c r="K60">
        <v>1</v>
      </c>
      <c r="L60">
        <v>0</v>
      </c>
      <c r="M60" t="s">
        <v>191</v>
      </c>
      <c r="O60" t="s">
        <v>192</v>
      </c>
      <c r="P60">
        <v>46</v>
      </c>
      <c r="Q60">
        <v>16</v>
      </c>
      <c r="R60" t="s">
        <v>204</v>
      </c>
      <c r="S60" t="s">
        <v>214</v>
      </c>
      <c r="T60" t="s">
        <v>206</v>
      </c>
      <c r="U60" t="s">
        <v>207</v>
      </c>
      <c r="V60" t="s">
        <v>217</v>
      </c>
      <c r="W60" t="s">
        <v>192</v>
      </c>
      <c r="X60" t="s">
        <v>198</v>
      </c>
      <c r="Y60" t="s">
        <v>254</v>
      </c>
      <c r="Z60" t="s">
        <v>255</v>
      </c>
      <c r="AA60">
        <v>3</v>
      </c>
      <c r="AB60">
        <v>4</v>
      </c>
      <c r="AC60">
        <v>4</v>
      </c>
      <c r="AE60">
        <v>0</v>
      </c>
      <c r="AF60">
        <v>0</v>
      </c>
      <c r="AG60" t="s">
        <v>192</v>
      </c>
      <c r="AH60" t="s">
        <v>199</v>
      </c>
      <c r="AI60" t="s">
        <v>303</v>
      </c>
      <c r="AJ60" s="9">
        <v>1</v>
      </c>
      <c r="AK60" s="9">
        <v>46</v>
      </c>
      <c r="AL60" s="9">
        <v>10</v>
      </c>
      <c r="AM60" s="9">
        <v>57</v>
      </c>
      <c r="AN60" t="s">
        <v>304</v>
      </c>
    </row>
    <row r="61" spans="1:40" x14ac:dyDescent="0.2">
      <c r="A61" t="s">
        <v>185</v>
      </c>
      <c r="B61" t="s">
        <v>186</v>
      </c>
      <c r="C61">
        <v>10</v>
      </c>
      <c r="D61">
        <v>7417</v>
      </c>
      <c r="E61" t="s">
        <v>220</v>
      </c>
      <c r="F61">
        <v>3</v>
      </c>
      <c r="G61" t="s">
        <v>228</v>
      </c>
      <c r="H61" t="s">
        <v>189</v>
      </c>
      <c r="I61" t="s">
        <v>203</v>
      </c>
      <c r="J61">
        <v>8</v>
      </c>
      <c r="K61">
        <v>14</v>
      </c>
      <c r="L61">
        <v>9</v>
      </c>
      <c r="M61" t="s">
        <v>224</v>
      </c>
      <c r="N61" t="s">
        <v>225</v>
      </c>
      <c r="O61" t="s">
        <v>192</v>
      </c>
      <c r="P61">
        <v>2</v>
      </c>
      <c r="Q61">
        <v>1</v>
      </c>
      <c r="R61" t="s">
        <v>193</v>
      </c>
      <c r="S61" t="s">
        <v>194</v>
      </c>
      <c r="U61" t="s">
        <v>195</v>
      </c>
      <c r="V61" t="s">
        <v>196</v>
      </c>
      <c r="W61" t="s">
        <v>192</v>
      </c>
      <c r="X61" t="s">
        <v>198</v>
      </c>
      <c r="Y61" t="s">
        <v>192</v>
      </c>
      <c r="AA61">
        <v>2</v>
      </c>
      <c r="AB61">
        <v>2</v>
      </c>
      <c r="AC61">
        <v>4</v>
      </c>
      <c r="AE61">
        <v>0</v>
      </c>
      <c r="AF61">
        <v>0</v>
      </c>
      <c r="AG61" t="s">
        <v>192</v>
      </c>
      <c r="AH61" t="s">
        <v>198</v>
      </c>
      <c r="AI61" t="s">
        <v>244</v>
      </c>
      <c r="AJ61" s="9">
        <v>14</v>
      </c>
      <c r="AK61" s="9">
        <v>2</v>
      </c>
      <c r="AL61" s="9">
        <v>0</v>
      </c>
      <c r="AM61" s="9">
        <v>16</v>
      </c>
      <c r="AN61" t="s">
        <v>305</v>
      </c>
    </row>
    <row r="62" spans="1:40" x14ac:dyDescent="0.2">
      <c r="A62" t="s">
        <v>185</v>
      </c>
      <c r="B62" t="s">
        <v>186</v>
      </c>
      <c r="C62">
        <v>11</v>
      </c>
      <c r="D62">
        <v>4156</v>
      </c>
      <c r="E62" t="s">
        <v>187</v>
      </c>
      <c r="F62">
        <v>1</v>
      </c>
      <c r="G62" t="s">
        <v>188</v>
      </c>
      <c r="H62" t="s">
        <v>189</v>
      </c>
      <c r="I62" t="s">
        <v>190</v>
      </c>
      <c r="J62">
        <v>8</v>
      </c>
      <c r="K62">
        <v>0</v>
      </c>
      <c r="L62">
        <v>0</v>
      </c>
      <c r="O62" t="s">
        <v>192</v>
      </c>
      <c r="P62">
        <v>4</v>
      </c>
      <c r="Q62">
        <v>2</v>
      </c>
      <c r="R62" t="s">
        <v>193</v>
      </c>
      <c r="S62" t="s">
        <v>194</v>
      </c>
      <c r="U62" t="s">
        <v>195</v>
      </c>
      <c r="V62" t="s">
        <v>196</v>
      </c>
      <c r="W62" t="s">
        <v>192</v>
      </c>
      <c r="X62" t="s">
        <v>198</v>
      </c>
      <c r="Y62" t="s">
        <v>192</v>
      </c>
      <c r="AA62">
        <v>1</v>
      </c>
      <c r="AB62">
        <v>1</v>
      </c>
      <c r="AC62">
        <v>3</v>
      </c>
      <c r="AE62">
        <v>0</v>
      </c>
      <c r="AF62">
        <v>0</v>
      </c>
      <c r="AG62" t="s">
        <v>192</v>
      </c>
      <c r="AH62" t="s">
        <v>198</v>
      </c>
      <c r="AI62" t="s">
        <v>244</v>
      </c>
      <c r="AJ62" s="9">
        <v>0</v>
      </c>
      <c r="AK62" s="9">
        <v>4</v>
      </c>
      <c r="AL62" s="9">
        <v>0</v>
      </c>
      <c r="AM62" s="9">
        <v>4</v>
      </c>
      <c r="AN62" t="s">
        <v>306</v>
      </c>
    </row>
    <row r="63" spans="1:40" x14ac:dyDescent="0.2">
      <c r="A63" t="s">
        <v>185</v>
      </c>
      <c r="B63" t="s">
        <v>186</v>
      </c>
      <c r="C63">
        <v>11</v>
      </c>
      <c r="D63">
        <v>4655</v>
      </c>
      <c r="E63" t="s">
        <v>187</v>
      </c>
      <c r="F63">
        <v>2</v>
      </c>
      <c r="G63" t="s">
        <v>202</v>
      </c>
      <c r="H63" t="s">
        <v>189</v>
      </c>
      <c r="I63" t="s">
        <v>190</v>
      </c>
      <c r="J63">
        <v>8</v>
      </c>
      <c r="K63">
        <v>1</v>
      </c>
      <c r="L63">
        <v>0</v>
      </c>
      <c r="M63" t="s">
        <v>224</v>
      </c>
      <c r="O63" t="s">
        <v>192</v>
      </c>
      <c r="P63">
        <v>29</v>
      </c>
      <c r="Q63">
        <v>9</v>
      </c>
      <c r="R63" t="s">
        <v>204</v>
      </c>
      <c r="S63" t="s">
        <v>214</v>
      </c>
      <c r="T63" t="s">
        <v>206</v>
      </c>
      <c r="U63" t="s">
        <v>207</v>
      </c>
      <c r="V63" t="s">
        <v>217</v>
      </c>
      <c r="W63" t="s">
        <v>192</v>
      </c>
      <c r="X63" t="s">
        <v>198</v>
      </c>
      <c r="Y63" t="s">
        <v>192</v>
      </c>
      <c r="AA63">
        <v>4</v>
      </c>
      <c r="AB63">
        <v>3</v>
      </c>
      <c r="AC63">
        <v>4</v>
      </c>
      <c r="AE63">
        <v>0</v>
      </c>
      <c r="AF63">
        <v>0</v>
      </c>
      <c r="AG63" t="s">
        <v>192</v>
      </c>
      <c r="AH63" t="s">
        <v>198</v>
      </c>
      <c r="AJ63" s="9">
        <v>1</v>
      </c>
      <c r="AK63" s="9">
        <v>29</v>
      </c>
      <c r="AL63" s="9">
        <v>0</v>
      </c>
      <c r="AM63" s="9">
        <v>30</v>
      </c>
      <c r="AN63" t="s">
        <v>307</v>
      </c>
    </row>
    <row r="64" spans="1:40" x14ac:dyDescent="0.2">
      <c r="A64" t="s">
        <v>185</v>
      </c>
      <c r="B64" t="s">
        <v>186</v>
      </c>
      <c r="C64">
        <v>11</v>
      </c>
      <c r="D64">
        <v>9082</v>
      </c>
      <c r="E64" t="s">
        <v>187</v>
      </c>
      <c r="F64">
        <v>3</v>
      </c>
      <c r="G64" t="s">
        <v>211</v>
      </c>
      <c r="H64" t="s">
        <v>189</v>
      </c>
      <c r="I64" t="s">
        <v>190</v>
      </c>
      <c r="J64">
        <v>8</v>
      </c>
      <c r="K64">
        <v>0</v>
      </c>
      <c r="L64">
        <v>0</v>
      </c>
      <c r="O64" t="s">
        <v>192</v>
      </c>
      <c r="P64">
        <v>69</v>
      </c>
      <c r="Q64">
        <v>12</v>
      </c>
      <c r="R64" t="s">
        <v>204</v>
      </c>
      <c r="S64" t="s">
        <v>205</v>
      </c>
      <c r="T64" t="s">
        <v>206</v>
      </c>
      <c r="U64" t="s">
        <v>207</v>
      </c>
      <c r="V64" t="s">
        <v>217</v>
      </c>
      <c r="W64" t="s">
        <v>192</v>
      </c>
      <c r="X64" t="s">
        <v>198</v>
      </c>
      <c r="Y64" t="s">
        <v>192</v>
      </c>
      <c r="AA64">
        <v>4</v>
      </c>
      <c r="AB64">
        <v>3</v>
      </c>
      <c r="AC64">
        <v>4</v>
      </c>
      <c r="AE64">
        <v>0</v>
      </c>
      <c r="AF64">
        <v>0</v>
      </c>
      <c r="AG64" t="s">
        <v>192</v>
      </c>
      <c r="AH64" t="s">
        <v>189</v>
      </c>
      <c r="AI64" t="s">
        <v>226</v>
      </c>
      <c r="AJ64" s="9">
        <v>0</v>
      </c>
      <c r="AK64" s="9">
        <v>69</v>
      </c>
      <c r="AL64" s="9">
        <v>0</v>
      </c>
      <c r="AM64" s="9">
        <v>69</v>
      </c>
      <c r="AN64" t="s">
        <v>308</v>
      </c>
    </row>
    <row r="65" spans="1:40" x14ac:dyDescent="0.2">
      <c r="A65" t="s">
        <v>185</v>
      </c>
      <c r="B65" t="s">
        <v>186</v>
      </c>
      <c r="C65">
        <v>11</v>
      </c>
      <c r="D65">
        <v>4096</v>
      </c>
      <c r="E65" t="s">
        <v>220</v>
      </c>
      <c r="F65">
        <v>1</v>
      </c>
      <c r="G65" t="s">
        <v>221</v>
      </c>
      <c r="H65" t="s">
        <v>189</v>
      </c>
      <c r="I65" t="s">
        <v>190</v>
      </c>
      <c r="J65">
        <v>8</v>
      </c>
      <c r="K65">
        <v>17</v>
      </c>
      <c r="L65">
        <v>2</v>
      </c>
      <c r="M65" t="s">
        <v>224</v>
      </c>
      <c r="N65" t="s">
        <v>225</v>
      </c>
      <c r="O65" t="s">
        <v>192</v>
      </c>
      <c r="P65">
        <v>7</v>
      </c>
      <c r="Q65">
        <v>1</v>
      </c>
      <c r="R65" t="s">
        <v>204</v>
      </c>
      <c r="S65" t="s">
        <v>214</v>
      </c>
      <c r="T65" t="s">
        <v>206</v>
      </c>
      <c r="U65" t="s">
        <v>207</v>
      </c>
      <c r="V65" t="s">
        <v>217</v>
      </c>
      <c r="W65" t="s">
        <v>192</v>
      </c>
      <c r="X65" t="s">
        <v>198</v>
      </c>
      <c r="Y65" t="s">
        <v>192</v>
      </c>
      <c r="AA65">
        <v>4</v>
      </c>
      <c r="AB65">
        <v>2</v>
      </c>
      <c r="AC65">
        <v>4</v>
      </c>
      <c r="AD65" t="s">
        <v>241</v>
      </c>
      <c r="AE65">
        <v>0</v>
      </c>
      <c r="AF65">
        <v>0</v>
      </c>
      <c r="AG65" t="s">
        <v>192</v>
      </c>
      <c r="AH65" t="s">
        <v>198</v>
      </c>
      <c r="AI65" t="s">
        <v>242</v>
      </c>
      <c r="AJ65" s="9">
        <v>17</v>
      </c>
      <c r="AK65" s="9">
        <v>7</v>
      </c>
      <c r="AL65" s="9">
        <v>0</v>
      </c>
      <c r="AM65" s="9">
        <v>24</v>
      </c>
      <c r="AN65" t="s">
        <v>309</v>
      </c>
    </row>
    <row r="66" spans="1:40" x14ac:dyDescent="0.2">
      <c r="A66" t="s">
        <v>185</v>
      </c>
      <c r="B66" t="s">
        <v>186</v>
      </c>
      <c r="C66">
        <v>11</v>
      </c>
      <c r="D66">
        <v>4645</v>
      </c>
      <c r="E66" t="s">
        <v>220</v>
      </c>
      <c r="F66">
        <v>2</v>
      </c>
      <c r="G66" t="s">
        <v>223</v>
      </c>
      <c r="H66" t="s">
        <v>189</v>
      </c>
      <c r="I66" t="s">
        <v>212</v>
      </c>
      <c r="J66">
        <v>8</v>
      </c>
      <c r="K66">
        <v>4</v>
      </c>
      <c r="L66">
        <v>1</v>
      </c>
      <c r="M66" t="s">
        <v>191</v>
      </c>
      <c r="O66" t="s">
        <v>192</v>
      </c>
      <c r="P66">
        <v>71</v>
      </c>
      <c r="Q66">
        <v>17</v>
      </c>
      <c r="R66" t="s">
        <v>213</v>
      </c>
      <c r="S66" t="s">
        <v>214</v>
      </c>
      <c r="T66" t="s">
        <v>215</v>
      </c>
      <c r="U66" t="s">
        <v>216</v>
      </c>
      <c r="V66" t="s">
        <v>217</v>
      </c>
      <c r="W66" t="s">
        <v>192</v>
      </c>
      <c r="X66" t="s">
        <v>198</v>
      </c>
      <c r="Y66" t="s">
        <v>192</v>
      </c>
      <c r="AA66">
        <v>3</v>
      </c>
      <c r="AB66">
        <v>2</v>
      </c>
      <c r="AC66">
        <v>5</v>
      </c>
      <c r="AE66">
        <v>0</v>
      </c>
      <c r="AF66">
        <v>0</v>
      </c>
      <c r="AG66" t="s">
        <v>192</v>
      </c>
      <c r="AH66" t="s">
        <v>189</v>
      </c>
      <c r="AI66" t="s">
        <v>234</v>
      </c>
      <c r="AJ66" s="9">
        <v>4</v>
      </c>
      <c r="AK66" s="9">
        <v>71</v>
      </c>
      <c r="AL66" s="9">
        <v>0</v>
      </c>
      <c r="AM66" s="9">
        <v>75</v>
      </c>
      <c r="AN66" t="s">
        <v>310</v>
      </c>
    </row>
    <row r="67" spans="1:40" x14ac:dyDescent="0.2">
      <c r="A67" t="s">
        <v>185</v>
      </c>
      <c r="B67" t="s">
        <v>186</v>
      </c>
      <c r="C67">
        <v>11</v>
      </c>
      <c r="D67">
        <v>2481</v>
      </c>
      <c r="E67" t="s">
        <v>220</v>
      </c>
      <c r="F67">
        <v>3</v>
      </c>
      <c r="G67" t="s">
        <v>228</v>
      </c>
      <c r="H67" t="s">
        <v>189</v>
      </c>
      <c r="I67" t="s">
        <v>190</v>
      </c>
      <c r="J67">
        <v>8</v>
      </c>
      <c r="K67">
        <v>81</v>
      </c>
      <c r="L67">
        <v>29</v>
      </c>
      <c r="M67" t="s">
        <v>233</v>
      </c>
      <c r="N67" t="s">
        <v>225</v>
      </c>
      <c r="O67" t="s">
        <v>192</v>
      </c>
      <c r="P67">
        <v>300</v>
      </c>
      <c r="Q67">
        <v>108</v>
      </c>
      <c r="R67" t="s">
        <v>204</v>
      </c>
      <c r="S67" t="s">
        <v>205</v>
      </c>
      <c r="T67" t="s">
        <v>206</v>
      </c>
      <c r="U67" t="s">
        <v>207</v>
      </c>
      <c r="V67" t="s">
        <v>208</v>
      </c>
      <c r="W67" t="s">
        <v>192</v>
      </c>
      <c r="X67" t="s">
        <v>198</v>
      </c>
      <c r="Y67" t="s">
        <v>192</v>
      </c>
      <c r="AA67">
        <v>5</v>
      </c>
      <c r="AB67">
        <v>5</v>
      </c>
      <c r="AC67">
        <v>4</v>
      </c>
      <c r="AE67">
        <v>0</v>
      </c>
      <c r="AF67">
        <v>0</v>
      </c>
      <c r="AG67" t="s">
        <v>192</v>
      </c>
      <c r="AH67" t="s">
        <v>189</v>
      </c>
      <c r="AI67" t="s">
        <v>277</v>
      </c>
      <c r="AJ67" s="9">
        <v>81</v>
      </c>
      <c r="AK67" s="9">
        <v>300</v>
      </c>
      <c r="AL67" s="9">
        <v>0</v>
      </c>
      <c r="AM67" s="9">
        <v>381</v>
      </c>
      <c r="AN67" t="s">
        <v>311</v>
      </c>
    </row>
    <row r="68" spans="1:40" x14ac:dyDescent="0.2">
      <c r="A68" t="s">
        <v>185</v>
      </c>
      <c r="B68" t="s">
        <v>186</v>
      </c>
      <c r="C68">
        <v>12</v>
      </c>
      <c r="D68">
        <v>8719</v>
      </c>
      <c r="E68" t="s">
        <v>187</v>
      </c>
      <c r="F68">
        <v>1</v>
      </c>
      <c r="G68" t="s">
        <v>188</v>
      </c>
      <c r="H68" t="s">
        <v>189</v>
      </c>
      <c r="I68" t="s">
        <v>190</v>
      </c>
      <c r="J68">
        <v>5</v>
      </c>
      <c r="K68">
        <v>5</v>
      </c>
      <c r="L68">
        <v>4</v>
      </c>
      <c r="M68" t="s">
        <v>191</v>
      </c>
      <c r="O68" t="s">
        <v>192</v>
      </c>
      <c r="P68">
        <v>3</v>
      </c>
      <c r="Q68">
        <v>2</v>
      </c>
      <c r="R68" t="s">
        <v>193</v>
      </c>
      <c r="S68" t="s">
        <v>194</v>
      </c>
      <c r="U68" t="s">
        <v>250</v>
      </c>
      <c r="V68" t="s">
        <v>196</v>
      </c>
      <c r="W68" t="s">
        <v>197</v>
      </c>
      <c r="X68" t="s">
        <v>198</v>
      </c>
      <c r="Y68" t="s">
        <v>192</v>
      </c>
      <c r="AA68">
        <v>1</v>
      </c>
      <c r="AB68">
        <v>1</v>
      </c>
      <c r="AC68">
        <v>2</v>
      </c>
      <c r="AE68">
        <v>0</v>
      </c>
      <c r="AF68">
        <v>0</v>
      </c>
      <c r="AG68" t="s">
        <v>192</v>
      </c>
      <c r="AH68" t="s">
        <v>199</v>
      </c>
      <c r="AI68" t="s">
        <v>200</v>
      </c>
      <c r="AJ68" s="9">
        <v>5</v>
      </c>
      <c r="AK68" s="9">
        <v>3</v>
      </c>
      <c r="AL68" s="9">
        <v>0</v>
      </c>
      <c r="AM68" s="9">
        <v>8</v>
      </c>
      <c r="AN68" t="s">
        <v>312</v>
      </c>
    </row>
    <row r="69" spans="1:40" x14ac:dyDescent="0.2">
      <c r="A69" t="s">
        <v>185</v>
      </c>
      <c r="B69" t="s">
        <v>186</v>
      </c>
      <c r="C69">
        <v>12</v>
      </c>
      <c r="D69">
        <v>8020</v>
      </c>
      <c r="E69" t="s">
        <v>187</v>
      </c>
      <c r="F69">
        <v>2</v>
      </c>
      <c r="G69" t="s">
        <v>202</v>
      </c>
      <c r="H69" t="s">
        <v>189</v>
      </c>
      <c r="I69" t="s">
        <v>190</v>
      </c>
      <c r="J69">
        <v>8</v>
      </c>
      <c r="K69">
        <v>27</v>
      </c>
      <c r="L69">
        <v>4</v>
      </c>
      <c r="M69" t="s">
        <v>224</v>
      </c>
      <c r="N69" t="s">
        <v>239</v>
      </c>
      <c r="O69" t="s">
        <v>192</v>
      </c>
      <c r="P69">
        <v>61</v>
      </c>
      <c r="Q69">
        <v>8</v>
      </c>
      <c r="R69" t="s">
        <v>204</v>
      </c>
      <c r="S69" t="s">
        <v>205</v>
      </c>
      <c r="T69" t="s">
        <v>206</v>
      </c>
      <c r="U69" t="s">
        <v>207</v>
      </c>
      <c r="V69" t="s">
        <v>208</v>
      </c>
      <c r="W69" t="s">
        <v>229</v>
      </c>
      <c r="X69" t="s">
        <v>198</v>
      </c>
      <c r="Y69" t="s">
        <v>192</v>
      </c>
      <c r="AA69">
        <v>5</v>
      </c>
      <c r="AB69">
        <v>3</v>
      </c>
      <c r="AC69">
        <v>5</v>
      </c>
      <c r="AE69">
        <v>0</v>
      </c>
      <c r="AF69">
        <v>0</v>
      </c>
      <c r="AG69" t="s">
        <v>192</v>
      </c>
      <c r="AH69" t="s">
        <v>189</v>
      </c>
      <c r="AI69" t="s">
        <v>313</v>
      </c>
      <c r="AJ69" s="9">
        <v>27</v>
      </c>
      <c r="AK69" s="9">
        <v>61</v>
      </c>
      <c r="AL69" s="9">
        <v>0</v>
      </c>
      <c r="AM69" s="9">
        <v>88</v>
      </c>
      <c r="AN69" t="s">
        <v>314</v>
      </c>
    </row>
    <row r="70" spans="1:40" x14ac:dyDescent="0.2">
      <c r="A70" t="s">
        <v>185</v>
      </c>
      <c r="B70" t="s">
        <v>186</v>
      </c>
      <c r="C70">
        <v>12</v>
      </c>
      <c r="D70">
        <v>2039</v>
      </c>
      <c r="E70" t="s">
        <v>187</v>
      </c>
      <c r="F70">
        <v>3</v>
      </c>
      <c r="G70" t="s">
        <v>211</v>
      </c>
      <c r="H70" t="s">
        <v>189</v>
      </c>
      <c r="I70" t="s">
        <v>190</v>
      </c>
      <c r="J70">
        <v>8</v>
      </c>
      <c r="K70">
        <v>2</v>
      </c>
      <c r="L70">
        <v>2</v>
      </c>
      <c r="M70" t="s">
        <v>191</v>
      </c>
      <c r="O70" t="s">
        <v>192</v>
      </c>
      <c r="P70">
        <v>1</v>
      </c>
      <c r="Q70">
        <v>1</v>
      </c>
      <c r="R70" t="s">
        <v>193</v>
      </c>
      <c r="S70" t="s">
        <v>194</v>
      </c>
      <c r="U70" t="s">
        <v>195</v>
      </c>
      <c r="V70" t="s">
        <v>196</v>
      </c>
      <c r="W70" t="s">
        <v>229</v>
      </c>
      <c r="X70" t="s">
        <v>198</v>
      </c>
      <c r="Y70" t="s">
        <v>192</v>
      </c>
      <c r="AA70">
        <v>1</v>
      </c>
      <c r="AB70">
        <v>1</v>
      </c>
      <c r="AC70">
        <v>1</v>
      </c>
      <c r="AE70">
        <v>0</v>
      </c>
      <c r="AF70">
        <v>0</v>
      </c>
      <c r="AG70" t="s">
        <v>192</v>
      </c>
      <c r="AH70" t="s">
        <v>198</v>
      </c>
      <c r="AI70" t="s">
        <v>244</v>
      </c>
      <c r="AJ70" s="9">
        <v>2</v>
      </c>
      <c r="AK70" s="9">
        <v>1</v>
      </c>
      <c r="AL70" s="9">
        <v>0</v>
      </c>
      <c r="AM70" s="9">
        <v>3</v>
      </c>
      <c r="AN70" t="s">
        <v>315</v>
      </c>
    </row>
    <row r="71" spans="1:40" x14ac:dyDescent="0.2">
      <c r="A71" t="s">
        <v>185</v>
      </c>
      <c r="B71" t="s">
        <v>186</v>
      </c>
      <c r="C71">
        <v>12</v>
      </c>
      <c r="D71">
        <v>2040</v>
      </c>
      <c r="E71" t="s">
        <v>220</v>
      </c>
      <c r="F71">
        <v>1</v>
      </c>
      <c r="G71" t="s">
        <v>221</v>
      </c>
      <c r="H71" t="s">
        <v>189</v>
      </c>
      <c r="I71" t="s">
        <v>203</v>
      </c>
      <c r="J71">
        <v>5</v>
      </c>
      <c r="K71">
        <v>27</v>
      </c>
      <c r="L71">
        <v>9</v>
      </c>
      <c r="M71" t="s">
        <v>224</v>
      </c>
      <c r="N71" t="s">
        <v>225</v>
      </c>
      <c r="O71" t="s">
        <v>192</v>
      </c>
      <c r="P71">
        <v>111</v>
      </c>
      <c r="Q71">
        <v>38</v>
      </c>
      <c r="R71" t="s">
        <v>204</v>
      </c>
      <c r="S71" t="s">
        <v>205</v>
      </c>
      <c r="T71" t="s">
        <v>206</v>
      </c>
      <c r="U71" t="s">
        <v>207</v>
      </c>
      <c r="V71" t="s">
        <v>208</v>
      </c>
      <c r="W71" t="s">
        <v>192</v>
      </c>
      <c r="X71" t="s">
        <v>229</v>
      </c>
      <c r="Y71" t="s">
        <v>192</v>
      </c>
      <c r="AA71">
        <v>4</v>
      </c>
      <c r="AB71">
        <v>5</v>
      </c>
      <c r="AC71">
        <v>5</v>
      </c>
      <c r="AE71">
        <v>0</v>
      </c>
      <c r="AF71">
        <v>0</v>
      </c>
      <c r="AG71" t="s">
        <v>192</v>
      </c>
      <c r="AH71" t="s">
        <v>189</v>
      </c>
      <c r="AI71" t="s">
        <v>277</v>
      </c>
      <c r="AJ71" s="9">
        <v>27</v>
      </c>
      <c r="AK71" s="9">
        <v>111</v>
      </c>
      <c r="AL71" s="9">
        <v>0</v>
      </c>
      <c r="AM71" s="9">
        <v>138</v>
      </c>
      <c r="AN71" t="s">
        <v>316</v>
      </c>
    </row>
    <row r="72" spans="1:40" x14ac:dyDescent="0.2">
      <c r="A72" t="s">
        <v>185</v>
      </c>
      <c r="B72" t="s">
        <v>186</v>
      </c>
      <c r="C72">
        <v>12</v>
      </c>
      <c r="D72">
        <v>648</v>
      </c>
      <c r="E72" t="s">
        <v>220</v>
      </c>
      <c r="F72">
        <v>2</v>
      </c>
      <c r="G72" t="s">
        <v>223</v>
      </c>
      <c r="H72" t="s">
        <v>189</v>
      </c>
      <c r="I72" t="s">
        <v>190</v>
      </c>
      <c r="J72">
        <v>8</v>
      </c>
      <c r="K72">
        <v>6</v>
      </c>
      <c r="L72">
        <v>2</v>
      </c>
      <c r="M72" t="s">
        <v>191</v>
      </c>
      <c r="O72" t="s">
        <v>192</v>
      </c>
      <c r="P72">
        <v>1</v>
      </c>
      <c r="Q72">
        <v>0</v>
      </c>
      <c r="R72" t="s">
        <v>213</v>
      </c>
      <c r="S72" t="s">
        <v>194</v>
      </c>
      <c r="U72" t="s">
        <v>250</v>
      </c>
      <c r="V72" t="s">
        <v>246</v>
      </c>
      <c r="W72" t="s">
        <v>229</v>
      </c>
      <c r="X72" t="s">
        <v>198</v>
      </c>
      <c r="Y72" t="s">
        <v>192</v>
      </c>
      <c r="AA72">
        <v>3</v>
      </c>
      <c r="AB72">
        <v>2</v>
      </c>
      <c r="AC72">
        <v>4</v>
      </c>
      <c r="AD72" t="s">
        <v>317</v>
      </c>
      <c r="AE72">
        <v>0</v>
      </c>
      <c r="AF72">
        <v>0</v>
      </c>
      <c r="AG72" t="s">
        <v>192</v>
      </c>
      <c r="AH72" t="s">
        <v>199</v>
      </c>
      <c r="AI72" t="s">
        <v>242</v>
      </c>
      <c r="AJ72" s="9">
        <v>6</v>
      </c>
      <c r="AK72" s="9">
        <v>1</v>
      </c>
      <c r="AL72" s="9">
        <v>0</v>
      </c>
      <c r="AM72" s="9">
        <v>7</v>
      </c>
      <c r="AN72" t="s">
        <v>314</v>
      </c>
    </row>
    <row r="73" spans="1:40" x14ac:dyDescent="0.2">
      <c r="A73" t="s">
        <v>185</v>
      </c>
      <c r="B73" t="s">
        <v>186</v>
      </c>
      <c r="C73">
        <v>12</v>
      </c>
      <c r="D73">
        <v>6651</v>
      </c>
      <c r="E73" t="s">
        <v>220</v>
      </c>
      <c r="F73">
        <v>3</v>
      </c>
      <c r="G73" t="s">
        <v>228</v>
      </c>
      <c r="H73" t="s">
        <v>189</v>
      </c>
      <c r="I73" t="s">
        <v>203</v>
      </c>
      <c r="J73">
        <v>8</v>
      </c>
      <c r="K73">
        <v>8</v>
      </c>
      <c r="L73">
        <v>3</v>
      </c>
      <c r="M73" t="s">
        <v>191</v>
      </c>
      <c r="O73" t="s">
        <v>192</v>
      </c>
      <c r="P73">
        <v>12</v>
      </c>
      <c r="Q73">
        <v>4</v>
      </c>
      <c r="R73" t="s">
        <v>213</v>
      </c>
      <c r="S73" t="s">
        <v>194</v>
      </c>
      <c r="U73" t="s">
        <v>216</v>
      </c>
      <c r="V73" t="s">
        <v>246</v>
      </c>
      <c r="W73" t="s">
        <v>192</v>
      </c>
      <c r="X73" t="s">
        <v>198</v>
      </c>
      <c r="Y73" t="s">
        <v>192</v>
      </c>
      <c r="AA73">
        <v>3</v>
      </c>
      <c r="AB73">
        <v>2</v>
      </c>
      <c r="AC73">
        <v>3</v>
      </c>
      <c r="AE73">
        <v>1</v>
      </c>
      <c r="AF73">
        <v>0</v>
      </c>
      <c r="AG73" t="s">
        <v>192</v>
      </c>
      <c r="AH73" t="s">
        <v>198</v>
      </c>
      <c r="AJ73" s="9">
        <v>8</v>
      </c>
      <c r="AK73" s="9">
        <v>12</v>
      </c>
      <c r="AL73" s="9">
        <v>0</v>
      </c>
      <c r="AM73" s="9">
        <v>20</v>
      </c>
      <c r="AN73" t="s">
        <v>318</v>
      </c>
    </row>
    <row r="74" spans="1:40" x14ac:dyDescent="0.2">
      <c r="A74" t="s">
        <v>185</v>
      </c>
      <c r="B74" t="s">
        <v>186</v>
      </c>
      <c r="C74">
        <v>13</v>
      </c>
      <c r="D74">
        <v>4213</v>
      </c>
      <c r="E74" t="s">
        <v>187</v>
      </c>
      <c r="F74">
        <v>1</v>
      </c>
      <c r="G74" t="s">
        <v>188</v>
      </c>
      <c r="H74" t="s">
        <v>189</v>
      </c>
      <c r="I74" t="s">
        <v>212</v>
      </c>
      <c r="J74">
        <v>8</v>
      </c>
      <c r="K74">
        <v>3</v>
      </c>
      <c r="L74">
        <v>1</v>
      </c>
      <c r="M74" t="s">
        <v>191</v>
      </c>
      <c r="O74" t="s">
        <v>192</v>
      </c>
      <c r="P74">
        <v>13</v>
      </c>
      <c r="Q74">
        <v>5</v>
      </c>
      <c r="R74" t="s">
        <v>204</v>
      </c>
      <c r="S74" t="s">
        <v>214</v>
      </c>
      <c r="T74" t="s">
        <v>237</v>
      </c>
      <c r="U74" t="s">
        <v>216</v>
      </c>
      <c r="V74" t="s">
        <v>217</v>
      </c>
      <c r="W74" t="s">
        <v>192</v>
      </c>
      <c r="X74" t="s">
        <v>198</v>
      </c>
      <c r="Y74" t="s">
        <v>192</v>
      </c>
      <c r="AA74">
        <v>3</v>
      </c>
      <c r="AB74">
        <v>3</v>
      </c>
      <c r="AC74">
        <v>4</v>
      </c>
      <c r="AE74">
        <v>0</v>
      </c>
      <c r="AF74">
        <v>0</v>
      </c>
      <c r="AG74" t="s">
        <v>192</v>
      </c>
      <c r="AH74" t="s">
        <v>189</v>
      </c>
      <c r="AJ74" s="9">
        <v>3</v>
      </c>
      <c r="AK74" s="9">
        <v>13</v>
      </c>
      <c r="AL74" s="9">
        <v>0</v>
      </c>
      <c r="AM74" s="9">
        <v>16</v>
      </c>
      <c r="AN74" t="s">
        <v>319</v>
      </c>
    </row>
    <row r="75" spans="1:40" x14ac:dyDescent="0.2">
      <c r="A75" t="s">
        <v>185</v>
      </c>
      <c r="B75" t="s">
        <v>186</v>
      </c>
      <c r="C75">
        <v>13</v>
      </c>
      <c r="D75">
        <v>1736</v>
      </c>
      <c r="E75" t="s">
        <v>187</v>
      </c>
      <c r="F75">
        <v>2</v>
      </c>
      <c r="G75" t="s">
        <v>202</v>
      </c>
      <c r="H75" t="s">
        <v>189</v>
      </c>
      <c r="I75" t="s">
        <v>203</v>
      </c>
      <c r="J75">
        <v>5</v>
      </c>
      <c r="K75">
        <v>2</v>
      </c>
      <c r="L75">
        <v>1</v>
      </c>
      <c r="M75" t="s">
        <v>191</v>
      </c>
      <c r="O75" t="s">
        <v>192</v>
      </c>
      <c r="P75">
        <v>8</v>
      </c>
      <c r="Q75">
        <v>5</v>
      </c>
      <c r="R75" t="s">
        <v>213</v>
      </c>
      <c r="S75" t="s">
        <v>194</v>
      </c>
      <c r="T75" t="s">
        <v>215</v>
      </c>
      <c r="U75" t="s">
        <v>216</v>
      </c>
      <c r="V75" t="s">
        <v>246</v>
      </c>
      <c r="W75" t="s">
        <v>192</v>
      </c>
      <c r="X75" t="s">
        <v>198</v>
      </c>
      <c r="Y75" t="s">
        <v>192</v>
      </c>
      <c r="AA75">
        <v>1</v>
      </c>
      <c r="AB75">
        <v>1</v>
      </c>
      <c r="AC75">
        <v>4</v>
      </c>
      <c r="AE75">
        <v>0</v>
      </c>
      <c r="AF75">
        <v>0</v>
      </c>
      <c r="AG75" t="s">
        <v>192</v>
      </c>
      <c r="AH75" t="s">
        <v>198</v>
      </c>
      <c r="AI75" t="s">
        <v>244</v>
      </c>
      <c r="AJ75" s="9">
        <v>2</v>
      </c>
      <c r="AK75" s="9">
        <v>8</v>
      </c>
      <c r="AL75" s="9">
        <v>0</v>
      </c>
      <c r="AM75" s="9">
        <v>10</v>
      </c>
      <c r="AN75" t="s">
        <v>320</v>
      </c>
    </row>
    <row r="76" spans="1:40" x14ac:dyDescent="0.2">
      <c r="A76" t="s">
        <v>185</v>
      </c>
      <c r="B76" t="s">
        <v>186</v>
      </c>
      <c r="C76">
        <v>13</v>
      </c>
      <c r="D76">
        <v>2022</v>
      </c>
      <c r="E76" t="s">
        <v>187</v>
      </c>
      <c r="F76">
        <v>3</v>
      </c>
      <c r="G76" t="s">
        <v>211</v>
      </c>
      <c r="H76" t="s">
        <v>189</v>
      </c>
      <c r="I76" t="s">
        <v>190</v>
      </c>
      <c r="J76">
        <v>8</v>
      </c>
      <c r="K76">
        <v>2</v>
      </c>
      <c r="L76">
        <v>1</v>
      </c>
      <c r="M76" t="s">
        <v>191</v>
      </c>
      <c r="O76" t="s">
        <v>192</v>
      </c>
      <c r="P76">
        <v>13</v>
      </c>
      <c r="Q76">
        <v>5</v>
      </c>
      <c r="R76" t="s">
        <v>213</v>
      </c>
      <c r="S76" t="s">
        <v>214</v>
      </c>
      <c r="T76" t="s">
        <v>215</v>
      </c>
      <c r="U76" t="s">
        <v>216</v>
      </c>
      <c r="V76" t="s">
        <v>217</v>
      </c>
      <c r="W76" t="s">
        <v>192</v>
      </c>
      <c r="X76" t="s">
        <v>198</v>
      </c>
      <c r="Y76" t="s">
        <v>192</v>
      </c>
      <c r="AA76">
        <v>3</v>
      </c>
      <c r="AB76">
        <v>4</v>
      </c>
      <c r="AC76">
        <v>3</v>
      </c>
      <c r="AE76">
        <v>0</v>
      </c>
      <c r="AF76">
        <v>0</v>
      </c>
      <c r="AG76" t="s">
        <v>192</v>
      </c>
      <c r="AH76" t="s">
        <v>199</v>
      </c>
      <c r="AJ76" s="9">
        <v>2</v>
      </c>
      <c r="AK76" s="9">
        <v>13</v>
      </c>
      <c r="AL76" s="9">
        <v>0</v>
      </c>
      <c r="AM76" s="9">
        <v>15</v>
      </c>
      <c r="AN76" t="s">
        <v>321</v>
      </c>
    </row>
    <row r="77" spans="1:40" x14ac:dyDescent="0.2">
      <c r="A77" t="s">
        <v>185</v>
      </c>
      <c r="B77" t="s">
        <v>186</v>
      </c>
      <c r="C77">
        <v>13</v>
      </c>
      <c r="D77">
        <v>3067</v>
      </c>
      <c r="E77" t="s">
        <v>220</v>
      </c>
      <c r="F77">
        <v>1</v>
      </c>
      <c r="G77" t="s">
        <v>221</v>
      </c>
      <c r="H77" t="s">
        <v>189</v>
      </c>
      <c r="I77" t="s">
        <v>212</v>
      </c>
      <c r="J77">
        <v>8</v>
      </c>
      <c r="K77">
        <v>2</v>
      </c>
      <c r="L77">
        <v>0</v>
      </c>
      <c r="M77" t="s">
        <v>191</v>
      </c>
      <c r="O77" t="s">
        <v>192</v>
      </c>
      <c r="P77">
        <v>8</v>
      </c>
      <c r="Q77">
        <v>1</v>
      </c>
      <c r="R77" t="s">
        <v>204</v>
      </c>
      <c r="S77" t="s">
        <v>214</v>
      </c>
      <c r="T77" t="s">
        <v>237</v>
      </c>
      <c r="U77" t="s">
        <v>216</v>
      </c>
      <c r="V77" t="s">
        <v>217</v>
      </c>
      <c r="W77" t="s">
        <v>192</v>
      </c>
      <c r="X77" t="s">
        <v>198</v>
      </c>
      <c r="Y77" t="s">
        <v>192</v>
      </c>
      <c r="AA77">
        <v>4</v>
      </c>
      <c r="AB77">
        <v>4</v>
      </c>
      <c r="AC77">
        <v>4</v>
      </c>
      <c r="AD77" t="s">
        <v>241</v>
      </c>
      <c r="AE77">
        <v>0</v>
      </c>
      <c r="AF77">
        <v>0</v>
      </c>
      <c r="AG77" t="s">
        <v>192</v>
      </c>
      <c r="AH77" t="s">
        <v>198</v>
      </c>
      <c r="AI77" t="s">
        <v>242</v>
      </c>
      <c r="AJ77" s="9">
        <v>2</v>
      </c>
      <c r="AK77" s="9">
        <v>8</v>
      </c>
      <c r="AL77" s="9">
        <v>0</v>
      </c>
      <c r="AM77" s="9">
        <v>10</v>
      </c>
      <c r="AN77" t="s">
        <v>322</v>
      </c>
    </row>
    <row r="78" spans="1:40" x14ac:dyDescent="0.2">
      <c r="A78" t="s">
        <v>185</v>
      </c>
      <c r="B78" t="s">
        <v>186</v>
      </c>
      <c r="C78">
        <v>13</v>
      </c>
      <c r="D78">
        <v>8029</v>
      </c>
      <c r="E78" t="s">
        <v>220</v>
      </c>
      <c r="F78">
        <v>2</v>
      </c>
      <c r="G78" t="s">
        <v>223</v>
      </c>
      <c r="H78" t="s">
        <v>189</v>
      </c>
      <c r="I78" t="s">
        <v>190</v>
      </c>
      <c r="J78">
        <v>5</v>
      </c>
      <c r="K78">
        <v>7</v>
      </c>
      <c r="L78">
        <v>7</v>
      </c>
      <c r="M78" t="s">
        <v>224</v>
      </c>
      <c r="N78" t="s">
        <v>225</v>
      </c>
      <c r="O78" t="s">
        <v>192</v>
      </c>
      <c r="P78">
        <v>15</v>
      </c>
      <c r="Q78">
        <v>15</v>
      </c>
      <c r="R78" t="s">
        <v>193</v>
      </c>
      <c r="S78" t="s">
        <v>194</v>
      </c>
      <c r="U78" t="s">
        <v>262</v>
      </c>
      <c r="V78" t="s">
        <v>196</v>
      </c>
      <c r="W78" t="s">
        <v>197</v>
      </c>
      <c r="X78" t="s">
        <v>198</v>
      </c>
      <c r="Y78" t="s">
        <v>192</v>
      </c>
      <c r="AA78">
        <v>2</v>
      </c>
      <c r="AB78">
        <v>1</v>
      </c>
      <c r="AC78">
        <v>1</v>
      </c>
      <c r="AE78">
        <v>1</v>
      </c>
      <c r="AF78">
        <v>0</v>
      </c>
      <c r="AG78" t="s">
        <v>192</v>
      </c>
      <c r="AH78" t="s">
        <v>199</v>
      </c>
      <c r="AI78" t="s">
        <v>260</v>
      </c>
      <c r="AJ78" s="9">
        <v>7</v>
      </c>
      <c r="AK78" s="9">
        <v>15</v>
      </c>
      <c r="AL78" s="9">
        <v>0</v>
      </c>
      <c r="AM78" s="9">
        <v>22</v>
      </c>
      <c r="AN78" t="s">
        <v>323</v>
      </c>
    </row>
    <row r="79" spans="1:40" x14ac:dyDescent="0.2">
      <c r="A79" t="s">
        <v>185</v>
      </c>
      <c r="B79" t="s">
        <v>186</v>
      </c>
      <c r="C79">
        <v>13</v>
      </c>
      <c r="D79">
        <v>3488</v>
      </c>
      <c r="E79" t="s">
        <v>220</v>
      </c>
      <c r="F79">
        <v>3</v>
      </c>
      <c r="G79" t="s">
        <v>228</v>
      </c>
      <c r="H79" t="s">
        <v>189</v>
      </c>
      <c r="I79" t="s">
        <v>203</v>
      </c>
      <c r="J79">
        <v>8</v>
      </c>
      <c r="K79">
        <v>0</v>
      </c>
      <c r="L79">
        <v>0</v>
      </c>
      <c r="O79" t="s">
        <v>192</v>
      </c>
      <c r="P79">
        <v>37</v>
      </c>
      <c r="Q79">
        <v>18</v>
      </c>
      <c r="R79" t="s">
        <v>213</v>
      </c>
      <c r="S79" t="s">
        <v>194</v>
      </c>
      <c r="T79" t="s">
        <v>237</v>
      </c>
      <c r="U79" t="s">
        <v>216</v>
      </c>
      <c r="V79" t="s">
        <v>246</v>
      </c>
      <c r="W79" t="s">
        <v>192</v>
      </c>
      <c r="X79" t="s">
        <v>198</v>
      </c>
      <c r="Y79" t="s">
        <v>192</v>
      </c>
      <c r="AA79">
        <v>3</v>
      </c>
      <c r="AB79">
        <v>3</v>
      </c>
      <c r="AC79">
        <v>4</v>
      </c>
      <c r="AE79">
        <v>2</v>
      </c>
      <c r="AF79">
        <v>0</v>
      </c>
      <c r="AG79" t="s">
        <v>192</v>
      </c>
      <c r="AH79" t="s">
        <v>199</v>
      </c>
      <c r="AJ79" s="9">
        <v>0</v>
      </c>
      <c r="AK79" s="9">
        <v>37</v>
      </c>
      <c r="AL79" s="9">
        <v>0</v>
      </c>
      <c r="AM79" s="9">
        <v>37</v>
      </c>
      <c r="AN79" t="s">
        <v>324</v>
      </c>
    </row>
    <row r="80" spans="1:40" x14ac:dyDescent="0.2">
      <c r="A80" t="s">
        <v>185</v>
      </c>
      <c r="B80" t="s">
        <v>186</v>
      </c>
      <c r="C80">
        <v>14</v>
      </c>
      <c r="D80">
        <v>4156</v>
      </c>
      <c r="E80" t="s">
        <v>187</v>
      </c>
      <c r="F80">
        <v>1</v>
      </c>
      <c r="G80" t="s">
        <v>188</v>
      </c>
      <c r="H80" t="s">
        <v>189</v>
      </c>
      <c r="I80" t="s">
        <v>190</v>
      </c>
      <c r="J80">
        <v>8</v>
      </c>
      <c r="K80">
        <v>6</v>
      </c>
      <c r="L80">
        <v>2</v>
      </c>
      <c r="M80" t="s">
        <v>191</v>
      </c>
      <c r="O80" t="s">
        <v>192</v>
      </c>
      <c r="P80">
        <v>6</v>
      </c>
      <c r="Q80">
        <v>2</v>
      </c>
      <c r="R80" t="s">
        <v>193</v>
      </c>
      <c r="S80" t="s">
        <v>194</v>
      </c>
      <c r="U80" t="s">
        <v>195</v>
      </c>
      <c r="V80" t="s">
        <v>196</v>
      </c>
      <c r="W80" t="s">
        <v>229</v>
      </c>
      <c r="X80" t="s">
        <v>198</v>
      </c>
      <c r="Y80" t="s">
        <v>192</v>
      </c>
      <c r="AA80">
        <v>2</v>
      </c>
      <c r="AB80">
        <v>1</v>
      </c>
      <c r="AC80">
        <v>2</v>
      </c>
      <c r="AE80">
        <v>0</v>
      </c>
      <c r="AF80">
        <v>0</v>
      </c>
      <c r="AG80" t="s">
        <v>192</v>
      </c>
      <c r="AH80" t="s">
        <v>198</v>
      </c>
      <c r="AI80" t="s">
        <v>244</v>
      </c>
      <c r="AJ80" s="9">
        <v>6</v>
      </c>
      <c r="AK80" s="9">
        <v>6</v>
      </c>
      <c r="AL80" s="9">
        <v>0</v>
      </c>
      <c r="AM80" s="9">
        <v>12</v>
      </c>
      <c r="AN80" t="s">
        <v>325</v>
      </c>
    </row>
    <row r="81" spans="1:40" x14ac:dyDescent="0.2">
      <c r="A81" t="s">
        <v>185</v>
      </c>
      <c r="B81" t="s">
        <v>186</v>
      </c>
      <c r="C81">
        <v>14</v>
      </c>
      <c r="D81">
        <v>3284</v>
      </c>
      <c r="E81" t="s">
        <v>187</v>
      </c>
      <c r="F81">
        <v>2</v>
      </c>
      <c r="G81" t="s">
        <v>202</v>
      </c>
      <c r="H81" t="s">
        <v>189</v>
      </c>
      <c r="I81" t="s">
        <v>203</v>
      </c>
      <c r="J81">
        <v>8</v>
      </c>
      <c r="K81">
        <v>19</v>
      </c>
      <c r="L81">
        <v>14</v>
      </c>
      <c r="M81" t="s">
        <v>233</v>
      </c>
      <c r="N81" t="s">
        <v>225</v>
      </c>
      <c r="O81" t="s">
        <v>192</v>
      </c>
      <c r="P81">
        <v>11</v>
      </c>
      <c r="Q81">
        <v>8</v>
      </c>
      <c r="R81" t="s">
        <v>193</v>
      </c>
      <c r="S81" t="s">
        <v>194</v>
      </c>
      <c r="U81" t="s">
        <v>195</v>
      </c>
      <c r="V81" t="s">
        <v>196</v>
      </c>
      <c r="W81" t="s">
        <v>197</v>
      </c>
      <c r="X81" t="s">
        <v>198</v>
      </c>
      <c r="Y81" t="s">
        <v>192</v>
      </c>
      <c r="AA81">
        <v>2</v>
      </c>
      <c r="AB81">
        <v>2</v>
      </c>
      <c r="AC81">
        <v>3</v>
      </c>
      <c r="AE81">
        <v>0</v>
      </c>
      <c r="AF81">
        <v>0</v>
      </c>
      <c r="AG81" t="s">
        <v>192</v>
      </c>
      <c r="AH81" t="s">
        <v>198</v>
      </c>
      <c r="AI81" t="s">
        <v>260</v>
      </c>
      <c r="AJ81" s="9">
        <v>19</v>
      </c>
      <c r="AK81" s="9">
        <v>11</v>
      </c>
      <c r="AL81" s="9">
        <v>0</v>
      </c>
      <c r="AM81" s="9">
        <v>30</v>
      </c>
      <c r="AN81" t="s">
        <v>326</v>
      </c>
    </row>
    <row r="82" spans="1:40" x14ac:dyDescent="0.2">
      <c r="A82" t="s">
        <v>185</v>
      </c>
      <c r="B82" t="s">
        <v>186</v>
      </c>
      <c r="C82">
        <v>14</v>
      </c>
      <c r="D82">
        <v>4787</v>
      </c>
      <c r="E82" t="s">
        <v>187</v>
      </c>
      <c r="F82">
        <v>3</v>
      </c>
      <c r="G82" t="s">
        <v>211</v>
      </c>
      <c r="H82" t="s">
        <v>189</v>
      </c>
      <c r="I82" t="s">
        <v>212</v>
      </c>
      <c r="J82">
        <v>7</v>
      </c>
      <c r="K82">
        <v>1</v>
      </c>
      <c r="L82">
        <v>1</v>
      </c>
      <c r="M82" t="s">
        <v>191</v>
      </c>
      <c r="O82" t="s">
        <v>192</v>
      </c>
      <c r="P82">
        <v>16</v>
      </c>
      <c r="Q82">
        <v>8</v>
      </c>
      <c r="R82" t="s">
        <v>213</v>
      </c>
      <c r="S82" t="s">
        <v>214</v>
      </c>
      <c r="T82" t="s">
        <v>215</v>
      </c>
      <c r="U82" t="s">
        <v>216</v>
      </c>
      <c r="V82" t="s">
        <v>246</v>
      </c>
      <c r="W82" t="s">
        <v>192</v>
      </c>
      <c r="X82" t="s">
        <v>198</v>
      </c>
      <c r="Y82" t="s">
        <v>192</v>
      </c>
      <c r="AA82">
        <v>3</v>
      </c>
      <c r="AB82">
        <v>3</v>
      </c>
      <c r="AC82">
        <v>2</v>
      </c>
      <c r="AE82">
        <v>0</v>
      </c>
      <c r="AF82">
        <v>0</v>
      </c>
      <c r="AG82" t="s">
        <v>192</v>
      </c>
      <c r="AH82" t="s">
        <v>199</v>
      </c>
      <c r="AJ82" s="9">
        <v>1</v>
      </c>
      <c r="AK82" s="9">
        <v>16</v>
      </c>
      <c r="AL82" s="9">
        <v>0</v>
      </c>
      <c r="AM82" s="9">
        <v>17</v>
      </c>
      <c r="AN82" t="s">
        <v>327</v>
      </c>
    </row>
    <row r="83" spans="1:40" x14ac:dyDescent="0.2">
      <c r="A83" t="s">
        <v>185</v>
      </c>
      <c r="B83" t="s">
        <v>186</v>
      </c>
      <c r="C83">
        <v>14</v>
      </c>
      <c r="D83">
        <v>6237</v>
      </c>
      <c r="E83" t="s">
        <v>220</v>
      </c>
      <c r="F83">
        <v>1</v>
      </c>
      <c r="G83" t="s">
        <v>221</v>
      </c>
      <c r="H83" t="s">
        <v>189</v>
      </c>
      <c r="I83" t="s">
        <v>203</v>
      </c>
      <c r="J83">
        <v>8</v>
      </c>
      <c r="K83">
        <v>1</v>
      </c>
      <c r="L83">
        <v>0</v>
      </c>
      <c r="M83" t="s">
        <v>191</v>
      </c>
      <c r="O83" t="s">
        <v>192</v>
      </c>
      <c r="P83">
        <v>83</v>
      </c>
      <c r="Q83">
        <v>29</v>
      </c>
      <c r="R83" t="s">
        <v>204</v>
      </c>
      <c r="S83" t="s">
        <v>205</v>
      </c>
      <c r="T83" t="s">
        <v>206</v>
      </c>
      <c r="U83" t="s">
        <v>207</v>
      </c>
      <c r="V83" t="s">
        <v>208</v>
      </c>
      <c r="W83" t="s">
        <v>229</v>
      </c>
      <c r="X83" t="s">
        <v>229</v>
      </c>
      <c r="Y83" t="s">
        <v>192</v>
      </c>
      <c r="AA83">
        <v>4</v>
      </c>
      <c r="AB83">
        <v>4</v>
      </c>
      <c r="AC83">
        <v>3</v>
      </c>
      <c r="AE83">
        <v>2</v>
      </c>
      <c r="AF83">
        <v>0</v>
      </c>
      <c r="AG83" t="s">
        <v>192</v>
      </c>
      <c r="AH83" t="s">
        <v>189</v>
      </c>
      <c r="AI83" t="s">
        <v>234</v>
      </c>
      <c r="AJ83" s="9">
        <v>1</v>
      </c>
      <c r="AK83" s="9">
        <v>83</v>
      </c>
      <c r="AL83" s="9">
        <v>0</v>
      </c>
      <c r="AM83" s="9">
        <v>84</v>
      </c>
      <c r="AN83" t="s">
        <v>328</v>
      </c>
    </row>
    <row r="84" spans="1:40" x14ac:dyDescent="0.2">
      <c r="A84" t="s">
        <v>185</v>
      </c>
      <c r="B84" t="s">
        <v>186</v>
      </c>
      <c r="C84">
        <v>14</v>
      </c>
      <c r="D84">
        <v>1756</v>
      </c>
      <c r="E84" t="s">
        <v>220</v>
      </c>
      <c r="F84">
        <v>2</v>
      </c>
      <c r="G84" t="s">
        <v>223</v>
      </c>
      <c r="H84" t="s">
        <v>189</v>
      </c>
      <c r="I84" t="s">
        <v>190</v>
      </c>
      <c r="J84">
        <v>8</v>
      </c>
      <c r="K84">
        <v>13</v>
      </c>
      <c r="L84">
        <v>3</v>
      </c>
      <c r="M84" t="s">
        <v>233</v>
      </c>
      <c r="N84" t="s">
        <v>239</v>
      </c>
      <c r="O84" t="s">
        <v>192</v>
      </c>
      <c r="P84">
        <v>126</v>
      </c>
      <c r="Q84">
        <v>30</v>
      </c>
      <c r="R84" t="s">
        <v>204</v>
      </c>
      <c r="S84" t="s">
        <v>205</v>
      </c>
      <c r="T84" t="s">
        <v>206</v>
      </c>
      <c r="U84" t="s">
        <v>207</v>
      </c>
      <c r="V84" t="s">
        <v>208</v>
      </c>
      <c r="W84" t="s">
        <v>192</v>
      </c>
      <c r="X84" t="s">
        <v>229</v>
      </c>
      <c r="Y84" t="s">
        <v>192</v>
      </c>
      <c r="AA84">
        <v>4</v>
      </c>
      <c r="AB84">
        <v>5</v>
      </c>
      <c r="AC84">
        <v>4</v>
      </c>
      <c r="AE84">
        <v>0</v>
      </c>
      <c r="AF84">
        <v>0</v>
      </c>
      <c r="AG84" t="s">
        <v>192</v>
      </c>
      <c r="AH84" t="s">
        <v>189</v>
      </c>
      <c r="AI84" t="s">
        <v>286</v>
      </c>
      <c r="AJ84" s="9">
        <v>13</v>
      </c>
      <c r="AK84" s="9">
        <v>126</v>
      </c>
      <c r="AL84" s="9">
        <v>0</v>
      </c>
      <c r="AM84" s="9">
        <v>139</v>
      </c>
      <c r="AN84" t="s">
        <v>329</v>
      </c>
    </row>
    <row r="85" spans="1:40" x14ac:dyDescent="0.2">
      <c r="A85" t="s">
        <v>185</v>
      </c>
      <c r="B85" t="s">
        <v>186</v>
      </c>
      <c r="C85">
        <v>14</v>
      </c>
      <c r="D85">
        <v>4423</v>
      </c>
      <c r="E85" t="s">
        <v>220</v>
      </c>
      <c r="F85">
        <v>3</v>
      </c>
      <c r="G85" t="s">
        <v>228</v>
      </c>
      <c r="H85" t="s">
        <v>189</v>
      </c>
      <c r="I85" t="s">
        <v>203</v>
      </c>
      <c r="J85">
        <v>8</v>
      </c>
      <c r="K85">
        <v>0</v>
      </c>
      <c r="L85">
        <v>0</v>
      </c>
      <c r="M85" t="s">
        <v>191</v>
      </c>
      <c r="O85" t="s">
        <v>192</v>
      </c>
      <c r="P85">
        <v>8</v>
      </c>
      <c r="Q85">
        <v>2</v>
      </c>
      <c r="R85" t="s">
        <v>204</v>
      </c>
      <c r="S85" t="s">
        <v>214</v>
      </c>
      <c r="T85" t="s">
        <v>206</v>
      </c>
      <c r="U85" t="s">
        <v>207</v>
      </c>
      <c r="V85" t="s">
        <v>217</v>
      </c>
      <c r="W85" t="s">
        <v>192</v>
      </c>
      <c r="X85" t="s">
        <v>198</v>
      </c>
      <c r="Y85" t="s">
        <v>192</v>
      </c>
      <c r="AA85">
        <v>2</v>
      </c>
      <c r="AB85">
        <v>3</v>
      </c>
      <c r="AC85">
        <v>4</v>
      </c>
      <c r="AD85" t="s">
        <v>241</v>
      </c>
      <c r="AE85">
        <v>0</v>
      </c>
      <c r="AF85">
        <v>0</v>
      </c>
      <c r="AG85" t="s">
        <v>192</v>
      </c>
      <c r="AH85" t="s">
        <v>199</v>
      </c>
      <c r="AI85" t="s">
        <v>242</v>
      </c>
      <c r="AJ85" s="9">
        <v>0</v>
      </c>
      <c r="AK85" s="9">
        <v>8</v>
      </c>
      <c r="AL85" s="9">
        <v>0</v>
      </c>
      <c r="AM85" s="9">
        <v>8</v>
      </c>
      <c r="AN85" t="s">
        <v>330</v>
      </c>
    </row>
    <row r="86" spans="1:40" x14ac:dyDescent="0.2">
      <c r="A86" t="s">
        <v>185</v>
      </c>
      <c r="B86" t="s">
        <v>186</v>
      </c>
      <c r="C86">
        <v>15</v>
      </c>
      <c r="D86">
        <v>5442</v>
      </c>
      <c r="E86" t="s">
        <v>187</v>
      </c>
      <c r="F86">
        <v>1</v>
      </c>
      <c r="G86" t="s">
        <v>188</v>
      </c>
      <c r="H86" t="s">
        <v>189</v>
      </c>
      <c r="I86" t="s">
        <v>212</v>
      </c>
      <c r="J86">
        <v>8</v>
      </c>
      <c r="K86">
        <v>0</v>
      </c>
      <c r="L86">
        <v>0</v>
      </c>
      <c r="M86" t="s">
        <v>191</v>
      </c>
      <c r="O86" t="s">
        <v>192</v>
      </c>
      <c r="P86">
        <v>55</v>
      </c>
      <c r="Q86">
        <v>32</v>
      </c>
      <c r="R86" t="s">
        <v>213</v>
      </c>
      <c r="S86" t="s">
        <v>214</v>
      </c>
      <c r="T86" t="s">
        <v>215</v>
      </c>
      <c r="U86" t="s">
        <v>216</v>
      </c>
      <c r="V86" t="s">
        <v>246</v>
      </c>
      <c r="W86" t="s">
        <v>192</v>
      </c>
      <c r="X86" t="s">
        <v>198</v>
      </c>
      <c r="Y86" t="s">
        <v>192</v>
      </c>
      <c r="AA86">
        <v>3</v>
      </c>
      <c r="AB86">
        <v>1</v>
      </c>
      <c r="AC86">
        <v>3</v>
      </c>
      <c r="AD86" t="s">
        <v>331</v>
      </c>
      <c r="AE86">
        <v>0</v>
      </c>
      <c r="AF86">
        <v>0</v>
      </c>
      <c r="AG86" t="s">
        <v>192</v>
      </c>
      <c r="AH86" t="s">
        <v>199</v>
      </c>
      <c r="AI86" t="s">
        <v>234</v>
      </c>
      <c r="AJ86" s="9">
        <v>0</v>
      </c>
      <c r="AK86" s="9">
        <v>55</v>
      </c>
      <c r="AL86" s="9">
        <v>0</v>
      </c>
      <c r="AM86" s="9">
        <v>55</v>
      </c>
      <c r="AN86" t="s">
        <v>332</v>
      </c>
    </row>
    <row r="87" spans="1:40" x14ac:dyDescent="0.2">
      <c r="A87" t="s">
        <v>185</v>
      </c>
      <c r="B87" t="s">
        <v>186</v>
      </c>
      <c r="C87">
        <v>15</v>
      </c>
      <c r="D87">
        <v>7848</v>
      </c>
      <c r="E87" t="s">
        <v>187</v>
      </c>
      <c r="F87">
        <v>2</v>
      </c>
      <c r="G87" t="s">
        <v>202</v>
      </c>
      <c r="H87" t="s">
        <v>189</v>
      </c>
      <c r="I87" t="s">
        <v>203</v>
      </c>
      <c r="J87">
        <v>8</v>
      </c>
      <c r="K87">
        <v>1</v>
      </c>
      <c r="L87">
        <v>0</v>
      </c>
      <c r="M87" t="s">
        <v>191</v>
      </c>
      <c r="O87" t="s">
        <v>192</v>
      </c>
      <c r="P87">
        <v>38</v>
      </c>
      <c r="Q87">
        <v>18</v>
      </c>
      <c r="R87" t="s">
        <v>204</v>
      </c>
      <c r="S87" t="s">
        <v>214</v>
      </c>
      <c r="T87" t="s">
        <v>215</v>
      </c>
      <c r="U87" t="s">
        <v>216</v>
      </c>
      <c r="V87" t="s">
        <v>217</v>
      </c>
      <c r="W87" t="s">
        <v>192</v>
      </c>
      <c r="X87" t="s">
        <v>198</v>
      </c>
      <c r="Y87" t="s">
        <v>192</v>
      </c>
      <c r="AA87">
        <v>3</v>
      </c>
      <c r="AB87">
        <v>3</v>
      </c>
      <c r="AC87">
        <v>3</v>
      </c>
      <c r="AE87">
        <v>0</v>
      </c>
      <c r="AF87">
        <v>0</v>
      </c>
      <c r="AG87" t="s">
        <v>192</v>
      </c>
      <c r="AH87" t="s">
        <v>199</v>
      </c>
      <c r="AJ87" s="9">
        <v>1</v>
      </c>
      <c r="AK87" s="9">
        <v>38</v>
      </c>
      <c r="AL87" s="9">
        <v>0</v>
      </c>
      <c r="AM87" s="9">
        <v>39</v>
      </c>
      <c r="AN87" t="s">
        <v>333</v>
      </c>
    </row>
    <row r="88" spans="1:40" x14ac:dyDescent="0.2">
      <c r="A88" t="s">
        <v>185</v>
      </c>
      <c r="B88" t="s">
        <v>186</v>
      </c>
      <c r="C88">
        <v>15</v>
      </c>
      <c r="D88">
        <v>2861</v>
      </c>
      <c r="E88" t="s">
        <v>187</v>
      </c>
      <c r="F88">
        <v>3</v>
      </c>
      <c r="G88" t="s">
        <v>211</v>
      </c>
      <c r="H88" t="s">
        <v>189</v>
      </c>
      <c r="I88" t="s">
        <v>203</v>
      </c>
      <c r="J88">
        <v>8</v>
      </c>
      <c r="K88">
        <v>18</v>
      </c>
      <c r="L88">
        <v>4</v>
      </c>
      <c r="M88" t="s">
        <v>233</v>
      </c>
      <c r="N88" t="s">
        <v>239</v>
      </c>
      <c r="O88" t="s">
        <v>192</v>
      </c>
      <c r="P88">
        <v>45</v>
      </c>
      <c r="Q88">
        <v>10</v>
      </c>
      <c r="R88" t="s">
        <v>204</v>
      </c>
      <c r="S88" t="s">
        <v>205</v>
      </c>
      <c r="T88" t="s">
        <v>206</v>
      </c>
      <c r="U88" t="s">
        <v>207</v>
      </c>
      <c r="V88" t="s">
        <v>208</v>
      </c>
      <c r="W88" t="s">
        <v>192</v>
      </c>
      <c r="X88" t="s">
        <v>198</v>
      </c>
      <c r="Y88" t="s">
        <v>192</v>
      </c>
      <c r="AA88">
        <v>4</v>
      </c>
      <c r="AB88">
        <v>4</v>
      </c>
      <c r="AC88">
        <v>4</v>
      </c>
      <c r="AE88">
        <v>0</v>
      </c>
      <c r="AF88">
        <v>0</v>
      </c>
      <c r="AG88" t="s">
        <v>192</v>
      </c>
      <c r="AH88" t="s">
        <v>189</v>
      </c>
      <c r="AJ88" s="9">
        <v>18</v>
      </c>
      <c r="AK88" s="9">
        <v>45</v>
      </c>
      <c r="AL88" s="9">
        <v>0</v>
      </c>
      <c r="AM88" s="9">
        <v>63</v>
      </c>
      <c r="AN88" t="s">
        <v>334</v>
      </c>
    </row>
    <row r="89" spans="1:40" x14ac:dyDescent="0.2">
      <c r="A89" t="s">
        <v>185</v>
      </c>
      <c r="B89" t="s">
        <v>186</v>
      </c>
      <c r="C89">
        <v>15</v>
      </c>
      <c r="D89">
        <v>7417</v>
      </c>
      <c r="E89" t="s">
        <v>220</v>
      </c>
      <c r="F89">
        <v>1</v>
      </c>
      <c r="G89" t="s">
        <v>221</v>
      </c>
      <c r="H89" t="s">
        <v>189</v>
      </c>
      <c r="I89" t="s">
        <v>203</v>
      </c>
      <c r="J89">
        <v>8</v>
      </c>
      <c r="K89">
        <v>11</v>
      </c>
      <c r="L89">
        <v>8</v>
      </c>
      <c r="M89" t="s">
        <v>224</v>
      </c>
      <c r="N89" t="s">
        <v>225</v>
      </c>
      <c r="O89" t="s">
        <v>192</v>
      </c>
      <c r="P89">
        <v>2</v>
      </c>
      <c r="Q89">
        <v>2</v>
      </c>
      <c r="R89" t="s">
        <v>193</v>
      </c>
      <c r="S89" t="s">
        <v>194</v>
      </c>
      <c r="U89" t="s">
        <v>195</v>
      </c>
      <c r="V89" t="s">
        <v>196</v>
      </c>
      <c r="W89" t="s">
        <v>192</v>
      </c>
      <c r="X89" t="s">
        <v>198</v>
      </c>
      <c r="Y89" t="s">
        <v>192</v>
      </c>
      <c r="AA89">
        <v>3</v>
      </c>
      <c r="AB89">
        <v>1</v>
      </c>
      <c r="AC89">
        <v>3</v>
      </c>
      <c r="AE89">
        <v>0</v>
      </c>
      <c r="AF89">
        <v>0</v>
      </c>
      <c r="AG89" t="s">
        <v>192</v>
      </c>
      <c r="AH89" t="s">
        <v>198</v>
      </c>
      <c r="AI89" t="s">
        <v>244</v>
      </c>
      <c r="AJ89" s="9">
        <v>11</v>
      </c>
      <c r="AK89" s="9">
        <v>2</v>
      </c>
      <c r="AL89" s="9">
        <v>0</v>
      </c>
      <c r="AM89" s="9">
        <v>13</v>
      </c>
      <c r="AN89" t="s">
        <v>335</v>
      </c>
    </row>
    <row r="90" spans="1:40" x14ac:dyDescent="0.2">
      <c r="A90" t="s">
        <v>185</v>
      </c>
      <c r="B90" t="s">
        <v>186</v>
      </c>
      <c r="C90">
        <v>15</v>
      </c>
      <c r="D90">
        <v>1625</v>
      </c>
      <c r="E90" t="s">
        <v>220</v>
      </c>
      <c r="F90">
        <v>2</v>
      </c>
      <c r="G90" t="s">
        <v>223</v>
      </c>
      <c r="H90" t="s">
        <v>189</v>
      </c>
      <c r="I90" t="s">
        <v>212</v>
      </c>
      <c r="J90">
        <v>8</v>
      </c>
      <c r="K90">
        <v>28</v>
      </c>
      <c r="L90">
        <v>8</v>
      </c>
      <c r="M90" t="s">
        <v>224</v>
      </c>
      <c r="N90" t="s">
        <v>239</v>
      </c>
      <c r="O90" t="s">
        <v>192</v>
      </c>
      <c r="P90">
        <v>27</v>
      </c>
      <c r="Q90">
        <v>8</v>
      </c>
      <c r="R90" t="s">
        <v>204</v>
      </c>
      <c r="S90" t="s">
        <v>205</v>
      </c>
      <c r="T90" t="s">
        <v>206</v>
      </c>
      <c r="U90" t="s">
        <v>207</v>
      </c>
      <c r="V90" t="s">
        <v>208</v>
      </c>
      <c r="W90" t="s">
        <v>192</v>
      </c>
      <c r="X90" t="s">
        <v>198</v>
      </c>
      <c r="Y90" t="s">
        <v>192</v>
      </c>
      <c r="AA90">
        <v>3</v>
      </c>
      <c r="AB90">
        <v>5</v>
      </c>
      <c r="AC90">
        <v>4</v>
      </c>
      <c r="AE90">
        <v>0</v>
      </c>
      <c r="AF90">
        <v>0</v>
      </c>
      <c r="AG90" t="s">
        <v>192</v>
      </c>
      <c r="AH90" t="s">
        <v>189</v>
      </c>
      <c r="AI90" t="s">
        <v>336</v>
      </c>
      <c r="AJ90" s="9">
        <v>28</v>
      </c>
      <c r="AK90" s="9">
        <v>27</v>
      </c>
      <c r="AL90" s="9">
        <v>0</v>
      </c>
      <c r="AM90" s="9">
        <v>55</v>
      </c>
      <c r="AN90" t="s">
        <v>337</v>
      </c>
    </row>
    <row r="91" spans="1:40" x14ac:dyDescent="0.2">
      <c r="A91" t="s">
        <v>185</v>
      </c>
      <c r="B91" t="s">
        <v>186</v>
      </c>
      <c r="C91">
        <v>15</v>
      </c>
      <c r="D91">
        <v>4096</v>
      </c>
      <c r="E91" t="s">
        <v>220</v>
      </c>
      <c r="F91">
        <v>3</v>
      </c>
      <c r="G91" t="s">
        <v>228</v>
      </c>
      <c r="H91" t="s">
        <v>189</v>
      </c>
      <c r="I91" t="s">
        <v>190</v>
      </c>
      <c r="J91">
        <v>8</v>
      </c>
      <c r="K91">
        <v>7</v>
      </c>
      <c r="L91">
        <v>1</v>
      </c>
      <c r="M91" t="s">
        <v>191</v>
      </c>
      <c r="O91" t="s">
        <v>192</v>
      </c>
      <c r="P91">
        <v>37</v>
      </c>
      <c r="Q91">
        <v>3</v>
      </c>
      <c r="R91" t="s">
        <v>204</v>
      </c>
      <c r="S91" t="s">
        <v>214</v>
      </c>
      <c r="T91" t="s">
        <v>206</v>
      </c>
      <c r="U91" t="s">
        <v>207</v>
      </c>
      <c r="V91" t="s">
        <v>217</v>
      </c>
      <c r="W91" t="s">
        <v>192</v>
      </c>
      <c r="X91" t="s">
        <v>198</v>
      </c>
      <c r="Y91" t="s">
        <v>192</v>
      </c>
      <c r="AA91">
        <v>5</v>
      </c>
      <c r="AB91">
        <v>3</v>
      </c>
      <c r="AC91">
        <v>5</v>
      </c>
      <c r="AE91">
        <v>0</v>
      </c>
      <c r="AF91">
        <v>0</v>
      </c>
      <c r="AG91" t="s">
        <v>192</v>
      </c>
      <c r="AH91" t="s">
        <v>189</v>
      </c>
      <c r="AJ91" s="9">
        <v>7</v>
      </c>
      <c r="AK91" s="9">
        <v>37</v>
      </c>
      <c r="AL91" s="9">
        <v>0</v>
      </c>
      <c r="AM91" s="9">
        <v>44</v>
      </c>
      <c r="AN91" t="s">
        <v>338</v>
      </c>
    </row>
    <row r="92" spans="1:40" x14ac:dyDescent="0.2">
      <c r="A92" t="s">
        <v>185</v>
      </c>
      <c r="B92" t="s">
        <v>186</v>
      </c>
      <c r="C92">
        <v>16</v>
      </c>
      <c r="D92">
        <v>8096</v>
      </c>
      <c r="E92" t="s">
        <v>187</v>
      </c>
      <c r="F92">
        <v>1</v>
      </c>
      <c r="G92" t="s">
        <v>188</v>
      </c>
      <c r="H92" t="s">
        <v>189</v>
      </c>
      <c r="I92" t="s">
        <v>203</v>
      </c>
      <c r="J92">
        <v>8</v>
      </c>
      <c r="K92">
        <v>8</v>
      </c>
      <c r="L92">
        <v>3</v>
      </c>
      <c r="M92" t="s">
        <v>233</v>
      </c>
      <c r="O92" t="s">
        <v>192</v>
      </c>
      <c r="P92">
        <v>27</v>
      </c>
      <c r="Q92">
        <v>11</v>
      </c>
      <c r="R92" t="s">
        <v>213</v>
      </c>
      <c r="S92" t="s">
        <v>214</v>
      </c>
      <c r="T92" t="s">
        <v>215</v>
      </c>
      <c r="U92" t="s">
        <v>216</v>
      </c>
      <c r="V92" t="s">
        <v>246</v>
      </c>
      <c r="W92" t="s">
        <v>192</v>
      </c>
      <c r="X92" t="s">
        <v>198</v>
      </c>
      <c r="Y92" t="s">
        <v>192</v>
      </c>
      <c r="AA92">
        <v>3</v>
      </c>
      <c r="AB92">
        <v>2</v>
      </c>
      <c r="AC92">
        <v>3</v>
      </c>
      <c r="AE92">
        <v>0</v>
      </c>
      <c r="AF92">
        <v>0</v>
      </c>
      <c r="AG92" t="s">
        <v>192</v>
      </c>
      <c r="AH92" t="s">
        <v>199</v>
      </c>
      <c r="AJ92" s="9">
        <v>8</v>
      </c>
      <c r="AK92" s="9">
        <v>27</v>
      </c>
      <c r="AL92" s="9">
        <v>0</v>
      </c>
      <c r="AM92" s="9">
        <v>35</v>
      </c>
      <c r="AN92" t="s">
        <v>339</v>
      </c>
    </row>
    <row r="93" spans="1:40" x14ac:dyDescent="0.2">
      <c r="A93" t="s">
        <v>185</v>
      </c>
      <c r="B93" t="s">
        <v>186</v>
      </c>
      <c r="C93">
        <v>16</v>
      </c>
      <c r="D93">
        <v>4143</v>
      </c>
      <c r="E93" t="s">
        <v>187</v>
      </c>
      <c r="F93">
        <v>2</v>
      </c>
      <c r="G93" t="s">
        <v>202</v>
      </c>
      <c r="H93" t="s">
        <v>189</v>
      </c>
      <c r="I93" t="s">
        <v>212</v>
      </c>
      <c r="J93">
        <v>7</v>
      </c>
      <c r="K93">
        <v>41</v>
      </c>
      <c r="L93">
        <v>5</v>
      </c>
      <c r="M93" t="s">
        <v>224</v>
      </c>
      <c r="N93" t="s">
        <v>225</v>
      </c>
      <c r="O93" t="s">
        <v>192</v>
      </c>
      <c r="P93">
        <v>161</v>
      </c>
      <c r="Q93">
        <v>19</v>
      </c>
      <c r="R93" t="s">
        <v>204</v>
      </c>
      <c r="S93" t="s">
        <v>205</v>
      </c>
      <c r="T93" t="s">
        <v>206</v>
      </c>
      <c r="U93" t="s">
        <v>207</v>
      </c>
      <c r="V93" t="s">
        <v>208</v>
      </c>
      <c r="W93" t="s">
        <v>192</v>
      </c>
      <c r="X93" t="s">
        <v>198</v>
      </c>
      <c r="Y93" t="s">
        <v>192</v>
      </c>
      <c r="AA93">
        <v>5</v>
      </c>
      <c r="AB93">
        <v>5</v>
      </c>
      <c r="AC93">
        <v>3</v>
      </c>
      <c r="AE93">
        <v>0</v>
      </c>
      <c r="AF93">
        <v>0</v>
      </c>
      <c r="AG93" t="s">
        <v>192</v>
      </c>
      <c r="AH93" t="s">
        <v>189</v>
      </c>
      <c r="AI93" t="s">
        <v>286</v>
      </c>
      <c r="AJ93" s="9">
        <v>41</v>
      </c>
      <c r="AK93" s="9">
        <v>161</v>
      </c>
      <c r="AL93" s="9">
        <v>0</v>
      </c>
      <c r="AM93" s="9">
        <v>202</v>
      </c>
      <c r="AN93" t="s">
        <v>340</v>
      </c>
    </row>
    <row r="94" spans="1:40" x14ac:dyDescent="0.2">
      <c r="A94" t="s">
        <v>185</v>
      </c>
      <c r="B94" t="s">
        <v>186</v>
      </c>
      <c r="C94">
        <v>16</v>
      </c>
      <c r="D94">
        <v>2022</v>
      </c>
      <c r="E94" t="s">
        <v>187</v>
      </c>
      <c r="F94">
        <v>3</v>
      </c>
      <c r="G94" t="s">
        <v>211</v>
      </c>
      <c r="H94" t="s">
        <v>189</v>
      </c>
      <c r="I94" t="s">
        <v>190</v>
      </c>
      <c r="J94">
        <v>8</v>
      </c>
      <c r="K94">
        <v>5</v>
      </c>
      <c r="L94">
        <v>1</v>
      </c>
      <c r="M94" t="s">
        <v>191</v>
      </c>
      <c r="O94" t="s">
        <v>192</v>
      </c>
      <c r="P94">
        <v>34</v>
      </c>
      <c r="Q94">
        <v>8</v>
      </c>
      <c r="R94" t="s">
        <v>213</v>
      </c>
      <c r="S94" t="s">
        <v>214</v>
      </c>
      <c r="T94" t="s">
        <v>215</v>
      </c>
      <c r="U94" t="s">
        <v>216</v>
      </c>
      <c r="V94" t="s">
        <v>217</v>
      </c>
      <c r="W94" t="s">
        <v>192</v>
      </c>
      <c r="X94" t="s">
        <v>198</v>
      </c>
      <c r="Y94" t="s">
        <v>192</v>
      </c>
      <c r="AA94">
        <v>4</v>
      </c>
      <c r="AB94">
        <v>2</v>
      </c>
      <c r="AC94">
        <v>4</v>
      </c>
      <c r="AE94">
        <v>1</v>
      </c>
      <c r="AF94">
        <v>0</v>
      </c>
      <c r="AG94" t="s">
        <v>192</v>
      </c>
      <c r="AH94" t="s">
        <v>199</v>
      </c>
      <c r="AJ94" s="9">
        <v>5</v>
      </c>
      <c r="AK94" s="9">
        <v>34</v>
      </c>
      <c r="AL94" s="9">
        <v>0</v>
      </c>
      <c r="AM94" s="9">
        <v>39</v>
      </c>
      <c r="AN94" t="s">
        <v>341</v>
      </c>
    </row>
    <row r="95" spans="1:40" x14ac:dyDescent="0.2">
      <c r="A95" t="s">
        <v>185</v>
      </c>
      <c r="B95" t="s">
        <v>186</v>
      </c>
      <c r="C95">
        <v>16</v>
      </c>
      <c r="D95">
        <v>1736</v>
      </c>
      <c r="E95" t="s">
        <v>220</v>
      </c>
      <c r="F95">
        <v>1</v>
      </c>
      <c r="G95" t="s">
        <v>221</v>
      </c>
      <c r="H95" t="s">
        <v>189</v>
      </c>
      <c r="I95" t="s">
        <v>203</v>
      </c>
      <c r="J95">
        <v>5</v>
      </c>
      <c r="K95">
        <v>4</v>
      </c>
      <c r="L95">
        <v>2</v>
      </c>
      <c r="M95" t="s">
        <v>191</v>
      </c>
      <c r="O95" t="s">
        <v>192</v>
      </c>
      <c r="P95">
        <v>15</v>
      </c>
      <c r="Q95">
        <v>8</v>
      </c>
      <c r="R95" t="s">
        <v>213</v>
      </c>
      <c r="S95" t="s">
        <v>194</v>
      </c>
      <c r="T95" t="s">
        <v>215</v>
      </c>
      <c r="U95" t="s">
        <v>216</v>
      </c>
      <c r="V95" t="s">
        <v>246</v>
      </c>
      <c r="W95" t="s">
        <v>229</v>
      </c>
      <c r="X95" t="s">
        <v>198</v>
      </c>
      <c r="Y95" t="s">
        <v>192</v>
      </c>
      <c r="AA95">
        <v>2</v>
      </c>
      <c r="AB95">
        <v>3</v>
      </c>
      <c r="AC95">
        <v>3</v>
      </c>
      <c r="AE95">
        <v>0</v>
      </c>
      <c r="AF95">
        <v>0</v>
      </c>
      <c r="AG95" t="s">
        <v>192</v>
      </c>
      <c r="AH95" t="s">
        <v>198</v>
      </c>
      <c r="AJ95" s="9">
        <v>4</v>
      </c>
      <c r="AK95" s="9">
        <v>15</v>
      </c>
      <c r="AL95" s="9">
        <v>0</v>
      </c>
      <c r="AM95" s="9">
        <v>19</v>
      </c>
      <c r="AN95" t="s">
        <v>342</v>
      </c>
    </row>
    <row r="96" spans="1:40" x14ac:dyDescent="0.2">
      <c r="A96" t="s">
        <v>185</v>
      </c>
      <c r="B96" t="s">
        <v>186</v>
      </c>
      <c r="C96">
        <v>16</v>
      </c>
      <c r="D96">
        <v>648</v>
      </c>
      <c r="E96" t="s">
        <v>220</v>
      </c>
      <c r="F96">
        <v>2</v>
      </c>
      <c r="G96" t="s">
        <v>223</v>
      </c>
      <c r="H96" t="s">
        <v>189</v>
      </c>
      <c r="I96" t="s">
        <v>190</v>
      </c>
      <c r="J96">
        <v>8</v>
      </c>
      <c r="K96">
        <v>7</v>
      </c>
      <c r="L96">
        <v>3</v>
      </c>
      <c r="M96" t="s">
        <v>191</v>
      </c>
      <c r="O96" t="s">
        <v>192</v>
      </c>
      <c r="P96">
        <v>10</v>
      </c>
      <c r="Q96">
        <v>4</v>
      </c>
      <c r="R96" t="s">
        <v>213</v>
      </c>
      <c r="S96" t="s">
        <v>194</v>
      </c>
      <c r="U96" t="s">
        <v>250</v>
      </c>
      <c r="V96" t="s">
        <v>246</v>
      </c>
      <c r="W96" t="s">
        <v>197</v>
      </c>
      <c r="X96" t="s">
        <v>198</v>
      </c>
      <c r="Y96" t="s">
        <v>192</v>
      </c>
      <c r="AA96">
        <v>1</v>
      </c>
      <c r="AB96">
        <v>3</v>
      </c>
      <c r="AC96">
        <v>3</v>
      </c>
      <c r="AE96">
        <v>1</v>
      </c>
      <c r="AF96">
        <v>0</v>
      </c>
      <c r="AG96" t="s">
        <v>192</v>
      </c>
      <c r="AH96" t="s">
        <v>199</v>
      </c>
      <c r="AI96" t="s">
        <v>260</v>
      </c>
      <c r="AJ96" s="9">
        <v>7</v>
      </c>
      <c r="AK96" s="9">
        <v>10</v>
      </c>
      <c r="AL96" s="9">
        <v>0</v>
      </c>
      <c r="AM96" s="9">
        <v>17</v>
      </c>
      <c r="AN96" t="s">
        <v>343</v>
      </c>
    </row>
    <row r="97" spans="1:40" x14ac:dyDescent="0.2">
      <c r="A97" t="s">
        <v>185</v>
      </c>
      <c r="B97" t="s">
        <v>186</v>
      </c>
      <c r="C97">
        <v>16</v>
      </c>
      <c r="D97">
        <v>7472</v>
      </c>
      <c r="E97" t="s">
        <v>220</v>
      </c>
      <c r="F97">
        <v>3</v>
      </c>
      <c r="G97" t="s">
        <v>228</v>
      </c>
      <c r="H97" t="s">
        <v>189</v>
      </c>
      <c r="I97" t="s">
        <v>190</v>
      </c>
      <c r="J97">
        <v>8</v>
      </c>
      <c r="K97">
        <v>8</v>
      </c>
      <c r="L97">
        <v>7</v>
      </c>
      <c r="M97" t="s">
        <v>191</v>
      </c>
      <c r="O97" t="s">
        <v>192</v>
      </c>
      <c r="P97">
        <v>2</v>
      </c>
      <c r="Q97">
        <v>2</v>
      </c>
      <c r="R97" t="s">
        <v>193</v>
      </c>
      <c r="S97" t="s">
        <v>194</v>
      </c>
      <c r="U97" t="s">
        <v>262</v>
      </c>
      <c r="V97" t="s">
        <v>196</v>
      </c>
      <c r="W97" t="s">
        <v>192</v>
      </c>
      <c r="X97" t="s">
        <v>198</v>
      </c>
      <c r="Y97" t="s">
        <v>192</v>
      </c>
      <c r="AA97">
        <v>1</v>
      </c>
      <c r="AB97">
        <v>1</v>
      </c>
      <c r="AC97">
        <v>2</v>
      </c>
      <c r="AE97">
        <v>0</v>
      </c>
      <c r="AF97">
        <v>1</v>
      </c>
      <c r="AG97" t="s">
        <v>192</v>
      </c>
      <c r="AH97" t="s">
        <v>198</v>
      </c>
      <c r="AI97" t="s">
        <v>244</v>
      </c>
      <c r="AJ97" s="9">
        <v>8</v>
      </c>
      <c r="AK97" s="9">
        <v>2</v>
      </c>
      <c r="AL97" s="9">
        <v>0</v>
      </c>
      <c r="AM97" s="9">
        <v>10</v>
      </c>
      <c r="AN97" t="s">
        <v>344</v>
      </c>
    </row>
    <row r="98" spans="1:40" x14ac:dyDescent="0.2">
      <c r="A98" t="s">
        <v>185</v>
      </c>
      <c r="B98" t="s">
        <v>186</v>
      </c>
      <c r="C98">
        <v>17</v>
      </c>
      <c r="D98">
        <v>6237</v>
      </c>
      <c r="E98" t="s">
        <v>187</v>
      </c>
      <c r="F98">
        <v>1</v>
      </c>
      <c r="G98" t="s">
        <v>188</v>
      </c>
      <c r="H98" t="s">
        <v>189</v>
      </c>
      <c r="I98" t="s">
        <v>203</v>
      </c>
      <c r="J98">
        <v>8</v>
      </c>
      <c r="K98">
        <v>3</v>
      </c>
      <c r="L98">
        <v>1</v>
      </c>
      <c r="M98" t="s">
        <v>191</v>
      </c>
      <c r="O98" t="s">
        <v>192</v>
      </c>
      <c r="P98">
        <v>73</v>
      </c>
      <c r="Q98">
        <v>27</v>
      </c>
      <c r="R98" t="s">
        <v>204</v>
      </c>
      <c r="S98" t="s">
        <v>205</v>
      </c>
      <c r="T98" t="s">
        <v>206</v>
      </c>
      <c r="U98" t="s">
        <v>207</v>
      </c>
      <c r="V98" t="s">
        <v>208</v>
      </c>
      <c r="W98" t="s">
        <v>192</v>
      </c>
      <c r="X98" t="s">
        <v>229</v>
      </c>
      <c r="Y98" t="s">
        <v>192</v>
      </c>
      <c r="AA98">
        <v>5</v>
      </c>
      <c r="AB98">
        <v>5</v>
      </c>
      <c r="AC98">
        <v>5</v>
      </c>
      <c r="AE98">
        <v>0</v>
      </c>
      <c r="AF98">
        <v>0</v>
      </c>
      <c r="AG98" t="s">
        <v>192</v>
      </c>
      <c r="AH98" t="s">
        <v>189</v>
      </c>
      <c r="AI98" t="s">
        <v>313</v>
      </c>
      <c r="AJ98" s="9">
        <v>3</v>
      </c>
      <c r="AK98" s="9">
        <v>73</v>
      </c>
      <c r="AL98" s="9">
        <v>0</v>
      </c>
      <c r="AM98" s="9">
        <v>76</v>
      </c>
      <c r="AN98" t="s">
        <v>345</v>
      </c>
    </row>
    <row r="99" spans="1:40" x14ac:dyDescent="0.2">
      <c r="A99" t="s">
        <v>185</v>
      </c>
      <c r="B99" t="s">
        <v>186</v>
      </c>
      <c r="C99">
        <v>17</v>
      </c>
      <c r="D99">
        <v>2481</v>
      </c>
      <c r="E99" t="s">
        <v>187</v>
      </c>
      <c r="F99">
        <v>2</v>
      </c>
      <c r="G99" t="s">
        <v>202</v>
      </c>
      <c r="H99" t="s">
        <v>189</v>
      </c>
      <c r="I99" t="s">
        <v>190</v>
      </c>
      <c r="J99">
        <v>8</v>
      </c>
      <c r="K99">
        <v>87</v>
      </c>
      <c r="L99">
        <v>15</v>
      </c>
      <c r="M99" t="s">
        <v>233</v>
      </c>
      <c r="N99" t="s">
        <v>225</v>
      </c>
      <c r="O99" t="s">
        <v>192</v>
      </c>
      <c r="P99">
        <v>184</v>
      </c>
      <c r="Q99">
        <v>31</v>
      </c>
      <c r="R99" t="s">
        <v>204</v>
      </c>
      <c r="S99" t="s">
        <v>205</v>
      </c>
      <c r="T99" t="s">
        <v>206</v>
      </c>
      <c r="U99" t="s">
        <v>207</v>
      </c>
      <c r="V99" t="s">
        <v>208</v>
      </c>
      <c r="W99" t="s">
        <v>192</v>
      </c>
      <c r="X99" t="s">
        <v>229</v>
      </c>
      <c r="Y99" t="s">
        <v>192</v>
      </c>
      <c r="AA99">
        <v>5</v>
      </c>
      <c r="AB99">
        <v>4</v>
      </c>
      <c r="AC99">
        <v>4</v>
      </c>
      <c r="AE99">
        <v>0</v>
      </c>
      <c r="AF99">
        <v>0</v>
      </c>
      <c r="AG99" t="s">
        <v>192</v>
      </c>
      <c r="AH99" t="s">
        <v>189</v>
      </c>
      <c r="AI99" t="s">
        <v>286</v>
      </c>
      <c r="AJ99" s="9">
        <v>87</v>
      </c>
      <c r="AK99" s="9">
        <v>184</v>
      </c>
      <c r="AL99" s="9">
        <v>0</v>
      </c>
      <c r="AM99" s="9">
        <v>271</v>
      </c>
      <c r="AN99" t="s">
        <v>346</v>
      </c>
    </row>
    <row r="100" spans="1:40" x14ac:dyDescent="0.2">
      <c r="A100" t="s">
        <v>185</v>
      </c>
      <c r="B100" t="s">
        <v>186</v>
      </c>
      <c r="C100">
        <v>17</v>
      </c>
      <c r="D100">
        <v>1756</v>
      </c>
      <c r="E100" t="s">
        <v>187</v>
      </c>
      <c r="F100">
        <v>3</v>
      </c>
      <c r="G100" t="s">
        <v>211</v>
      </c>
      <c r="H100" t="s">
        <v>189</v>
      </c>
      <c r="I100" t="s">
        <v>190</v>
      </c>
      <c r="J100">
        <v>8</v>
      </c>
      <c r="K100">
        <v>16</v>
      </c>
      <c r="L100">
        <v>4</v>
      </c>
      <c r="M100" t="s">
        <v>233</v>
      </c>
      <c r="N100" t="s">
        <v>239</v>
      </c>
      <c r="O100" t="s">
        <v>192</v>
      </c>
      <c r="P100">
        <v>245</v>
      </c>
      <c r="Q100">
        <v>65</v>
      </c>
      <c r="R100" t="s">
        <v>204</v>
      </c>
      <c r="S100" t="s">
        <v>205</v>
      </c>
      <c r="T100" t="s">
        <v>206</v>
      </c>
      <c r="U100" t="s">
        <v>207</v>
      </c>
      <c r="V100" t="s">
        <v>208</v>
      </c>
      <c r="W100" t="s">
        <v>229</v>
      </c>
      <c r="X100" t="s">
        <v>240</v>
      </c>
      <c r="Y100" t="s">
        <v>192</v>
      </c>
      <c r="AA100">
        <v>5</v>
      </c>
      <c r="AB100">
        <v>5</v>
      </c>
      <c r="AC100">
        <v>4</v>
      </c>
      <c r="AE100">
        <v>0</v>
      </c>
      <c r="AF100">
        <v>0</v>
      </c>
      <c r="AG100" t="s">
        <v>192</v>
      </c>
      <c r="AH100" t="s">
        <v>189</v>
      </c>
      <c r="AI100" t="s">
        <v>277</v>
      </c>
      <c r="AJ100" s="9">
        <v>16</v>
      </c>
      <c r="AK100" s="9">
        <v>245</v>
      </c>
      <c r="AL100" s="9">
        <v>0</v>
      </c>
      <c r="AM100" s="9">
        <v>261</v>
      </c>
      <c r="AN100" t="s">
        <v>347</v>
      </c>
    </row>
    <row r="101" spans="1:40" x14ac:dyDescent="0.2">
      <c r="A101" t="s">
        <v>185</v>
      </c>
      <c r="B101" t="s">
        <v>186</v>
      </c>
      <c r="C101">
        <v>17</v>
      </c>
      <c r="D101">
        <v>2039</v>
      </c>
      <c r="E101" t="s">
        <v>220</v>
      </c>
      <c r="F101">
        <v>1</v>
      </c>
      <c r="G101" t="s">
        <v>221</v>
      </c>
      <c r="H101" t="s">
        <v>189</v>
      </c>
      <c r="I101" t="s">
        <v>190</v>
      </c>
      <c r="J101">
        <v>8</v>
      </c>
      <c r="K101">
        <v>1</v>
      </c>
      <c r="L101">
        <v>1</v>
      </c>
      <c r="M101" t="s">
        <v>191</v>
      </c>
      <c r="O101" t="s">
        <v>192</v>
      </c>
      <c r="P101">
        <v>0</v>
      </c>
      <c r="Q101">
        <v>0</v>
      </c>
      <c r="R101" t="s">
        <v>193</v>
      </c>
      <c r="S101" t="s">
        <v>194</v>
      </c>
      <c r="U101" t="s">
        <v>195</v>
      </c>
      <c r="V101" t="s">
        <v>196</v>
      </c>
      <c r="W101" t="s">
        <v>197</v>
      </c>
      <c r="X101" t="s">
        <v>198</v>
      </c>
      <c r="Y101" t="s">
        <v>192</v>
      </c>
      <c r="AA101">
        <v>1</v>
      </c>
      <c r="AB101">
        <v>1</v>
      </c>
      <c r="AC101">
        <v>3</v>
      </c>
      <c r="AE101">
        <v>0</v>
      </c>
      <c r="AF101">
        <v>0</v>
      </c>
      <c r="AG101" t="s">
        <v>192</v>
      </c>
      <c r="AH101" t="s">
        <v>198</v>
      </c>
      <c r="AI101" t="s">
        <v>200</v>
      </c>
      <c r="AJ101" s="9">
        <v>1</v>
      </c>
      <c r="AK101" s="9">
        <v>0</v>
      </c>
      <c r="AL101" s="9">
        <v>0</v>
      </c>
      <c r="AM101" s="9">
        <v>1</v>
      </c>
      <c r="AN101" t="s">
        <v>348</v>
      </c>
    </row>
    <row r="102" spans="1:40" x14ac:dyDescent="0.2">
      <c r="A102" t="s">
        <v>185</v>
      </c>
      <c r="B102" t="s">
        <v>186</v>
      </c>
      <c r="C102">
        <v>17</v>
      </c>
      <c r="D102">
        <v>8719</v>
      </c>
      <c r="E102" t="s">
        <v>220</v>
      </c>
      <c r="F102">
        <v>2</v>
      </c>
      <c r="G102" t="s">
        <v>223</v>
      </c>
      <c r="H102" t="s">
        <v>189</v>
      </c>
      <c r="I102" t="s">
        <v>190</v>
      </c>
      <c r="J102">
        <v>5</v>
      </c>
      <c r="K102">
        <v>8</v>
      </c>
      <c r="L102">
        <v>7</v>
      </c>
      <c r="M102" t="s">
        <v>224</v>
      </c>
      <c r="N102" t="s">
        <v>239</v>
      </c>
      <c r="O102" t="s">
        <v>192</v>
      </c>
      <c r="P102">
        <v>0</v>
      </c>
      <c r="Q102">
        <v>0</v>
      </c>
      <c r="R102" t="s">
        <v>193</v>
      </c>
      <c r="S102" t="s">
        <v>194</v>
      </c>
      <c r="U102" t="s">
        <v>250</v>
      </c>
      <c r="V102" t="s">
        <v>196</v>
      </c>
      <c r="W102" t="s">
        <v>229</v>
      </c>
      <c r="X102" t="s">
        <v>198</v>
      </c>
      <c r="Y102" t="s">
        <v>192</v>
      </c>
      <c r="AA102">
        <v>3</v>
      </c>
      <c r="AB102">
        <v>2</v>
      </c>
      <c r="AC102">
        <v>2</v>
      </c>
      <c r="AE102">
        <v>0</v>
      </c>
      <c r="AF102">
        <v>0</v>
      </c>
      <c r="AG102" t="s">
        <v>192</v>
      </c>
      <c r="AH102" t="s">
        <v>198</v>
      </c>
      <c r="AI102" t="s">
        <v>244</v>
      </c>
      <c r="AJ102" s="9">
        <v>8</v>
      </c>
      <c r="AK102" s="9">
        <v>0</v>
      </c>
      <c r="AL102" s="9">
        <v>0</v>
      </c>
      <c r="AM102" s="9">
        <v>8</v>
      </c>
      <c r="AN102" t="s">
        <v>349</v>
      </c>
    </row>
    <row r="103" spans="1:40" x14ac:dyDescent="0.2">
      <c r="A103" t="s">
        <v>185</v>
      </c>
      <c r="B103" t="s">
        <v>186</v>
      </c>
      <c r="C103">
        <v>17</v>
      </c>
      <c r="D103">
        <v>6651</v>
      </c>
      <c r="E103" t="s">
        <v>220</v>
      </c>
      <c r="F103">
        <v>3</v>
      </c>
      <c r="G103" t="s">
        <v>228</v>
      </c>
      <c r="H103" t="s">
        <v>189</v>
      </c>
      <c r="I103" t="s">
        <v>203</v>
      </c>
      <c r="J103">
        <v>8</v>
      </c>
      <c r="K103">
        <v>6</v>
      </c>
      <c r="L103">
        <v>2</v>
      </c>
      <c r="M103" t="s">
        <v>191</v>
      </c>
      <c r="O103" t="s">
        <v>192</v>
      </c>
      <c r="P103">
        <v>0</v>
      </c>
      <c r="Q103">
        <v>0</v>
      </c>
      <c r="R103" t="s">
        <v>213</v>
      </c>
      <c r="S103" t="s">
        <v>194</v>
      </c>
      <c r="U103" t="s">
        <v>216</v>
      </c>
      <c r="V103" t="s">
        <v>246</v>
      </c>
      <c r="W103" t="s">
        <v>192</v>
      </c>
      <c r="X103" t="s">
        <v>198</v>
      </c>
      <c r="Y103" t="s">
        <v>192</v>
      </c>
      <c r="AA103">
        <v>2</v>
      </c>
      <c r="AB103">
        <v>2</v>
      </c>
      <c r="AC103">
        <v>4</v>
      </c>
      <c r="AE103">
        <v>0</v>
      </c>
      <c r="AF103">
        <v>0</v>
      </c>
      <c r="AG103" t="s">
        <v>192</v>
      </c>
      <c r="AH103" t="s">
        <v>198</v>
      </c>
      <c r="AI103" t="s">
        <v>244</v>
      </c>
      <c r="AJ103" s="9">
        <v>6</v>
      </c>
      <c r="AK103" s="9">
        <v>0</v>
      </c>
      <c r="AL103" s="9">
        <v>0</v>
      </c>
      <c r="AM103" s="9">
        <v>6</v>
      </c>
      <c r="AN103" t="s">
        <v>350</v>
      </c>
    </row>
    <row r="104" spans="1:40" x14ac:dyDescent="0.2">
      <c r="A104" t="s">
        <v>185</v>
      </c>
      <c r="B104" t="s">
        <v>186</v>
      </c>
      <c r="C104">
        <v>18</v>
      </c>
      <c r="D104">
        <v>4096</v>
      </c>
      <c r="E104" t="s">
        <v>187</v>
      </c>
      <c r="F104">
        <v>1</v>
      </c>
      <c r="G104" t="s">
        <v>188</v>
      </c>
      <c r="H104" t="s">
        <v>189</v>
      </c>
      <c r="I104" t="s">
        <v>190</v>
      </c>
      <c r="J104">
        <v>8</v>
      </c>
      <c r="K104">
        <v>5</v>
      </c>
      <c r="L104">
        <v>1</v>
      </c>
      <c r="M104" t="s">
        <v>191</v>
      </c>
      <c r="O104" t="s">
        <v>192</v>
      </c>
      <c r="P104">
        <v>7</v>
      </c>
      <c r="Q104">
        <v>2</v>
      </c>
      <c r="R104" t="s">
        <v>204</v>
      </c>
      <c r="S104" t="s">
        <v>214</v>
      </c>
      <c r="T104" t="s">
        <v>206</v>
      </c>
      <c r="U104" t="s">
        <v>207</v>
      </c>
      <c r="V104" t="s">
        <v>217</v>
      </c>
      <c r="W104" t="s">
        <v>192</v>
      </c>
      <c r="X104" t="s">
        <v>229</v>
      </c>
      <c r="Y104" t="s">
        <v>192</v>
      </c>
      <c r="AA104">
        <v>3</v>
      </c>
      <c r="AB104">
        <v>3</v>
      </c>
      <c r="AC104">
        <v>4</v>
      </c>
      <c r="AD104" t="s">
        <v>241</v>
      </c>
      <c r="AE104">
        <v>0</v>
      </c>
      <c r="AF104">
        <v>0</v>
      </c>
      <c r="AG104" t="s">
        <v>192</v>
      </c>
      <c r="AH104" t="s">
        <v>199</v>
      </c>
      <c r="AI104" t="s">
        <v>351</v>
      </c>
      <c r="AJ104" s="9">
        <v>5</v>
      </c>
      <c r="AK104" s="9">
        <v>7</v>
      </c>
      <c r="AL104" s="9">
        <v>0</v>
      </c>
      <c r="AM104" s="9">
        <v>12</v>
      </c>
      <c r="AN104" t="s">
        <v>352</v>
      </c>
    </row>
    <row r="105" spans="1:40" x14ac:dyDescent="0.2">
      <c r="A105" t="s">
        <v>185</v>
      </c>
      <c r="B105" t="s">
        <v>186</v>
      </c>
      <c r="C105">
        <v>18</v>
      </c>
      <c r="D105">
        <v>9082</v>
      </c>
      <c r="E105" t="s">
        <v>187</v>
      </c>
      <c r="F105">
        <v>2</v>
      </c>
      <c r="G105" t="s">
        <v>202</v>
      </c>
      <c r="H105" t="s">
        <v>189</v>
      </c>
      <c r="I105" t="s">
        <v>190</v>
      </c>
      <c r="J105">
        <v>8</v>
      </c>
      <c r="K105">
        <v>3</v>
      </c>
      <c r="L105">
        <v>0</v>
      </c>
      <c r="M105" t="s">
        <v>191</v>
      </c>
      <c r="O105" t="s">
        <v>192</v>
      </c>
      <c r="P105">
        <v>46</v>
      </c>
      <c r="Q105">
        <v>2</v>
      </c>
      <c r="R105" t="s">
        <v>204</v>
      </c>
      <c r="S105" t="s">
        <v>205</v>
      </c>
      <c r="T105" t="s">
        <v>206</v>
      </c>
      <c r="U105" t="s">
        <v>207</v>
      </c>
      <c r="V105" t="s">
        <v>217</v>
      </c>
      <c r="W105" t="s">
        <v>192</v>
      </c>
      <c r="X105" t="s">
        <v>198</v>
      </c>
      <c r="Y105" t="s">
        <v>192</v>
      </c>
      <c r="AA105">
        <v>4</v>
      </c>
      <c r="AB105">
        <v>4</v>
      </c>
      <c r="AC105">
        <v>5</v>
      </c>
      <c r="AE105">
        <v>0</v>
      </c>
      <c r="AF105">
        <v>0</v>
      </c>
      <c r="AG105" t="s">
        <v>192</v>
      </c>
      <c r="AH105" t="s">
        <v>189</v>
      </c>
      <c r="AI105" t="s">
        <v>209</v>
      </c>
      <c r="AJ105" s="9">
        <v>3</v>
      </c>
      <c r="AK105" s="9">
        <v>46</v>
      </c>
      <c r="AL105" s="9">
        <v>0</v>
      </c>
      <c r="AM105" s="9">
        <v>49</v>
      </c>
      <c r="AN105" t="s">
        <v>353</v>
      </c>
    </row>
    <row r="106" spans="1:40" x14ac:dyDescent="0.2">
      <c r="A106" t="s">
        <v>185</v>
      </c>
      <c r="B106" t="s">
        <v>186</v>
      </c>
      <c r="C106">
        <v>18</v>
      </c>
      <c r="D106">
        <v>5442</v>
      </c>
      <c r="E106" t="s">
        <v>187</v>
      </c>
      <c r="F106">
        <v>3</v>
      </c>
      <c r="G106" t="s">
        <v>211</v>
      </c>
      <c r="H106" t="s">
        <v>189</v>
      </c>
      <c r="I106" t="s">
        <v>212</v>
      </c>
      <c r="J106">
        <v>8</v>
      </c>
      <c r="K106">
        <v>0</v>
      </c>
      <c r="L106">
        <v>0</v>
      </c>
      <c r="M106" t="s">
        <v>191</v>
      </c>
      <c r="O106" t="s">
        <v>192</v>
      </c>
      <c r="P106">
        <v>19</v>
      </c>
      <c r="Q106">
        <v>8</v>
      </c>
      <c r="R106" t="s">
        <v>213</v>
      </c>
      <c r="S106" t="s">
        <v>214</v>
      </c>
      <c r="T106" t="s">
        <v>215</v>
      </c>
      <c r="U106" t="s">
        <v>216</v>
      </c>
      <c r="V106" t="s">
        <v>246</v>
      </c>
      <c r="W106" t="s">
        <v>192</v>
      </c>
      <c r="X106" t="s">
        <v>198</v>
      </c>
      <c r="Y106" t="s">
        <v>192</v>
      </c>
      <c r="AA106">
        <v>3</v>
      </c>
      <c r="AB106">
        <v>3</v>
      </c>
      <c r="AC106">
        <v>3</v>
      </c>
      <c r="AE106">
        <v>0</v>
      </c>
      <c r="AF106">
        <v>0</v>
      </c>
      <c r="AG106" t="s">
        <v>192</v>
      </c>
      <c r="AH106" t="s">
        <v>199</v>
      </c>
      <c r="AJ106" s="9">
        <v>0</v>
      </c>
      <c r="AK106" s="9">
        <v>19</v>
      </c>
      <c r="AL106" s="9">
        <v>0</v>
      </c>
      <c r="AM106" s="9">
        <v>19</v>
      </c>
      <c r="AN106" t="s">
        <v>354</v>
      </c>
    </row>
    <row r="107" spans="1:40" x14ac:dyDescent="0.2">
      <c r="A107" t="s">
        <v>185</v>
      </c>
      <c r="B107" t="s">
        <v>186</v>
      </c>
      <c r="C107">
        <v>18</v>
      </c>
      <c r="D107">
        <v>3488</v>
      </c>
      <c r="E107" t="s">
        <v>220</v>
      </c>
      <c r="F107">
        <v>1</v>
      </c>
      <c r="G107" t="s">
        <v>221</v>
      </c>
      <c r="H107" t="s">
        <v>189</v>
      </c>
      <c r="I107" t="s">
        <v>203</v>
      </c>
      <c r="J107">
        <v>8</v>
      </c>
      <c r="K107">
        <v>0</v>
      </c>
      <c r="L107">
        <v>0</v>
      </c>
      <c r="M107" t="s">
        <v>191</v>
      </c>
      <c r="O107" t="s">
        <v>192</v>
      </c>
      <c r="P107">
        <v>38</v>
      </c>
      <c r="Q107">
        <v>28</v>
      </c>
      <c r="R107" t="s">
        <v>213</v>
      </c>
      <c r="S107" t="s">
        <v>194</v>
      </c>
      <c r="T107" t="s">
        <v>237</v>
      </c>
      <c r="U107" t="s">
        <v>216</v>
      </c>
      <c r="V107" t="s">
        <v>246</v>
      </c>
      <c r="W107" t="s">
        <v>192</v>
      </c>
      <c r="X107" t="s">
        <v>198</v>
      </c>
      <c r="Y107" t="s">
        <v>192</v>
      </c>
      <c r="AA107">
        <v>3</v>
      </c>
      <c r="AB107">
        <v>2</v>
      </c>
      <c r="AC107">
        <v>3</v>
      </c>
      <c r="AE107">
        <v>0</v>
      </c>
      <c r="AF107">
        <v>0</v>
      </c>
      <c r="AG107" t="s">
        <v>192</v>
      </c>
      <c r="AH107" t="s">
        <v>198</v>
      </c>
      <c r="AJ107" s="9">
        <v>0</v>
      </c>
      <c r="AK107" s="9">
        <v>38</v>
      </c>
      <c r="AL107" s="9">
        <v>0</v>
      </c>
      <c r="AM107" s="9">
        <v>38</v>
      </c>
      <c r="AN107" t="s">
        <v>355</v>
      </c>
    </row>
    <row r="108" spans="1:40" x14ac:dyDescent="0.2">
      <c r="A108" t="s">
        <v>185</v>
      </c>
      <c r="B108" t="s">
        <v>186</v>
      </c>
      <c r="C108">
        <v>18</v>
      </c>
      <c r="D108">
        <v>2040</v>
      </c>
      <c r="E108" t="s">
        <v>220</v>
      </c>
      <c r="F108">
        <v>2</v>
      </c>
      <c r="G108" t="s">
        <v>223</v>
      </c>
      <c r="H108" t="s">
        <v>189</v>
      </c>
      <c r="I108" t="s">
        <v>203</v>
      </c>
      <c r="J108">
        <v>5</v>
      </c>
      <c r="K108">
        <v>35</v>
      </c>
      <c r="L108">
        <v>11</v>
      </c>
      <c r="M108" t="s">
        <v>224</v>
      </c>
      <c r="N108" t="s">
        <v>225</v>
      </c>
      <c r="O108" t="s">
        <v>192</v>
      </c>
      <c r="P108">
        <v>84</v>
      </c>
      <c r="Q108">
        <v>27</v>
      </c>
      <c r="R108" t="s">
        <v>204</v>
      </c>
      <c r="S108" t="s">
        <v>205</v>
      </c>
      <c r="T108" t="s">
        <v>206</v>
      </c>
      <c r="U108" t="s">
        <v>207</v>
      </c>
      <c r="V108" t="s">
        <v>208</v>
      </c>
      <c r="W108" t="s">
        <v>192</v>
      </c>
      <c r="X108" t="s">
        <v>198</v>
      </c>
      <c r="Y108" t="s">
        <v>192</v>
      </c>
      <c r="AA108">
        <v>4</v>
      </c>
      <c r="AB108">
        <v>4</v>
      </c>
      <c r="AC108">
        <v>3</v>
      </c>
      <c r="AE108">
        <v>0</v>
      </c>
      <c r="AF108">
        <v>0</v>
      </c>
      <c r="AG108" t="s">
        <v>192</v>
      </c>
      <c r="AH108" t="s">
        <v>189</v>
      </c>
      <c r="AI108" t="s">
        <v>234</v>
      </c>
      <c r="AJ108" s="9">
        <v>35</v>
      </c>
      <c r="AK108" s="9">
        <v>84</v>
      </c>
      <c r="AL108" s="9">
        <v>0</v>
      </c>
      <c r="AM108" s="9">
        <v>119</v>
      </c>
      <c r="AN108" t="s">
        <v>356</v>
      </c>
    </row>
    <row r="109" spans="1:40" x14ac:dyDescent="0.2">
      <c r="A109" t="s">
        <v>185</v>
      </c>
      <c r="B109" t="s">
        <v>186</v>
      </c>
      <c r="C109">
        <v>18</v>
      </c>
      <c r="D109">
        <v>4787</v>
      </c>
      <c r="E109" t="s">
        <v>220</v>
      </c>
      <c r="F109">
        <v>3</v>
      </c>
      <c r="G109" t="s">
        <v>228</v>
      </c>
      <c r="H109" t="s">
        <v>189</v>
      </c>
      <c r="I109" t="s">
        <v>212</v>
      </c>
      <c r="J109">
        <v>7</v>
      </c>
      <c r="K109">
        <v>1</v>
      </c>
      <c r="L109">
        <v>1</v>
      </c>
      <c r="M109" t="s">
        <v>191</v>
      </c>
      <c r="O109" t="s">
        <v>192</v>
      </c>
      <c r="P109">
        <v>41</v>
      </c>
      <c r="Q109">
        <v>26</v>
      </c>
      <c r="R109" t="s">
        <v>213</v>
      </c>
      <c r="S109" t="s">
        <v>214</v>
      </c>
      <c r="T109" t="s">
        <v>215</v>
      </c>
      <c r="U109" t="s">
        <v>216</v>
      </c>
      <c r="V109" t="s">
        <v>246</v>
      </c>
      <c r="W109" t="s">
        <v>192</v>
      </c>
      <c r="X109" t="s">
        <v>198</v>
      </c>
      <c r="Y109" t="s">
        <v>192</v>
      </c>
      <c r="AA109">
        <v>4</v>
      </c>
      <c r="AB109">
        <v>2</v>
      </c>
      <c r="AC109">
        <v>3</v>
      </c>
      <c r="AE109">
        <v>0</v>
      </c>
      <c r="AF109">
        <v>0</v>
      </c>
      <c r="AG109" t="s">
        <v>192</v>
      </c>
      <c r="AH109" t="s">
        <v>199</v>
      </c>
      <c r="AJ109" s="9">
        <v>1</v>
      </c>
      <c r="AK109" s="9">
        <v>41</v>
      </c>
      <c r="AL109" s="9">
        <v>0</v>
      </c>
      <c r="AM109" s="9">
        <v>42</v>
      </c>
      <c r="AN109" t="s">
        <v>357</v>
      </c>
    </row>
    <row r="110" spans="1:40" x14ac:dyDescent="0.2">
      <c r="A110" t="s">
        <v>185</v>
      </c>
      <c r="B110" t="s">
        <v>186</v>
      </c>
      <c r="C110">
        <v>19</v>
      </c>
      <c r="D110">
        <v>4213</v>
      </c>
      <c r="E110" t="s">
        <v>187</v>
      </c>
      <c r="F110">
        <v>1</v>
      </c>
      <c r="G110" t="s">
        <v>188</v>
      </c>
      <c r="H110" t="s">
        <v>189</v>
      </c>
      <c r="I110" t="s">
        <v>212</v>
      </c>
      <c r="J110">
        <v>8</v>
      </c>
      <c r="K110">
        <v>6</v>
      </c>
      <c r="L110">
        <v>2</v>
      </c>
      <c r="M110" t="s">
        <v>191</v>
      </c>
      <c r="O110" t="s">
        <v>192</v>
      </c>
      <c r="P110">
        <v>43</v>
      </c>
      <c r="Q110">
        <v>16</v>
      </c>
      <c r="R110" t="s">
        <v>204</v>
      </c>
      <c r="S110" t="s">
        <v>214</v>
      </c>
      <c r="T110" t="s">
        <v>237</v>
      </c>
      <c r="U110" t="s">
        <v>216</v>
      </c>
      <c r="V110" t="s">
        <v>217</v>
      </c>
      <c r="W110" t="s">
        <v>192</v>
      </c>
      <c r="X110" t="s">
        <v>198</v>
      </c>
      <c r="Y110" t="s">
        <v>192</v>
      </c>
      <c r="AA110">
        <v>3</v>
      </c>
      <c r="AB110">
        <v>4</v>
      </c>
      <c r="AC110">
        <v>3</v>
      </c>
      <c r="AE110">
        <v>1</v>
      </c>
      <c r="AF110">
        <v>0</v>
      </c>
      <c r="AG110" t="s">
        <v>192</v>
      </c>
      <c r="AH110" t="s">
        <v>199</v>
      </c>
      <c r="AJ110" s="9">
        <v>6</v>
      </c>
      <c r="AK110" s="9">
        <v>43</v>
      </c>
      <c r="AL110" s="9">
        <v>0</v>
      </c>
      <c r="AM110" s="9">
        <v>49</v>
      </c>
      <c r="AN110" t="s">
        <v>358</v>
      </c>
    </row>
    <row r="111" spans="1:40" x14ac:dyDescent="0.2">
      <c r="A111" t="s">
        <v>185</v>
      </c>
      <c r="B111" t="s">
        <v>186</v>
      </c>
      <c r="C111">
        <v>19</v>
      </c>
      <c r="D111">
        <v>8096</v>
      </c>
      <c r="E111" t="s">
        <v>187</v>
      </c>
      <c r="F111">
        <v>2</v>
      </c>
      <c r="G111" t="s">
        <v>202</v>
      </c>
      <c r="H111" t="s">
        <v>189</v>
      </c>
      <c r="I111" t="s">
        <v>203</v>
      </c>
      <c r="J111">
        <v>8</v>
      </c>
      <c r="K111">
        <v>14</v>
      </c>
      <c r="L111">
        <v>4</v>
      </c>
      <c r="M111" t="s">
        <v>224</v>
      </c>
      <c r="N111" t="s">
        <v>225</v>
      </c>
      <c r="O111" t="s">
        <v>192</v>
      </c>
      <c r="P111">
        <v>23</v>
      </c>
      <c r="Q111">
        <v>7</v>
      </c>
      <c r="R111" t="s">
        <v>213</v>
      </c>
      <c r="S111" t="s">
        <v>214</v>
      </c>
      <c r="T111" t="s">
        <v>215</v>
      </c>
      <c r="U111" t="s">
        <v>216</v>
      </c>
      <c r="V111" t="s">
        <v>246</v>
      </c>
      <c r="W111" t="s">
        <v>192</v>
      </c>
      <c r="X111" t="s">
        <v>198</v>
      </c>
      <c r="Y111" t="s">
        <v>192</v>
      </c>
      <c r="AA111">
        <v>4</v>
      </c>
      <c r="AB111">
        <v>3</v>
      </c>
      <c r="AC111">
        <v>4</v>
      </c>
      <c r="AE111">
        <v>1</v>
      </c>
      <c r="AF111">
        <v>0</v>
      </c>
      <c r="AG111" t="s">
        <v>192</v>
      </c>
      <c r="AH111" t="s">
        <v>198</v>
      </c>
      <c r="AJ111" s="9">
        <v>14</v>
      </c>
      <c r="AK111" s="9">
        <v>23</v>
      </c>
      <c r="AL111" s="9">
        <v>0</v>
      </c>
      <c r="AM111" s="9">
        <v>37</v>
      </c>
      <c r="AN111" t="s">
        <v>359</v>
      </c>
    </row>
    <row r="112" spans="1:40" x14ac:dyDescent="0.2">
      <c r="A112" t="s">
        <v>185</v>
      </c>
      <c r="B112" t="s">
        <v>186</v>
      </c>
      <c r="C112">
        <v>19</v>
      </c>
      <c r="D112">
        <v>1625</v>
      </c>
      <c r="E112" t="s">
        <v>187</v>
      </c>
      <c r="F112">
        <v>3</v>
      </c>
      <c r="G112" t="s">
        <v>211</v>
      </c>
      <c r="H112" t="s">
        <v>189</v>
      </c>
      <c r="I112" t="s">
        <v>212</v>
      </c>
      <c r="J112">
        <v>8</v>
      </c>
      <c r="K112">
        <v>19</v>
      </c>
      <c r="L112">
        <v>5</v>
      </c>
      <c r="M112" t="s">
        <v>224</v>
      </c>
      <c r="N112" t="s">
        <v>239</v>
      </c>
      <c r="O112" t="s">
        <v>192</v>
      </c>
      <c r="P112">
        <v>76</v>
      </c>
      <c r="Q112">
        <v>21</v>
      </c>
      <c r="R112" t="s">
        <v>204</v>
      </c>
      <c r="S112" t="s">
        <v>205</v>
      </c>
      <c r="T112" t="s">
        <v>206</v>
      </c>
      <c r="U112" t="s">
        <v>207</v>
      </c>
      <c r="V112" t="s">
        <v>208</v>
      </c>
      <c r="W112" t="s">
        <v>192</v>
      </c>
      <c r="X112" t="s">
        <v>229</v>
      </c>
      <c r="Y112" t="s">
        <v>192</v>
      </c>
      <c r="AA112">
        <v>5</v>
      </c>
      <c r="AB112">
        <v>4</v>
      </c>
      <c r="AC112">
        <v>4</v>
      </c>
      <c r="AE112">
        <v>1</v>
      </c>
      <c r="AF112">
        <v>0</v>
      </c>
      <c r="AG112" t="s">
        <v>192</v>
      </c>
      <c r="AH112" t="s">
        <v>189</v>
      </c>
      <c r="AI112" t="s">
        <v>230</v>
      </c>
      <c r="AJ112" s="9">
        <v>19</v>
      </c>
      <c r="AK112" s="9">
        <v>76</v>
      </c>
      <c r="AL112" s="9">
        <v>0</v>
      </c>
      <c r="AM112" s="9">
        <v>95</v>
      </c>
      <c r="AN112" t="s">
        <v>360</v>
      </c>
    </row>
    <row r="113" spans="1:40" x14ac:dyDescent="0.2">
      <c r="A113" t="s">
        <v>185</v>
      </c>
      <c r="B113" t="s">
        <v>186</v>
      </c>
      <c r="C113">
        <v>19</v>
      </c>
      <c r="D113">
        <v>2861</v>
      </c>
      <c r="E113" t="s">
        <v>220</v>
      </c>
      <c r="F113">
        <v>1</v>
      </c>
      <c r="G113" t="s">
        <v>221</v>
      </c>
      <c r="H113" t="s">
        <v>189</v>
      </c>
      <c r="I113" t="s">
        <v>203</v>
      </c>
      <c r="J113">
        <v>8</v>
      </c>
      <c r="K113">
        <v>24</v>
      </c>
      <c r="L113">
        <v>2</v>
      </c>
      <c r="M113" t="s">
        <v>233</v>
      </c>
      <c r="N113" t="s">
        <v>239</v>
      </c>
      <c r="O113" t="s">
        <v>192</v>
      </c>
      <c r="P113">
        <v>49</v>
      </c>
      <c r="Q113">
        <v>5</v>
      </c>
      <c r="R113" t="s">
        <v>204</v>
      </c>
      <c r="S113" t="s">
        <v>205</v>
      </c>
      <c r="T113" t="s">
        <v>206</v>
      </c>
      <c r="U113" t="s">
        <v>207</v>
      </c>
      <c r="V113" t="s">
        <v>208</v>
      </c>
      <c r="W113" t="s">
        <v>192</v>
      </c>
      <c r="X113" t="s">
        <v>198</v>
      </c>
      <c r="Y113" t="s">
        <v>192</v>
      </c>
      <c r="AA113">
        <v>4</v>
      </c>
      <c r="AB113">
        <v>5</v>
      </c>
      <c r="AC113">
        <v>4</v>
      </c>
      <c r="AE113">
        <v>0</v>
      </c>
      <c r="AF113">
        <v>0</v>
      </c>
      <c r="AG113" t="s">
        <v>192</v>
      </c>
      <c r="AH113" t="s">
        <v>189</v>
      </c>
      <c r="AI113" t="s">
        <v>209</v>
      </c>
      <c r="AJ113" s="9">
        <v>24</v>
      </c>
      <c r="AK113" s="9">
        <v>49</v>
      </c>
      <c r="AL113" s="9">
        <v>0</v>
      </c>
      <c r="AM113" s="9">
        <v>73</v>
      </c>
      <c r="AN113" t="s">
        <v>361</v>
      </c>
    </row>
    <row r="114" spans="1:40" x14ac:dyDescent="0.2">
      <c r="A114" t="s">
        <v>185</v>
      </c>
      <c r="B114" t="s">
        <v>186</v>
      </c>
      <c r="C114">
        <v>19</v>
      </c>
      <c r="D114">
        <v>8020</v>
      </c>
      <c r="E114" t="s">
        <v>220</v>
      </c>
      <c r="F114">
        <v>2</v>
      </c>
      <c r="G114" t="s">
        <v>223</v>
      </c>
      <c r="H114" t="s">
        <v>189</v>
      </c>
      <c r="I114" t="s">
        <v>190</v>
      </c>
      <c r="J114">
        <v>8</v>
      </c>
      <c r="K114">
        <v>40</v>
      </c>
      <c r="L114">
        <v>12</v>
      </c>
      <c r="M114" t="s">
        <v>233</v>
      </c>
      <c r="N114" t="s">
        <v>239</v>
      </c>
      <c r="O114" t="s">
        <v>192</v>
      </c>
      <c r="P114">
        <v>114</v>
      </c>
      <c r="Q114">
        <v>34</v>
      </c>
      <c r="R114" t="s">
        <v>204</v>
      </c>
      <c r="S114" t="s">
        <v>205</v>
      </c>
      <c r="T114" t="s">
        <v>206</v>
      </c>
      <c r="U114" t="s">
        <v>207</v>
      </c>
      <c r="V114" t="s">
        <v>208</v>
      </c>
      <c r="W114" t="s">
        <v>192</v>
      </c>
      <c r="X114" t="s">
        <v>229</v>
      </c>
      <c r="Y114" t="s">
        <v>192</v>
      </c>
      <c r="AA114">
        <v>3</v>
      </c>
      <c r="AB114">
        <v>5</v>
      </c>
      <c r="AC114">
        <v>3</v>
      </c>
      <c r="AD114" t="s">
        <v>331</v>
      </c>
      <c r="AE114">
        <v>0</v>
      </c>
      <c r="AF114">
        <v>0</v>
      </c>
      <c r="AG114" t="s">
        <v>192</v>
      </c>
      <c r="AH114" t="s">
        <v>189</v>
      </c>
      <c r="AI114" t="s">
        <v>277</v>
      </c>
      <c r="AJ114" s="9">
        <v>40</v>
      </c>
      <c r="AK114" s="9">
        <v>114</v>
      </c>
      <c r="AL114" s="9">
        <v>0</v>
      </c>
      <c r="AM114" s="9">
        <v>154</v>
      </c>
      <c r="AN114" t="s">
        <v>362</v>
      </c>
    </row>
    <row r="115" spans="1:40" x14ac:dyDescent="0.2">
      <c r="A115" t="s">
        <v>185</v>
      </c>
      <c r="B115" t="s">
        <v>186</v>
      </c>
      <c r="C115">
        <v>19</v>
      </c>
      <c r="D115">
        <v>4655</v>
      </c>
      <c r="E115" t="s">
        <v>220</v>
      </c>
      <c r="F115">
        <v>3</v>
      </c>
      <c r="G115" t="s">
        <v>228</v>
      </c>
      <c r="H115" t="s">
        <v>189</v>
      </c>
      <c r="I115" t="s">
        <v>190</v>
      </c>
      <c r="J115">
        <v>8</v>
      </c>
      <c r="K115">
        <v>9</v>
      </c>
      <c r="L115">
        <v>3</v>
      </c>
      <c r="M115" t="s">
        <v>224</v>
      </c>
      <c r="N115" t="s">
        <v>225</v>
      </c>
      <c r="O115" t="s">
        <v>192</v>
      </c>
      <c r="P115">
        <v>5</v>
      </c>
      <c r="Q115">
        <v>1</v>
      </c>
      <c r="R115" t="s">
        <v>204</v>
      </c>
      <c r="S115" t="s">
        <v>214</v>
      </c>
      <c r="T115" t="s">
        <v>206</v>
      </c>
      <c r="U115" t="s">
        <v>207</v>
      </c>
      <c r="V115" t="s">
        <v>217</v>
      </c>
      <c r="W115" t="s">
        <v>192</v>
      </c>
      <c r="X115" t="s">
        <v>229</v>
      </c>
      <c r="Y115" t="s">
        <v>192</v>
      </c>
      <c r="AA115">
        <v>4</v>
      </c>
      <c r="AB115">
        <v>4</v>
      </c>
      <c r="AC115">
        <v>3</v>
      </c>
      <c r="AD115" t="s">
        <v>317</v>
      </c>
      <c r="AE115">
        <v>0</v>
      </c>
      <c r="AF115">
        <v>0</v>
      </c>
      <c r="AG115" t="s">
        <v>192</v>
      </c>
      <c r="AH115" t="s">
        <v>199</v>
      </c>
      <c r="AI115" t="s">
        <v>351</v>
      </c>
      <c r="AJ115" s="9">
        <v>9</v>
      </c>
      <c r="AK115" s="9">
        <v>5</v>
      </c>
      <c r="AL115" s="9">
        <v>0</v>
      </c>
      <c r="AM115" s="9">
        <v>14</v>
      </c>
      <c r="AN115" t="s">
        <v>363</v>
      </c>
    </row>
    <row r="116" spans="1:40" x14ac:dyDescent="0.2">
      <c r="A116" t="s">
        <v>185</v>
      </c>
      <c r="B116" t="s">
        <v>186</v>
      </c>
      <c r="C116">
        <v>20</v>
      </c>
      <c r="D116">
        <v>7417</v>
      </c>
      <c r="E116" t="s">
        <v>187</v>
      </c>
      <c r="F116">
        <v>1</v>
      </c>
      <c r="G116" t="s">
        <v>188</v>
      </c>
      <c r="H116" t="s">
        <v>189</v>
      </c>
      <c r="I116" t="s">
        <v>203</v>
      </c>
      <c r="J116">
        <v>8</v>
      </c>
      <c r="K116">
        <v>4</v>
      </c>
      <c r="L116">
        <v>3</v>
      </c>
      <c r="M116" t="s">
        <v>224</v>
      </c>
      <c r="O116" t="s">
        <v>192</v>
      </c>
      <c r="P116">
        <v>4</v>
      </c>
      <c r="Q116">
        <v>3</v>
      </c>
      <c r="R116" t="s">
        <v>193</v>
      </c>
      <c r="S116" t="s">
        <v>194</v>
      </c>
      <c r="U116" t="s">
        <v>195</v>
      </c>
      <c r="V116" t="s">
        <v>196</v>
      </c>
      <c r="W116" t="s">
        <v>192</v>
      </c>
      <c r="X116" t="s">
        <v>198</v>
      </c>
      <c r="Y116" t="s">
        <v>192</v>
      </c>
      <c r="AA116">
        <v>1</v>
      </c>
      <c r="AB116">
        <v>1</v>
      </c>
      <c r="AC116">
        <v>1</v>
      </c>
      <c r="AE116">
        <v>0</v>
      </c>
      <c r="AF116">
        <v>0</v>
      </c>
      <c r="AG116" t="s">
        <v>192</v>
      </c>
      <c r="AH116" t="s">
        <v>198</v>
      </c>
      <c r="AI116" t="s">
        <v>244</v>
      </c>
      <c r="AJ116" s="9">
        <v>4</v>
      </c>
      <c r="AK116" s="9">
        <v>4</v>
      </c>
      <c r="AL116" s="9">
        <v>0</v>
      </c>
      <c r="AM116" s="9">
        <v>8</v>
      </c>
      <c r="AN116" t="s">
        <v>364</v>
      </c>
    </row>
    <row r="117" spans="1:40" x14ac:dyDescent="0.2">
      <c r="A117" t="s">
        <v>185</v>
      </c>
      <c r="B117" t="s">
        <v>186</v>
      </c>
      <c r="C117">
        <v>20</v>
      </c>
      <c r="D117">
        <v>7848</v>
      </c>
      <c r="E117" t="s">
        <v>187</v>
      </c>
      <c r="F117">
        <v>2</v>
      </c>
      <c r="G117" t="s">
        <v>202</v>
      </c>
      <c r="H117" t="s">
        <v>189</v>
      </c>
      <c r="I117" t="s">
        <v>203</v>
      </c>
      <c r="J117">
        <v>8</v>
      </c>
      <c r="K117">
        <v>1</v>
      </c>
      <c r="L117">
        <v>0</v>
      </c>
      <c r="M117" t="s">
        <v>191</v>
      </c>
      <c r="O117" t="s">
        <v>192</v>
      </c>
      <c r="P117">
        <v>32</v>
      </c>
      <c r="Q117">
        <v>6</v>
      </c>
      <c r="R117" t="s">
        <v>204</v>
      </c>
      <c r="S117" t="s">
        <v>214</v>
      </c>
      <c r="T117" t="s">
        <v>215</v>
      </c>
      <c r="U117" t="s">
        <v>216</v>
      </c>
      <c r="V117" t="s">
        <v>217</v>
      </c>
      <c r="W117" t="s">
        <v>192</v>
      </c>
      <c r="X117" t="s">
        <v>198</v>
      </c>
      <c r="Y117" t="s">
        <v>192</v>
      </c>
      <c r="AA117">
        <v>4</v>
      </c>
      <c r="AB117">
        <v>2</v>
      </c>
      <c r="AC117">
        <v>3</v>
      </c>
      <c r="AE117">
        <v>0</v>
      </c>
      <c r="AF117">
        <v>0</v>
      </c>
      <c r="AG117" t="s">
        <v>192</v>
      </c>
      <c r="AH117" t="s">
        <v>189</v>
      </c>
      <c r="AJ117" s="9">
        <v>1</v>
      </c>
      <c r="AK117" s="9">
        <v>32</v>
      </c>
      <c r="AL117" s="9">
        <v>0</v>
      </c>
      <c r="AM117" s="9">
        <v>33</v>
      </c>
      <c r="AN117" t="s">
        <v>365</v>
      </c>
    </row>
    <row r="118" spans="1:40" x14ac:dyDescent="0.2">
      <c r="A118" t="s">
        <v>185</v>
      </c>
      <c r="B118" t="s">
        <v>186</v>
      </c>
      <c r="C118">
        <v>20</v>
      </c>
      <c r="D118">
        <v>8029</v>
      </c>
      <c r="E118" t="s">
        <v>187</v>
      </c>
      <c r="F118">
        <v>3</v>
      </c>
      <c r="G118" t="s">
        <v>211</v>
      </c>
      <c r="H118" t="s">
        <v>189</v>
      </c>
      <c r="I118" t="s">
        <v>190</v>
      </c>
      <c r="J118">
        <v>5</v>
      </c>
      <c r="K118">
        <v>10</v>
      </c>
      <c r="L118">
        <v>10</v>
      </c>
      <c r="M118" t="s">
        <v>233</v>
      </c>
      <c r="N118" t="s">
        <v>225</v>
      </c>
      <c r="O118" t="s">
        <v>192</v>
      </c>
      <c r="P118">
        <v>8</v>
      </c>
      <c r="Q118">
        <v>8</v>
      </c>
      <c r="R118" t="s">
        <v>193</v>
      </c>
      <c r="S118" t="s">
        <v>194</v>
      </c>
      <c r="U118" t="s">
        <v>262</v>
      </c>
      <c r="V118" t="s">
        <v>196</v>
      </c>
      <c r="W118" t="s">
        <v>197</v>
      </c>
      <c r="X118" t="s">
        <v>198</v>
      </c>
      <c r="Y118" t="s">
        <v>192</v>
      </c>
      <c r="AA118">
        <v>1</v>
      </c>
      <c r="AB118">
        <v>1</v>
      </c>
      <c r="AC118">
        <v>2</v>
      </c>
      <c r="AE118">
        <v>0</v>
      </c>
      <c r="AF118">
        <v>0</v>
      </c>
      <c r="AG118" t="s">
        <v>192</v>
      </c>
      <c r="AH118" t="s">
        <v>198</v>
      </c>
      <c r="AI118" t="s">
        <v>200</v>
      </c>
      <c r="AJ118" s="9">
        <v>10</v>
      </c>
      <c r="AK118" s="9">
        <v>8</v>
      </c>
      <c r="AL118" s="9">
        <v>0</v>
      </c>
      <c r="AM118" s="9">
        <v>18</v>
      </c>
      <c r="AN118" t="s">
        <v>366</v>
      </c>
    </row>
    <row r="119" spans="1:40" x14ac:dyDescent="0.2">
      <c r="A119" t="s">
        <v>185</v>
      </c>
      <c r="B119" t="s">
        <v>186</v>
      </c>
      <c r="C119">
        <v>20</v>
      </c>
      <c r="D119">
        <v>4423</v>
      </c>
      <c r="E119" t="s">
        <v>220</v>
      </c>
      <c r="F119">
        <v>1</v>
      </c>
      <c r="G119" t="s">
        <v>221</v>
      </c>
      <c r="H119" t="s">
        <v>189</v>
      </c>
      <c r="I119" t="s">
        <v>203</v>
      </c>
      <c r="J119">
        <v>8</v>
      </c>
      <c r="K119">
        <v>1</v>
      </c>
      <c r="L119">
        <v>0</v>
      </c>
      <c r="M119" t="s">
        <v>191</v>
      </c>
      <c r="O119" t="s">
        <v>192</v>
      </c>
      <c r="P119">
        <v>28</v>
      </c>
      <c r="Q119">
        <v>4</v>
      </c>
      <c r="R119" t="s">
        <v>204</v>
      </c>
      <c r="S119" t="s">
        <v>214</v>
      </c>
      <c r="T119" t="s">
        <v>206</v>
      </c>
      <c r="U119" t="s">
        <v>207</v>
      </c>
      <c r="V119" t="s">
        <v>217</v>
      </c>
      <c r="W119" t="s">
        <v>192</v>
      </c>
      <c r="X119" t="s">
        <v>240</v>
      </c>
      <c r="Y119" t="s">
        <v>192</v>
      </c>
      <c r="AA119">
        <v>4</v>
      </c>
      <c r="AB119">
        <v>4</v>
      </c>
      <c r="AC119">
        <v>5</v>
      </c>
      <c r="AE119">
        <v>0</v>
      </c>
      <c r="AF119">
        <v>0</v>
      </c>
      <c r="AG119" t="s">
        <v>192</v>
      </c>
      <c r="AH119" t="s">
        <v>198</v>
      </c>
      <c r="AI119" t="s">
        <v>274</v>
      </c>
      <c r="AJ119" s="9">
        <v>1</v>
      </c>
      <c r="AK119" s="9">
        <v>28</v>
      </c>
      <c r="AL119" s="9">
        <v>0</v>
      </c>
      <c r="AM119" s="9">
        <v>29</v>
      </c>
      <c r="AN119" t="s">
        <v>367</v>
      </c>
    </row>
    <row r="120" spans="1:40" x14ac:dyDescent="0.2">
      <c r="A120" t="s">
        <v>185</v>
      </c>
      <c r="B120" t="s">
        <v>186</v>
      </c>
      <c r="C120">
        <v>20</v>
      </c>
      <c r="D120">
        <v>3284</v>
      </c>
      <c r="E120" t="s">
        <v>220</v>
      </c>
      <c r="F120">
        <v>2</v>
      </c>
      <c r="G120" t="s">
        <v>223</v>
      </c>
      <c r="H120" t="s">
        <v>189</v>
      </c>
      <c r="I120" t="s">
        <v>203</v>
      </c>
      <c r="J120">
        <v>8</v>
      </c>
      <c r="K120">
        <v>11</v>
      </c>
      <c r="L120">
        <v>5</v>
      </c>
      <c r="M120" t="s">
        <v>224</v>
      </c>
      <c r="N120" t="s">
        <v>225</v>
      </c>
      <c r="O120" t="s">
        <v>192</v>
      </c>
      <c r="P120">
        <v>16</v>
      </c>
      <c r="Q120">
        <v>8</v>
      </c>
      <c r="R120" t="s">
        <v>193</v>
      </c>
      <c r="S120" t="s">
        <v>194</v>
      </c>
      <c r="U120" t="s">
        <v>195</v>
      </c>
      <c r="V120" t="s">
        <v>196</v>
      </c>
      <c r="W120" t="s">
        <v>229</v>
      </c>
      <c r="X120" t="s">
        <v>198</v>
      </c>
      <c r="Y120" t="s">
        <v>192</v>
      </c>
      <c r="AA120">
        <v>2</v>
      </c>
      <c r="AB120">
        <v>2</v>
      </c>
      <c r="AC120">
        <v>3</v>
      </c>
      <c r="AE120">
        <v>0</v>
      </c>
      <c r="AF120">
        <v>0</v>
      </c>
      <c r="AG120" t="s">
        <v>192</v>
      </c>
      <c r="AH120" t="s">
        <v>198</v>
      </c>
      <c r="AJ120" s="9">
        <v>11</v>
      </c>
      <c r="AK120" s="9">
        <v>16</v>
      </c>
      <c r="AL120" s="9">
        <v>0</v>
      </c>
      <c r="AM120" s="9">
        <v>27</v>
      </c>
      <c r="AN120" t="s">
        <v>368</v>
      </c>
    </row>
    <row r="121" spans="1:40" x14ac:dyDescent="0.2">
      <c r="A121" t="s">
        <v>185</v>
      </c>
      <c r="B121" t="s">
        <v>186</v>
      </c>
      <c r="C121">
        <v>20</v>
      </c>
      <c r="D121">
        <v>4143</v>
      </c>
      <c r="E121" t="s">
        <v>220</v>
      </c>
      <c r="F121">
        <v>3</v>
      </c>
      <c r="G121" t="s">
        <v>228</v>
      </c>
      <c r="H121" t="s">
        <v>189</v>
      </c>
      <c r="I121" t="s">
        <v>212</v>
      </c>
      <c r="J121">
        <v>7</v>
      </c>
      <c r="K121">
        <v>37</v>
      </c>
      <c r="L121">
        <v>1</v>
      </c>
      <c r="M121" t="s">
        <v>224</v>
      </c>
      <c r="N121" t="s">
        <v>239</v>
      </c>
      <c r="O121" t="s">
        <v>192</v>
      </c>
      <c r="P121">
        <v>117</v>
      </c>
      <c r="Q121">
        <v>4</v>
      </c>
      <c r="R121" t="s">
        <v>204</v>
      </c>
      <c r="S121" t="s">
        <v>205</v>
      </c>
      <c r="T121" t="s">
        <v>206</v>
      </c>
      <c r="U121" t="s">
        <v>207</v>
      </c>
      <c r="V121" t="s">
        <v>208</v>
      </c>
      <c r="W121" t="s">
        <v>192</v>
      </c>
      <c r="X121" t="s">
        <v>240</v>
      </c>
      <c r="Y121" t="s">
        <v>192</v>
      </c>
      <c r="AA121">
        <v>5</v>
      </c>
      <c r="AB121">
        <v>5</v>
      </c>
      <c r="AC121">
        <v>5</v>
      </c>
      <c r="AE121">
        <v>0</v>
      </c>
      <c r="AF121">
        <v>0</v>
      </c>
      <c r="AG121" t="s">
        <v>192</v>
      </c>
      <c r="AH121" t="s">
        <v>189</v>
      </c>
      <c r="AI121" t="s">
        <v>277</v>
      </c>
      <c r="AJ121" s="9">
        <v>37</v>
      </c>
      <c r="AK121" s="9">
        <v>117</v>
      </c>
      <c r="AL121" s="9">
        <v>0</v>
      </c>
      <c r="AM121" s="9">
        <v>154</v>
      </c>
      <c r="AN121" t="s">
        <v>369</v>
      </c>
    </row>
    <row r="122" spans="1:40" x14ac:dyDescent="0.2">
      <c r="A122" t="s">
        <v>185</v>
      </c>
      <c r="B122" t="s">
        <v>186</v>
      </c>
      <c r="C122">
        <v>21</v>
      </c>
      <c r="D122">
        <v>7472</v>
      </c>
      <c r="E122" t="s">
        <v>187</v>
      </c>
      <c r="F122">
        <v>1</v>
      </c>
      <c r="G122" t="s">
        <v>188</v>
      </c>
      <c r="H122" t="s">
        <v>189</v>
      </c>
      <c r="I122" t="s">
        <v>190</v>
      </c>
      <c r="J122">
        <v>8</v>
      </c>
      <c r="K122">
        <v>8</v>
      </c>
      <c r="L122">
        <v>4</v>
      </c>
      <c r="M122" t="s">
        <v>191</v>
      </c>
      <c r="O122" t="s">
        <v>192</v>
      </c>
      <c r="P122">
        <v>7</v>
      </c>
      <c r="Q122">
        <v>4</v>
      </c>
      <c r="R122" t="s">
        <v>193</v>
      </c>
      <c r="S122" t="s">
        <v>194</v>
      </c>
      <c r="U122" t="s">
        <v>262</v>
      </c>
      <c r="V122" t="s">
        <v>196</v>
      </c>
      <c r="W122" t="s">
        <v>192</v>
      </c>
      <c r="X122" t="s">
        <v>198</v>
      </c>
      <c r="Y122" t="s">
        <v>192</v>
      </c>
      <c r="AA122">
        <v>2</v>
      </c>
      <c r="AB122">
        <v>1</v>
      </c>
      <c r="AC122">
        <v>3</v>
      </c>
      <c r="AE122">
        <v>0</v>
      </c>
      <c r="AF122">
        <v>0</v>
      </c>
      <c r="AG122" t="s">
        <v>192</v>
      </c>
      <c r="AH122" t="s">
        <v>199</v>
      </c>
      <c r="AI122" t="s">
        <v>244</v>
      </c>
      <c r="AJ122" s="9">
        <v>8</v>
      </c>
      <c r="AK122" s="9">
        <v>7</v>
      </c>
      <c r="AL122" s="9">
        <v>0</v>
      </c>
      <c r="AM122" s="9">
        <v>15</v>
      </c>
      <c r="AN122" t="s">
        <v>370</v>
      </c>
    </row>
    <row r="123" spans="1:40" x14ac:dyDescent="0.2">
      <c r="A123" t="s">
        <v>185</v>
      </c>
      <c r="B123" t="s">
        <v>186</v>
      </c>
      <c r="C123">
        <v>21</v>
      </c>
      <c r="D123">
        <v>4645</v>
      </c>
      <c r="E123" t="s">
        <v>187</v>
      </c>
      <c r="F123">
        <v>2</v>
      </c>
      <c r="G123" t="s">
        <v>202</v>
      </c>
      <c r="H123" t="s">
        <v>189</v>
      </c>
      <c r="I123" t="s">
        <v>212</v>
      </c>
      <c r="J123">
        <v>8</v>
      </c>
      <c r="K123">
        <v>4</v>
      </c>
      <c r="L123">
        <v>1</v>
      </c>
      <c r="M123" t="s">
        <v>191</v>
      </c>
      <c r="O123" t="s">
        <v>192</v>
      </c>
      <c r="P123">
        <v>44</v>
      </c>
      <c r="Q123">
        <v>13</v>
      </c>
      <c r="R123" t="s">
        <v>213</v>
      </c>
      <c r="S123" t="s">
        <v>214</v>
      </c>
      <c r="T123" t="s">
        <v>215</v>
      </c>
      <c r="U123" t="s">
        <v>216</v>
      </c>
      <c r="V123" t="s">
        <v>217</v>
      </c>
      <c r="W123" t="s">
        <v>192</v>
      </c>
      <c r="X123" t="s">
        <v>198</v>
      </c>
      <c r="Y123" t="s">
        <v>192</v>
      </c>
      <c r="AA123">
        <v>3</v>
      </c>
      <c r="AB123">
        <v>2</v>
      </c>
      <c r="AC123">
        <v>3</v>
      </c>
      <c r="AE123">
        <v>0</v>
      </c>
      <c r="AF123">
        <v>0</v>
      </c>
      <c r="AG123" t="s">
        <v>192</v>
      </c>
      <c r="AH123" t="s">
        <v>199</v>
      </c>
      <c r="AJ123" s="9">
        <v>4</v>
      </c>
      <c r="AK123" s="9">
        <v>44</v>
      </c>
      <c r="AL123" s="9">
        <v>0</v>
      </c>
      <c r="AM123" s="9">
        <v>48</v>
      </c>
      <c r="AN123" t="s">
        <v>371</v>
      </c>
    </row>
    <row r="124" spans="1:40" x14ac:dyDescent="0.2">
      <c r="A124" t="s">
        <v>185</v>
      </c>
      <c r="B124" t="s">
        <v>186</v>
      </c>
      <c r="C124">
        <v>21</v>
      </c>
      <c r="D124">
        <v>5442</v>
      </c>
      <c r="E124" t="s">
        <v>187</v>
      </c>
      <c r="F124">
        <v>3</v>
      </c>
      <c r="G124" t="s">
        <v>211</v>
      </c>
      <c r="H124" t="s">
        <v>189</v>
      </c>
      <c r="I124" t="s">
        <v>212</v>
      </c>
      <c r="J124">
        <v>8</v>
      </c>
      <c r="K124">
        <v>1</v>
      </c>
      <c r="L124">
        <v>1</v>
      </c>
      <c r="M124" t="s">
        <v>191</v>
      </c>
      <c r="O124" t="s">
        <v>192</v>
      </c>
      <c r="P124">
        <v>43</v>
      </c>
      <c r="Q124">
        <v>22</v>
      </c>
      <c r="R124" t="s">
        <v>213</v>
      </c>
      <c r="S124" t="s">
        <v>214</v>
      </c>
      <c r="T124" t="s">
        <v>215</v>
      </c>
      <c r="U124" t="s">
        <v>216</v>
      </c>
      <c r="V124" t="s">
        <v>246</v>
      </c>
      <c r="W124" t="s">
        <v>192</v>
      </c>
      <c r="X124" t="s">
        <v>198</v>
      </c>
      <c r="Y124" t="s">
        <v>192</v>
      </c>
      <c r="AA124">
        <v>2</v>
      </c>
      <c r="AB124">
        <v>3</v>
      </c>
      <c r="AC124">
        <v>4</v>
      </c>
      <c r="AE124">
        <v>0</v>
      </c>
      <c r="AF124">
        <v>0</v>
      </c>
      <c r="AG124" t="s">
        <v>192</v>
      </c>
      <c r="AH124" t="s">
        <v>199</v>
      </c>
      <c r="AJ124" s="9">
        <v>1</v>
      </c>
      <c r="AK124" s="9">
        <v>43</v>
      </c>
      <c r="AL124" s="9">
        <v>0</v>
      </c>
      <c r="AM124" s="9">
        <v>44</v>
      </c>
      <c r="AN124" t="s">
        <v>372</v>
      </c>
    </row>
    <row r="125" spans="1:40" x14ac:dyDescent="0.2">
      <c r="A125" t="s">
        <v>185</v>
      </c>
      <c r="B125" t="s">
        <v>186</v>
      </c>
      <c r="C125">
        <v>21</v>
      </c>
      <c r="D125">
        <v>3067</v>
      </c>
      <c r="E125" t="s">
        <v>220</v>
      </c>
      <c r="F125">
        <v>1</v>
      </c>
      <c r="G125" t="s">
        <v>221</v>
      </c>
      <c r="H125" t="s">
        <v>189</v>
      </c>
      <c r="I125" t="s">
        <v>212</v>
      </c>
      <c r="J125">
        <v>8</v>
      </c>
      <c r="K125">
        <v>3</v>
      </c>
      <c r="L125">
        <v>1</v>
      </c>
      <c r="M125" t="s">
        <v>191</v>
      </c>
      <c r="O125" t="s">
        <v>192</v>
      </c>
      <c r="P125">
        <v>4</v>
      </c>
      <c r="Q125">
        <v>1</v>
      </c>
      <c r="R125" t="s">
        <v>204</v>
      </c>
      <c r="S125" t="s">
        <v>214</v>
      </c>
      <c r="T125" t="s">
        <v>237</v>
      </c>
      <c r="U125" t="s">
        <v>216</v>
      </c>
      <c r="V125" t="s">
        <v>217</v>
      </c>
      <c r="W125" t="s">
        <v>192</v>
      </c>
      <c r="X125" t="s">
        <v>198</v>
      </c>
      <c r="Y125" t="s">
        <v>192</v>
      </c>
      <c r="AA125">
        <v>4</v>
      </c>
      <c r="AB125">
        <v>4</v>
      </c>
      <c r="AC125">
        <v>3</v>
      </c>
      <c r="AE125">
        <v>0</v>
      </c>
      <c r="AF125">
        <v>0</v>
      </c>
      <c r="AG125" t="s">
        <v>192</v>
      </c>
      <c r="AH125" t="s">
        <v>199</v>
      </c>
      <c r="AI125" t="s">
        <v>244</v>
      </c>
      <c r="AJ125" s="9">
        <v>3</v>
      </c>
      <c r="AK125" s="9">
        <v>4</v>
      </c>
      <c r="AL125" s="9">
        <v>0</v>
      </c>
      <c r="AM125" s="9">
        <v>7</v>
      </c>
      <c r="AN125" t="s">
        <v>373</v>
      </c>
    </row>
    <row r="126" spans="1:40" x14ac:dyDescent="0.2">
      <c r="A126" t="s">
        <v>185</v>
      </c>
      <c r="B126" t="s">
        <v>186</v>
      </c>
      <c r="C126">
        <v>21</v>
      </c>
      <c r="D126">
        <v>4156</v>
      </c>
      <c r="E126" t="s">
        <v>220</v>
      </c>
      <c r="F126">
        <v>2</v>
      </c>
      <c r="G126" t="s">
        <v>223</v>
      </c>
      <c r="H126" t="s">
        <v>189</v>
      </c>
      <c r="I126" t="s">
        <v>190</v>
      </c>
      <c r="J126">
        <v>8</v>
      </c>
      <c r="K126">
        <v>3</v>
      </c>
      <c r="L126">
        <v>1</v>
      </c>
      <c r="M126" t="s">
        <v>191</v>
      </c>
      <c r="O126" t="s">
        <v>192</v>
      </c>
      <c r="P126">
        <v>1</v>
      </c>
      <c r="Q126">
        <v>0</v>
      </c>
      <c r="R126" t="s">
        <v>193</v>
      </c>
      <c r="S126" t="s">
        <v>194</v>
      </c>
      <c r="U126" t="s">
        <v>195</v>
      </c>
      <c r="V126" t="s">
        <v>196</v>
      </c>
      <c r="W126" t="s">
        <v>192</v>
      </c>
      <c r="X126" t="s">
        <v>198</v>
      </c>
      <c r="Y126" t="s">
        <v>192</v>
      </c>
      <c r="AA126">
        <v>3</v>
      </c>
      <c r="AB126">
        <v>3</v>
      </c>
      <c r="AC126">
        <v>4</v>
      </c>
      <c r="AE126">
        <v>0</v>
      </c>
      <c r="AF126">
        <v>0</v>
      </c>
      <c r="AG126" t="s">
        <v>192</v>
      </c>
      <c r="AH126" t="s">
        <v>199</v>
      </c>
      <c r="AI126" t="s">
        <v>244</v>
      </c>
      <c r="AJ126" s="9">
        <v>3</v>
      </c>
      <c r="AK126" s="9">
        <v>1</v>
      </c>
      <c r="AL126" s="9">
        <v>0</v>
      </c>
      <c r="AM126" s="9">
        <v>4</v>
      </c>
      <c r="AN126" t="s">
        <v>374</v>
      </c>
    </row>
    <row r="127" spans="1:40" x14ac:dyDescent="0.2">
      <c r="A127" t="s">
        <v>185</v>
      </c>
      <c r="B127" t="s">
        <v>186</v>
      </c>
      <c r="C127">
        <v>21</v>
      </c>
      <c r="D127">
        <v>8719</v>
      </c>
      <c r="E127" t="s">
        <v>220</v>
      </c>
      <c r="F127">
        <v>3</v>
      </c>
      <c r="G127" t="s">
        <v>228</v>
      </c>
      <c r="H127" t="s">
        <v>189</v>
      </c>
      <c r="I127" t="s">
        <v>190</v>
      </c>
      <c r="J127">
        <v>5</v>
      </c>
      <c r="K127">
        <v>4</v>
      </c>
      <c r="L127">
        <v>2</v>
      </c>
      <c r="M127" t="s">
        <v>191</v>
      </c>
      <c r="O127" t="s">
        <v>192</v>
      </c>
      <c r="P127">
        <v>0</v>
      </c>
      <c r="Q127">
        <v>0</v>
      </c>
      <c r="R127" t="s">
        <v>193</v>
      </c>
      <c r="S127" t="s">
        <v>194</v>
      </c>
      <c r="U127" t="s">
        <v>250</v>
      </c>
      <c r="V127" t="s">
        <v>196</v>
      </c>
      <c r="W127" t="s">
        <v>229</v>
      </c>
      <c r="X127" t="s">
        <v>198</v>
      </c>
      <c r="Y127" t="s">
        <v>192</v>
      </c>
      <c r="AA127">
        <v>2</v>
      </c>
      <c r="AB127">
        <v>1</v>
      </c>
      <c r="AC127">
        <v>4</v>
      </c>
      <c r="AE127">
        <v>0</v>
      </c>
      <c r="AF127">
        <v>0</v>
      </c>
      <c r="AG127" t="s">
        <v>192</v>
      </c>
      <c r="AH127" t="s">
        <v>199</v>
      </c>
      <c r="AI127" t="s">
        <v>244</v>
      </c>
      <c r="AJ127" s="9">
        <v>4</v>
      </c>
      <c r="AK127" s="9">
        <v>0</v>
      </c>
      <c r="AL127" s="9">
        <v>0</v>
      </c>
      <c r="AM127" s="9">
        <v>4</v>
      </c>
      <c r="AN127" t="s">
        <v>375</v>
      </c>
    </row>
    <row r="128" spans="1:40" x14ac:dyDescent="0.2">
      <c r="A128" t="s">
        <v>185</v>
      </c>
      <c r="B128" t="s">
        <v>186</v>
      </c>
      <c r="C128">
        <v>22</v>
      </c>
      <c r="D128">
        <v>9082</v>
      </c>
      <c r="E128" t="s">
        <v>187</v>
      </c>
      <c r="F128">
        <v>1</v>
      </c>
      <c r="G128" t="s">
        <v>188</v>
      </c>
      <c r="H128" t="s">
        <v>189</v>
      </c>
      <c r="I128" t="s">
        <v>190</v>
      </c>
      <c r="J128">
        <v>8</v>
      </c>
      <c r="K128">
        <v>9</v>
      </c>
      <c r="L128">
        <v>0</v>
      </c>
      <c r="M128" t="s">
        <v>224</v>
      </c>
      <c r="N128" t="s">
        <v>225</v>
      </c>
      <c r="O128" t="s">
        <v>192</v>
      </c>
      <c r="P128">
        <v>82</v>
      </c>
      <c r="Q128">
        <v>3</v>
      </c>
      <c r="R128" t="s">
        <v>204</v>
      </c>
      <c r="S128" t="s">
        <v>205</v>
      </c>
      <c r="T128" t="s">
        <v>206</v>
      </c>
      <c r="U128" t="s">
        <v>207</v>
      </c>
      <c r="V128" t="s">
        <v>217</v>
      </c>
      <c r="W128" t="s">
        <v>192</v>
      </c>
      <c r="X128" t="s">
        <v>229</v>
      </c>
      <c r="Y128" t="s">
        <v>192</v>
      </c>
      <c r="AA128">
        <v>4</v>
      </c>
      <c r="AB128">
        <v>4</v>
      </c>
      <c r="AC128">
        <v>5</v>
      </c>
      <c r="AE128">
        <v>0</v>
      </c>
      <c r="AF128">
        <v>0</v>
      </c>
      <c r="AG128" t="s">
        <v>192</v>
      </c>
      <c r="AH128" t="s">
        <v>189</v>
      </c>
      <c r="AI128" t="s">
        <v>234</v>
      </c>
      <c r="AJ128" s="9">
        <v>9</v>
      </c>
      <c r="AK128" s="9">
        <v>82</v>
      </c>
      <c r="AL128" s="9">
        <v>0</v>
      </c>
      <c r="AM128" s="9">
        <v>91</v>
      </c>
      <c r="AN128" t="s">
        <v>376</v>
      </c>
    </row>
    <row r="129" spans="1:40" x14ac:dyDescent="0.2">
      <c r="A129" t="s">
        <v>185</v>
      </c>
      <c r="B129" t="s">
        <v>186</v>
      </c>
      <c r="C129">
        <v>22</v>
      </c>
      <c r="D129">
        <v>4787</v>
      </c>
      <c r="E129" t="s">
        <v>187</v>
      </c>
      <c r="F129">
        <v>2</v>
      </c>
      <c r="G129" t="s">
        <v>202</v>
      </c>
      <c r="H129" t="s">
        <v>189</v>
      </c>
      <c r="I129" t="s">
        <v>212</v>
      </c>
      <c r="J129">
        <v>7</v>
      </c>
      <c r="K129">
        <v>1</v>
      </c>
      <c r="L129">
        <v>1</v>
      </c>
      <c r="M129" t="s">
        <v>191</v>
      </c>
      <c r="O129" t="s">
        <v>192</v>
      </c>
      <c r="P129">
        <v>19</v>
      </c>
      <c r="Q129">
        <v>12</v>
      </c>
      <c r="R129" t="s">
        <v>213</v>
      </c>
      <c r="S129" t="s">
        <v>214</v>
      </c>
      <c r="T129" t="s">
        <v>215</v>
      </c>
      <c r="U129" t="s">
        <v>216</v>
      </c>
      <c r="V129" t="s">
        <v>246</v>
      </c>
      <c r="W129" t="s">
        <v>192</v>
      </c>
      <c r="X129" t="s">
        <v>198</v>
      </c>
      <c r="Y129" t="s">
        <v>192</v>
      </c>
      <c r="AA129">
        <v>3</v>
      </c>
      <c r="AB129">
        <v>3</v>
      </c>
      <c r="AC129">
        <v>2</v>
      </c>
      <c r="AE129">
        <v>0</v>
      </c>
      <c r="AF129">
        <v>0</v>
      </c>
      <c r="AG129" t="s">
        <v>192</v>
      </c>
      <c r="AH129" t="s">
        <v>199</v>
      </c>
      <c r="AJ129" s="9">
        <v>1</v>
      </c>
      <c r="AK129" s="9">
        <v>19</v>
      </c>
      <c r="AL129" s="9">
        <v>0</v>
      </c>
      <c r="AM129" s="9">
        <v>20</v>
      </c>
      <c r="AN129" t="s">
        <v>377</v>
      </c>
    </row>
    <row r="130" spans="1:40" x14ac:dyDescent="0.2">
      <c r="A130" t="s">
        <v>185</v>
      </c>
      <c r="B130" t="s">
        <v>186</v>
      </c>
      <c r="C130">
        <v>22</v>
      </c>
      <c r="D130">
        <v>2861</v>
      </c>
      <c r="E130" t="s">
        <v>187</v>
      </c>
      <c r="F130">
        <v>3</v>
      </c>
      <c r="G130" t="s">
        <v>211</v>
      </c>
      <c r="H130" t="s">
        <v>189</v>
      </c>
      <c r="I130" t="s">
        <v>203</v>
      </c>
      <c r="J130">
        <v>8</v>
      </c>
      <c r="K130">
        <v>20</v>
      </c>
      <c r="L130">
        <v>5</v>
      </c>
      <c r="M130" t="s">
        <v>233</v>
      </c>
      <c r="N130" t="s">
        <v>225</v>
      </c>
      <c r="O130" t="s">
        <v>192</v>
      </c>
      <c r="P130">
        <v>110</v>
      </c>
      <c r="Q130">
        <v>29</v>
      </c>
      <c r="R130" t="s">
        <v>204</v>
      </c>
      <c r="S130" t="s">
        <v>205</v>
      </c>
      <c r="T130" t="s">
        <v>206</v>
      </c>
      <c r="U130" t="s">
        <v>207</v>
      </c>
      <c r="V130" t="s">
        <v>208</v>
      </c>
      <c r="W130" t="s">
        <v>192</v>
      </c>
      <c r="X130" t="s">
        <v>198</v>
      </c>
      <c r="Y130" t="s">
        <v>192</v>
      </c>
      <c r="AA130">
        <v>4</v>
      </c>
      <c r="AB130">
        <v>5</v>
      </c>
      <c r="AC130">
        <v>4</v>
      </c>
      <c r="AE130">
        <v>0</v>
      </c>
      <c r="AF130">
        <v>0</v>
      </c>
      <c r="AG130" t="s">
        <v>192</v>
      </c>
      <c r="AH130" t="s">
        <v>189</v>
      </c>
      <c r="AI130" t="s">
        <v>378</v>
      </c>
      <c r="AJ130" s="9">
        <v>20</v>
      </c>
      <c r="AK130" s="9">
        <v>110</v>
      </c>
      <c r="AL130" s="9">
        <v>0</v>
      </c>
      <c r="AM130" s="9">
        <v>130</v>
      </c>
      <c r="AN130" t="s">
        <v>379</v>
      </c>
    </row>
    <row r="131" spans="1:40" x14ac:dyDescent="0.2">
      <c r="A131" t="s">
        <v>185</v>
      </c>
      <c r="B131" t="s">
        <v>186</v>
      </c>
      <c r="C131">
        <v>22</v>
      </c>
      <c r="D131">
        <v>648</v>
      </c>
      <c r="E131" t="s">
        <v>220</v>
      </c>
      <c r="F131">
        <v>1</v>
      </c>
      <c r="G131" t="s">
        <v>221</v>
      </c>
      <c r="H131" t="s">
        <v>189</v>
      </c>
      <c r="I131" t="s">
        <v>190</v>
      </c>
      <c r="J131">
        <v>8</v>
      </c>
      <c r="K131">
        <v>9</v>
      </c>
      <c r="L131">
        <v>5</v>
      </c>
      <c r="M131" t="s">
        <v>224</v>
      </c>
      <c r="N131" t="s">
        <v>239</v>
      </c>
      <c r="O131" t="s">
        <v>192</v>
      </c>
      <c r="P131">
        <v>8</v>
      </c>
      <c r="Q131">
        <v>4</v>
      </c>
      <c r="R131" t="s">
        <v>213</v>
      </c>
      <c r="S131" t="s">
        <v>194</v>
      </c>
      <c r="U131" t="s">
        <v>250</v>
      </c>
      <c r="V131" t="s">
        <v>246</v>
      </c>
      <c r="W131" t="s">
        <v>229</v>
      </c>
      <c r="X131" t="s">
        <v>198</v>
      </c>
      <c r="Y131" t="s">
        <v>192</v>
      </c>
      <c r="AA131">
        <v>3</v>
      </c>
      <c r="AB131">
        <v>2</v>
      </c>
      <c r="AC131">
        <v>3</v>
      </c>
      <c r="AE131">
        <v>0</v>
      </c>
      <c r="AF131">
        <v>0</v>
      </c>
      <c r="AG131" t="s">
        <v>192</v>
      </c>
      <c r="AH131" t="s">
        <v>198</v>
      </c>
      <c r="AI131" t="s">
        <v>244</v>
      </c>
      <c r="AJ131" s="9">
        <v>9</v>
      </c>
      <c r="AK131" s="9">
        <v>8</v>
      </c>
      <c r="AL131" s="9">
        <v>0</v>
      </c>
      <c r="AM131" s="9">
        <v>17</v>
      </c>
      <c r="AN131" t="s">
        <v>380</v>
      </c>
    </row>
    <row r="132" spans="1:40" x14ac:dyDescent="0.2">
      <c r="A132" t="s">
        <v>185</v>
      </c>
      <c r="B132" t="s">
        <v>186</v>
      </c>
      <c r="C132">
        <v>22</v>
      </c>
      <c r="D132">
        <v>2022</v>
      </c>
      <c r="E132" t="s">
        <v>220</v>
      </c>
      <c r="F132">
        <v>2</v>
      </c>
      <c r="G132" t="s">
        <v>223</v>
      </c>
      <c r="H132" t="s">
        <v>189</v>
      </c>
      <c r="I132" t="s">
        <v>190</v>
      </c>
      <c r="J132">
        <v>8</v>
      </c>
      <c r="K132">
        <v>2</v>
      </c>
      <c r="L132">
        <v>0</v>
      </c>
      <c r="M132" t="s">
        <v>191</v>
      </c>
      <c r="O132" t="s">
        <v>192</v>
      </c>
      <c r="P132">
        <v>9</v>
      </c>
      <c r="Q132">
        <v>2</v>
      </c>
      <c r="R132" t="s">
        <v>213</v>
      </c>
      <c r="S132" t="s">
        <v>214</v>
      </c>
      <c r="T132" t="s">
        <v>215</v>
      </c>
      <c r="U132" t="s">
        <v>216</v>
      </c>
      <c r="V132" t="s">
        <v>217</v>
      </c>
      <c r="W132" t="s">
        <v>192</v>
      </c>
      <c r="X132" t="s">
        <v>198</v>
      </c>
      <c r="Y132" t="s">
        <v>192</v>
      </c>
      <c r="AA132">
        <v>3</v>
      </c>
      <c r="AB132">
        <v>3</v>
      </c>
      <c r="AC132">
        <v>2</v>
      </c>
      <c r="AE132">
        <v>0</v>
      </c>
      <c r="AF132">
        <v>0</v>
      </c>
      <c r="AG132" t="s">
        <v>192</v>
      </c>
      <c r="AH132" t="s">
        <v>189</v>
      </c>
      <c r="AI132" t="s">
        <v>244</v>
      </c>
      <c r="AJ132" s="9">
        <v>2</v>
      </c>
      <c r="AK132" s="9">
        <v>9</v>
      </c>
      <c r="AL132" s="9">
        <v>0</v>
      </c>
      <c r="AM132" s="9">
        <v>11</v>
      </c>
      <c r="AN132" t="s">
        <v>381</v>
      </c>
    </row>
    <row r="133" spans="1:40" x14ac:dyDescent="0.2">
      <c r="A133" t="s">
        <v>185</v>
      </c>
      <c r="B133" t="s">
        <v>186</v>
      </c>
      <c r="C133">
        <v>22</v>
      </c>
      <c r="D133">
        <v>2039</v>
      </c>
      <c r="E133" t="s">
        <v>220</v>
      </c>
      <c r="F133">
        <v>3</v>
      </c>
      <c r="G133" t="s">
        <v>228</v>
      </c>
      <c r="H133" t="s">
        <v>189</v>
      </c>
      <c r="I133" t="s">
        <v>190</v>
      </c>
      <c r="J133">
        <v>8</v>
      </c>
      <c r="K133">
        <v>1</v>
      </c>
      <c r="L133">
        <v>1</v>
      </c>
      <c r="M133" t="s">
        <v>191</v>
      </c>
      <c r="O133" t="s">
        <v>192</v>
      </c>
      <c r="P133">
        <v>0</v>
      </c>
      <c r="Q133">
        <v>0</v>
      </c>
      <c r="R133" t="s">
        <v>193</v>
      </c>
      <c r="S133" t="s">
        <v>194</v>
      </c>
      <c r="U133" t="s">
        <v>195</v>
      </c>
      <c r="V133" t="s">
        <v>196</v>
      </c>
      <c r="W133" t="s">
        <v>229</v>
      </c>
      <c r="X133" t="s">
        <v>198</v>
      </c>
      <c r="Y133" t="s">
        <v>254</v>
      </c>
      <c r="Z133" t="s">
        <v>382</v>
      </c>
      <c r="AA133">
        <v>1</v>
      </c>
      <c r="AB133">
        <v>1</v>
      </c>
      <c r="AC133">
        <v>2</v>
      </c>
      <c r="AE133">
        <v>0</v>
      </c>
      <c r="AF133">
        <v>0</v>
      </c>
      <c r="AG133" t="s">
        <v>192</v>
      </c>
      <c r="AH133" t="s">
        <v>199</v>
      </c>
      <c r="AI133" t="s">
        <v>383</v>
      </c>
      <c r="AJ133" s="9">
        <v>1</v>
      </c>
      <c r="AK133" s="9">
        <v>0</v>
      </c>
      <c r="AL133" s="9">
        <v>10</v>
      </c>
      <c r="AM133" s="9">
        <v>11</v>
      </c>
      <c r="AN133" t="s">
        <v>384</v>
      </c>
    </row>
    <row r="134" spans="1:40" x14ac:dyDescent="0.2">
      <c r="A134" t="s">
        <v>185</v>
      </c>
      <c r="B134" t="s">
        <v>186</v>
      </c>
      <c r="C134">
        <v>23</v>
      </c>
      <c r="D134">
        <v>4423</v>
      </c>
      <c r="E134" t="s">
        <v>187</v>
      </c>
      <c r="F134">
        <v>1</v>
      </c>
      <c r="G134" t="s">
        <v>188</v>
      </c>
      <c r="H134" t="s">
        <v>189</v>
      </c>
      <c r="I134" t="s">
        <v>203</v>
      </c>
      <c r="J134">
        <v>8</v>
      </c>
      <c r="K134">
        <v>0</v>
      </c>
      <c r="L134">
        <v>0</v>
      </c>
      <c r="M134" t="s">
        <v>191</v>
      </c>
      <c r="O134" t="s">
        <v>192</v>
      </c>
      <c r="P134">
        <v>57</v>
      </c>
      <c r="Q134">
        <v>12</v>
      </c>
      <c r="R134" t="s">
        <v>204</v>
      </c>
      <c r="S134" t="s">
        <v>214</v>
      </c>
      <c r="T134" t="s">
        <v>206</v>
      </c>
      <c r="U134" t="s">
        <v>207</v>
      </c>
      <c r="V134" t="s">
        <v>217</v>
      </c>
      <c r="W134" t="s">
        <v>192</v>
      </c>
      <c r="X134" t="s">
        <v>198</v>
      </c>
      <c r="Y134" t="s">
        <v>192</v>
      </c>
      <c r="AA134">
        <v>4</v>
      </c>
      <c r="AB134">
        <v>3</v>
      </c>
      <c r="AC134">
        <v>3</v>
      </c>
      <c r="AE134">
        <v>2</v>
      </c>
      <c r="AF134">
        <v>0</v>
      </c>
      <c r="AG134" t="s">
        <v>192</v>
      </c>
      <c r="AH134" t="s">
        <v>189</v>
      </c>
      <c r="AI134" t="s">
        <v>230</v>
      </c>
      <c r="AJ134" s="9">
        <v>0</v>
      </c>
      <c r="AK134" s="9">
        <v>57</v>
      </c>
      <c r="AL134" s="9">
        <v>0</v>
      </c>
      <c r="AM134" s="9">
        <v>57</v>
      </c>
      <c r="AN134" t="s">
        <v>385</v>
      </c>
    </row>
    <row r="135" spans="1:40" x14ac:dyDescent="0.2">
      <c r="A135" t="s">
        <v>185</v>
      </c>
      <c r="B135" t="s">
        <v>186</v>
      </c>
      <c r="C135">
        <v>23</v>
      </c>
      <c r="D135">
        <v>2481</v>
      </c>
      <c r="E135" t="s">
        <v>187</v>
      </c>
      <c r="F135">
        <v>2</v>
      </c>
      <c r="G135" t="s">
        <v>202</v>
      </c>
      <c r="H135" t="s">
        <v>189</v>
      </c>
      <c r="I135" t="s">
        <v>190</v>
      </c>
      <c r="J135">
        <v>8</v>
      </c>
      <c r="K135">
        <v>34</v>
      </c>
      <c r="L135">
        <v>9</v>
      </c>
      <c r="M135" t="s">
        <v>233</v>
      </c>
      <c r="N135" t="s">
        <v>239</v>
      </c>
      <c r="O135" t="s">
        <v>192</v>
      </c>
      <c r="P135">
        <v>206</v>
      </c>
      <c r="Q135">
        <v>53</v>
      </c>
      <c r="R135" t="s">
        <v>204</v>
      </c>
      <c r="S135" t="s">
        <v>205</v>
      </c>
      <c r="T135" t="s">
        <v>206</v>
      </c>
      <c r="U135" t="s">
        <v>207</v>
      </c>
      <c r="V135" t="s">
        <v>208</v>
      </c>
      <c r="W135" t="s">
        <v>192</v>
      </c>
      <c r="X135" t="s">
        <v>198</v>
      </c>
      <c r="Y135" t="s">
        <v>192</v>
      </c>
      <c r="AA135">
        <v>5</v>
      </c>
      <c r="AB135">
        <v>5</v>
      </c>
      <c r="AC135">
        <v>2</v>
      </c>
      <c r="AE135">
        <v>0</v>
      </c>
      <c r="AF135">
        <v>0</v>
      </c>
      <c r="AG135" t="s">
        <v>192</v>
      </c>
      <c r="AH135" t="s">
        <v>189</v>
      </c>
      <c r="AI135" t="s">
        <v>277</v>
      </c>
      <c r="AJ135" s="9">
        <v>34</v>
      </c>
      <c r="AK135" s="9">
        <v>206</v>
      </c>
      <c r="AL135" s="9">
        <v>0</v>
      </c>
      <c r="AM135" s="9">
        <v>240</v>
      </c>
      <c r="AN135" t="s">
        <v>386</v>
      </c>
    </row>
    <row r="136" spans="1:40" x14ac:dyDescent="0.2">
      <c r="A136" t="s">
        <v>185</v>
      </c>
      <c r="B136" t="s">
        <v>186</v>
      </c>
      <c r="C136">
        <v>23</v>
      </c>
      <c r="D136">
        <v>4655</v>
      </c>
      <c r="E136" t="s">
        <v>187</v>
      </c>
      <c r="F136">
        <v>3</v>
      </c>
      <c r="G136" t="s">
        <v>211</v>
      </c>
      <c r="H136" t="s">
        <v>189</v>
      </c>
      <c r="I136" t="s">
        <v>190</v>
      </c>
      <c r="J136">
        <v>8</v>
      </c>
      <c r="K136">
        <v>4</v>
      </c>
      <c r="L136">
        <v>1</v>
      </c>
      <c r="M136" t="s">
        <v>233</v>
      </c>
      <c r="O136" t="s">
        <v>192</v>
      </c>
      <c r="P136">
        <v>65</v>
      </c>
      <c r="Q136">
        <v>21</v>
      </c>
      <c r="R136" t="s">
        <v>204</v>
      </c>
      <c r="S136" t="s">
        <v>214</v>
      </c>
      <c r="T136" t="s">
        <v>206</v>
      </c>
      <c r="U136" t="s">
        <v>207</v>
      </c>
      <c r="V136" t="s">
        <v>217</v>
      </c>
      <c r="W136" t="s">
        <v>192</v>
      </c>
      <c r="X136" t="s">
        <v>198</v>
      </c>
      <c r="Y136" t="s">
        <v>192</v>
      </c>
      <c r="AA136">
        <v>4</v>
      </c>
      <c r="AB136">
        <v>3</v>
      </c>
      <c r="AC136">
        <v>4</v>
      </c>
      <c r="AE136">
        <v>1</v>
      </c>
      <c r="AF136">
        <v>0</v>
      </c>
      <c r="AG136" t="s">
        <v>192</v>
      </c>
      <c r="AH136" t="s">
        <v>199</v>
      </c>
      <c r="AI136" t="s">
        <v>230</v>
      </c>
      <c r="AJ136" s="9">
        <v>4</v>
      </c>
      <c r="AK136" s="9">
        <v>65</v>
      </c>
      <c r="AL136" s="9">
        <v>0</v>
      </c>
      <c r="AM136" s="9">
        <v>69</v>
      </c>
      <c r="AN136" t="s">
        <v>387</v>
      </c>
    </row>
    <row r="137" spans="1:40" x14ac:dyDescent="0.2">
      <c r="A137" t="s">
        <v>185</v>
      </c>
      <c r="B137" t="s">
        <v>186</v>
      </c>
      <c r="C137">
        <v>23</v>
      </c>
      <c r="D137">
        <v>8096</v>
      </c>
      <c r="E137" t="s">
        <v>220</v>
      </c>
      <c r="F137">
        <v>1</v>
      </c>
      <c r="G137" t="s">
        <v>221</v>
      </c>
      <c r="H137" t="s">
        <v>189</v>
      </c>
      <c r="I137" t="s">
        <v>203</v>
      </c>
      <c r="J137">
        <v>8</v>
      </c>
      <c r="K137">
        <v>6</v>
      </c>
      <c r="L137">
        <v>4</v>
      </c>
      <c r="M137" t="s">
        <v>191</v>
      </c>
      <c r="O137" t="s">
        <v>192</v>
      </c>
      <c r="P137">
        <v>1</v>
      </c>
      <c r="Q137">
        <v>1</v>
      </c>
      <c r="R137" t="s">
        <v>213</v>
      </c>
      <c r="S137" t="s">
        <v>214</v>
      </c>
      <c r="T137" t="s">
        <v>215</v>
      </c>
      <c r="U137" t="s">
        <v>216</v>
      </c>
      <c r="V137" t="s">
        <v>246</v>
      </c>
      <c r="W137" t="s">
        <v>192</v>
      </c>
      <c r="X137" t="s">
        <v>198</v>
      </c>
      <c r="Y137" t="s">
        <v>192</v>
      </c>
      <c r="AA137">
        <v>3</v>
      </c>
      <c r="AB137">
        <v>2</v>
      </c>
      <c r="AC137">
        <v>2</v>
      </c>
      <c r="AD137" t="s">
        <v>317</v>
      </c>
      <c r="AE137">
        <v>0</v>
      </c>
      <c r="AF137">
        <v>0</v>
      </c>
      <c r="AG137" t="s">
        <v>192</v>
      </c>
      <c r="AH137" t="s">
        <v>198</v>
      </c>
      <c r="AI137" t="s">
        <v>242</v>
      </c>
      <c r="AJ137" s="9">
        <v>6</v>
      </c>
      <c r="AK137" s="9">
        <v>1</v>
      </c>
      <c r="AL137" s="9">
        <v>0</v>
      </c>
      <c r="AM137" s="9">
        <v>7</v>
      </c>
      <c r="AN137" t="s">
        <v>388</v>
      </c>
    </row>
    <row r="138" spans="1:40" x14ac:dyDescent="0.2">
      <c r="A138" t="s">
        <v>185</v>
      </c>
      <c r="B138" t="s">
        <v>186</v>
      </c>
      <c r="C138">
        <v>23</v>
      </c>
      <c r="D138">
        <v>4096</v>
      </c>
      <c r="E138" t="s">
        <v>220</v>
      </c>
      <c r="F138">
        <v>2</v>
      </c>
      <c r="G138" t="s">
        <v>223</v>
      </c>
      <c r="H138" t="s">
        <v>189</v>
      </c>
      <c r="I138" t="s">
        <v>190</v>
      </c>
      <c r="J138">
        <v>8</v>
      </c>
      <c r="K138">
        <v>7</v>
      </c>
      <c r="L138">
        <v>1</v>
      </c>
      <c r="M138" t="s">
        <v>191</v>
      </c>
      <c r="O138" t="s">
        <v>192</v>
      </c>
      <c r="P138">
        <v>41</v>
      </c>
      <c r="Q138">
        <v>4</v>
      </c>
      <c r="R138" t="s">
        <v>204</v>
      </c>
      <c r="S138" t="s">
        <v>214</v>
      </c>
      <c r="T138" t="s">
        <v>206</v>
      </c>
      <c r="U138" t="s">
        <v>207</v>
      </c>
      <c r="V138" t="s">
        <v>217</v>
      </c>
      <c r="W138" t="s">
        <v>192</v>
      </c>
      <c r="X138" t="s">
        <v>198</v>
      </c>
      <c r="Y138" t="s">
        <v>192</v>
      </c>
      <c r="AA138">
        <v>5</v>
      </c>
      <c r="AB138">
        <v>4</v>
      </c>
      <c r="AC138">
        <v>5</v>
      </c>
      <c r="AE138">
        <v>0</v>
      </c>
      <c r="AF138">
        <v>0</v>
      </c>
      <c r="AG138" t="s">
        <v>192</v>
      </c>
      <c r="AH138" t="s">
        <v>198</v>
      </c>
      <c r="AJ138" s="9">
        <v>7</v>
      </c>
      <c r="AK138" s="9">
        <v>41</v>
      </c>
      <c r="AL138" s="9">
        <v>0</v>
      </c>
      <c r="AM138" s="9">
        <v>48</v>
      </c>
      <c r="AN138" t="s">
        <v>389</v>
      </c>
    </row>
    <row r="139" spans="1:40" x14ac:dyDescent="0.2">
      <c r="A139" t="s">
        <v>185</v>
      </c>
      <c r="B139" t="s">
        <v>186</v>
      </c>
      <c r="C139">
        <v>23</v>
      </c>
      <c r="D139">
        <v>2040</v>
      </c>
      <c r="E139" t="s">
        <v>220</v>
      </c>
      <c r="F139">
        <v>3</v>
      </c>
      <c r="G139" t="s">
        <v>228</v>
      </c>
      <c r="H139" t="s">
        <v>189</v>
      </c>
      <c r="I139" t="s">
        <v>203</v>
      </c>
      <c r="J139">
        <v>5</v>
      </c>
      <c r="K139">
        <v>6</v>
      </c>
      <c r="L139">
        <v>1</v>
      </c>
      <c r="M139" t="s">
        <v>224</v>
      </c>
      <c r="N139" t="s">
        <v>225</v>
      </c>
      <c r="O139" t="s">
        <v>192</v>
      </c>
      <c r="P139">
        <v>51</v>
      </c>
      <c r="Q139">
        <v>8</v>
      </c>
      <c r="R139" t="s">
        <v>204</v>
      </c>
      <c r="S139" t="s">
        <v>205</v>
      </c>
      <c r="T139" t="s">
        <v>206</v>
      </c>
      <c r="U139" t="s">
        <v>207</v>
      </c>
      <c r="V139" t="s">
        <v>208</v>
      </c>
      <c r="W139" t="s">
        <v>192</v>
      </c>
      <c r="X139" t="s">
        <v>240</v>
      </c>
      <c r="Y139" t="s">
        <v>192</v>
      </c>
      <c r="AA139">
        <v>4</v>
      </c>
      <c r="AB139">
        <v>5</v>
      </c>
      <c r="AC139">
        <v>5</v>
      </c>
      <c r="AE139">
        <v>0</v>
      </c>
      <c r="AF139">
        <v>0</v>
      </c>
      <c r="AG139" t="s">
        <v>192</v>
      </c>
      <c r="AH139" t="s">
        <v>189</v>
      </c>
      <c r="AI139" t="s">
        <v>234</v>
      </c>
      <c r="AJ139" s="9">
        <v>6</v>
      </c>
      <c r="AK139" s="9">
        <v>51</v>
      </c>
      <c r="AL139" s="9">
        <v>0</v>
      </c>
      <c r="AM139" s="9">
        <v>57</v>
      </c>
      <c r="AN139" t="s">
        <v>390</v>
      </c>
    </row>
    <row r="140" spans="1:40" x14ac:dyDescent="0.2">
      <c r="A140" t="s">
        <v>185</v>
      </c>
      <c r="B140" t="s">
        <v>186</v>
      </c>
      <c r="C140">
        <v>24</v>
      </c>
      <c r="D140">
        <v>1756</v>
      </c>
      <c r="E140" t="s">
        <v>187</v>
      </c>
      <c r="F140">
        <v>1</v>
      </c>
      <c r="G140" t="s">
        <v>188</v>
      </c>
      <c r="H140" t="s">
        <v>189</v>
      </c>
      <c r="I140" t="s">
        <v>190</v>
      </c>
      <c r="J140">
        <v>8</v>
      </c>
      <c r="K140">
        <v>29</v>
      </c>
      <c r="L140">
        <v>7</v>
      </c>
      <c r="M140" t="s">
        <v>224</v>
      </c>
      <c r="N140" t="s">
        <v>225</v>
      </c>
      <c r="O140" t="s">
        <v>192</v>
      </c>
      <c r="P140">
        <v>168</v>
      </c>
      <c r="Q140">
        <v>40</v>
      </c>
      <c r="R140" t="s">
        <v>204</v>
      </c>
      <c r="S140" t="s">
        <v>205</v>
      </c>
      <c r="T140" t="s">
        <v>206</v>
      </c>
      <c r="U140" t="s">
        <v>207</v>
      </c>
      <c r="V140" t="s">
        <v>208</v>
      </c>
      <c r="W140" t="s">
        <v>192</v>
      </c>
      <c r="X140" t="s">
        <v>198</v>
      </c>
      <c r="Y140" t="s">
        <v>192</v>
      </c>
      <c r="AA140">
        <v>3</v>
      </c>
      <c r="AB140">
        <v>5</v>
      </c>
      <c r="AC140">
        <v>3</v>
      </c>
      <c r="AE140">
        <v>0</v>
      </c>
      <c r="AF140">
        <v>0</v>
      </c>
      <c r="AG140" t="s">
        <v>192</v>
      </c>
      <c r="AH140" t="s">
        <v>189</v>
      </c>
      <c r="AI140" t="s">
        <v>277</v>
      </c>
      <c r="AJ140" s="9">
        <v>29</v>
      </c>
      <c r="AK140" s="9">
        <v>168</v>
      </c>
      <c r="AL140" s="9">
        <v>0</v>
      </c>
      <c r="AM140" s="9">
        <v>197</v>
      </c>
      <c r="AN140" t="s">
        <v>391</v>
      </c>
    </row>
    <row r="141" spans="1:40" x14ac:dyDescent="0.2">
      <c r="A141" t="s">
        <v>185</v>
      </c>
      <c r="B141" t="s">
        <v>186</v>
      </c>
      <c r="C141">
        <v>24</v>
      </c>
      <c r="D141">
        <v>7417</v>
      </c>
      <c r="E141" t="s">
        <v>187</v>
      </c>
      <c r="F141">
        <v>2</v>
      </c>
      <c r="G141" t="s">
        <v>202</v>
      </c>
      <c r="H141" t="s">
        <v>189</v>
      </c>
      <c r="I141" t="s">
        <v>203</v>
      </c>
      <c r="J141">
        <v>8</v>
      </c>
      <c r="K141">
        <v>11</v>
      </c>
      <c r="L141">
        <v>9</v>
      </c>
      <c r="M141" t="s">
        <v>224</v>
      </c>
      <c r="N141" t="s">
        <v>239</v>
      </c>
      <c r="O141" t="s">
        <v>192</v>
      </c>
      <c r="P141">
        <v>8</v>
      </c>
      <c r="Q141">
        <v>7</v>
      </c>
      <c r="R141" t="s">
        <v>193</v>
      </c>
      <c r="S141" t="s">
        <v>194</v>
      </c>
      <c r="U141" t="s">
        <v>195</v>
      </c>
      <c r="V141" t="s">
        <v>196</v>
      </c>
      <c r="W141" t="s">
        <v>192</v>
      </c>
      <c r="X141" t="s">
        <v>198</v>
      </c>
      <c r="Y141" t="s">
        <v>192</v>
      </c>
      <c r="AA141">
        <v>2</v>
      </c>
      <c r="AB141">
        <v>1</v>
      </c>
      <c r="AC141">
        <v>3</v>
      </c>
      <c r="AE141">
        <v>1</v>
      </c>
      <c r="AF141">
        <v>0</v>
      </c>
      <c r="AG141" t="s">
        <v>192</v>
      </c>
      <c r="AH141" t="s">
        <v>198</v>
      </c>
      <c r="AI141" t="s">
        <v>244</v>
      </c>
      <c r="AJ141" s="9">
        <v>11</v>
      </c>
      <c r="AK141" s="9">
        <v>8</v>
      </c>
      <c r="AL141" s="9">
        <v>0</v>
      </c>
      <c r="AM141" s="9">
        <v>19</v>
      </c>
      <c r="AN141" t="s">
        <v>392</v>
      </c>
    </row>
    <row r="142" spans="1:40" x14ac:dyDescent="0.2">
      <c r="A142" t="s">
        <v>185</v>
      </c>
      <c r="B142" t="s">
        <v>186</v>
      </c>
      <c r="C142">
        <v>24</v>
      </c>
      <c r="D142">
        <v>3067</v>
      </c>
      <c r="E142" t="s">
        <v>187</v>
      </c>
      <c r="F142">
        <v>3</v>
      </c>
      <c r="G142" t="s">
        <v>211</v>
      </c>
      <c r="H142" t="s">
        <v>189</v>
      </c>
      <c r="I142" t="s">
        <v>212</v>
      </c>
      <c r="J142">
        <v>8</v>
      </c>
      <c r="K142">
        <v>6</v>
      </c>
      <c r="L142">
        <v>0</v>
      </c>
      <c r="M142" t="s">
        <v>191</v>
      </c>
      <c r="O142" t="s">
        <v>192</v>
      </c>
      <c r="P142">
        <v>39</v>
      </c>
      <c r="Q142">
        <v>1</v>
      </c>
      <c r="R142" t="s">
        <v>204</v>
      </c>
      <c r="S142" t="s">
        <v>214</v>
      </c>
      <c r="T142" t="s">
        <v>237</v>
      </c>
      <c r="U142" t="s">
        <v>216</v>
      </c>
      <c r="V142" t="s">
        <v>217</v>
      </c>
      <c r="W142" t="s">
        <v>192</v>
      </c>
      <c r="X142" t="s">
        <v>198</v>
      </c>
      <c r="Y142" t="s">
        <v>192</v>
      </c>
      <c r="AA142">
        <v>4</v>
      </c>
      <c r="AB142">
        <v>3</v>
      </c>
      <c r="AC142">
        <v>5</v>
      </c>
      <c r="AE142">
        <v>0</v>
      </c>
      <c r="AF142">
        <v>0</v>
      </c>
      <c r="AG142" t="s">
        <v>192</v>
      </c>
      <c r="AH142" t="s">
        <v>189</v>
      </c>
      <c r="AJ142" s="9">
        <v>6</v>
      </c>
      <c r="AK142" s="9">
        <v>39</v>
      </c>
      <c r="AL142" s="9">
        <v>0</v>
      </c>
      <c r="AM142" s="9">
        <v>45</v>
      </c>
      <c r="AN142" t="s">
        <v>393</v>
      </c>
    </row>
    <row r="143" spans="1:40" x14ac:dyDescent="0.2">
      <c r="A143" t="s">
        <v>185</v>
      </c>
      <c r="B143" t="s">
        <v>186</v>
      </c>
      <c r="C143">
        <v>24</v>
      </c>
      <c r="D143">
        <v>1625</v>
      </c>
      <c r="E143" t="s">
        <v>220</v>
      </c>
      <c r="F143">
        <v>1</v>
      </c>
      <c r="G143" t="s">
        <v>221</v>
      </c>
      <c r="H143" t="s">
        <v>189</v>
      </c>
      <c r="I143" t="s">
        <v>212</v>
      </c>
      <c r="J143">
        <v>8</v>
      </c>
      <c r="K143">
        <v>17</v>
      </c>
      <c r="L143">
        <v>6</v>
      </c>
      <c r="M143" t="s">
        <v>224</v>
      </c>
      <c r="N143" t="s">
        <v>239</v>
      </c>
      <c r="O143" t="s">
        <v>192</v>
      </c>
      <c r="P143">
        <v>45</v>
      </c>
      <c r="Q143">
        <v>15</v>
      </c>
      <c r="R143" t="s">
        <v>204</v>
      </c>
      <c r="S143" t="s">
        <v>205</v>
      </c>
      <c r="T143" t="s">
        <v>206</v>
      </c>
      <c r="U143" t="s">
        <v>207</v>
      </c>
      <c r="V143" t="s">
        <v>208</v>
      </c>
      <c r="W143" t="s">
        <v>192</v>
      </c>
      <c r="X143" t="s">
        <v>240</v>
      </c>
      <c r="Y143" t="s">
        <v>192</v>
      </c>
      <c r="AA143">
        <v>5</v>
      </c>
      <c r="AB143">
        <v>4</v>
      </c>
      <c r="AC143">
        <v>4</v>
      </c>
      <c r="AE143">
        <v>1</v>
      </c>
      <c r="AF143">
        <v>0</v>
      </c>
      <c r="AG143" t="s">
        <v>192</v>
      </c>
      <c r="AH143" t="s">
        <v>189</v>
      </c>
      <c r="AI143" t="s">
        <v>336</v>
      </c>
      <c r="AJ143" s="9">
        <v>17</v>
      </c>
      <c r="AK143" s="9">
        <v>45</v>
      </c>
      <c r="AL143" s="9">
        <v>0</v>
      </c>
      <c r="AM143" s="9">
        <v>62</v>
      </c>
      <c r="AN143" t="s">
        <v>394</v>
      </c>
    </row>
    <row r="144" spans="1:40" x14ac:dyDescent="0.2">
      <c r="A144" t="s">
        <v>185</v>
      </c>
      <c r="B144" t="s">
        <v>186</v>
      </c>
      <c r="C144">
        <v>24</v>
      </c>
      <c r="D144">
        <v>8029</v>
      </c>
      <c r="E144" t="s">
        <v>220</v>
      </c>
      <c r="F144">
        <v>2</v>
      </c>
      <c r="G144" t="s">
        <v>223</v>
      </c>
      <c r="H144" t="s">
        <v>189</v>
      </c>
      <c r="I144" t="s">
        <v>190</v>
      </c>
      <c r="J144">
        <v>5</v>
      </c>
      <c r="K144">
        <v>14</v>
      </c>
      <c r="L144">
        <v>10</v>
      </c>
      <c r="M144" t="s">
        <v>233</v>
      </c>
      <c r="N144" t="s">
        <v>225</v>
      </c>
      <c r="O144" t="s">
        <v>192</v>
      </c>
      <c r="P144">
        <v>7</v>
      </c>
      <c r="Q144">
        <v>5</v>
      </c>
      <c r="R144" t="s">
        <v>193</v>
      </c>
      <c r="S144" t="s">
        <v>194</v>
      </c>
      <c r="U144" t="s">
        <v>262</v>
      </c>
      <c r="V144" t="s">
        <v>196</v>
      </c>
      <c r="W144" t="s">
        <v>229</v>
      </c>
      <c r="X144" t="s">
        <v>198</v>
      </c>
      <c r="Y144" t="s">
        <v>192</v>
      </c>
      <c r="AA144">
        <v>2</v>
      </c>
      <c r="AB144">
        <v>2</v>
      </c>
      <c r="AC144">
        <v>1</v>
      </c>
      <c r="AE144">
        <v>0</v>
      </c>
      <c r="AF144">
        <v>0</v>
      </c>
      <c r="AG144" t="s">
        <v>192</v>
      </c>
      <c r="AH144" t="s">
        <v>199</v>
      </c>
      <c r="AI144" t="s">
        <v>244</v>
      </c>
      <c r="AJ144" s="9">
        <v>14</v>
      </c>
      <c r="AK144" s="9">
        <v>7</v>
      </c>
      <c r="AL144" s="9">
        <v>0</v>
      </c>
      <c r="AM144" s="9">
        <v>21</v>
      </c>
      <c r="AN144" t="s">
        <v>395</v>
      </c>
    </row>
    <row r="145" spans="1:40" x14ac:dyDescent="0.2">
      <c r="A145" t="s">
        <v>185</v>
      </c>
      <c r="B145" t="s">
        <v>186</v>
      </c>
      <c r="C145">
        <v>24</v>
      </c>
      <c r="D145">
        <v>4645</v>
      </c>
      <c r="E145" t="s">
        <v>220</v>
      </c>
      <c r="F145">
        <v>3</v>
      </c>
      <c r="G145" t="s">
        <v>228</v>
      </c>
      <c r="H145" t="s">
        <v>189</v>
      </c>
      <c r="I145" t="s">
        <v>212</v>
      </c>
      <c r="J145">
        <v>8</v>
      </c>
      <c r="K145">
        <v>3</v>
      </c>
      <c r="L145">
        <v>1</v>
      </c>
      <c r="M145" t="s">
        <v>191</v>
      </c>
      <c r="O145" t="s">
        <v>192</v>
      </c>
      <c r="P145">
        <v>29</v>
      </c>
      <c r="Q145">
        <v>6</v>
      </c>
      <c r="R145" t="s">
        <v>213</v>
      </c>
      <c r="S145" t="s">
        <v>214</v>
      </c>
      <c r="T145" t="s">
        <v>215</v>
      </c>
      <c r="U145" t="s">
        <v>216</v>
      </c>
      <c r="V145" t="s">
        <v>217</v>
      </c>
      <c r="W145" t="s">
        <v>192</v>
      </c>
      <c r="X145" t="s">
        <v>198</v>
      </c>
      <c r="Y145" t="s">
        <v>192</v>
      </c>
      <c r="AA145">
        <v>4</v>
      </c>
      <c r="AB145">
        <v>2</v>
      </c>
      <c r="AC145">
        <v>4</v>
      </c>
      <c r="AE145">
        <v>0</v>
      </c>
      <c r="AF145">
        <v>0</v>
      </c>
      <c r="AG145" t="s">
        <v>192</v>
      </c>
      <c r="AH145" t="s">
        <v>198</v>
      </c>
      <c r="AJ145" s="9">
        <v>3</v>
      </c>
      <c r="AK145" s="9">
        <v>29</v>
      </c>
      <c r="AL145" s="9">
        <v>0</v>
      </c>
      <c r="AM145" s="9">
        <v>32</v>
      </c>
      <c r="AN145" t="s">
        <v>396</v>
      </c>
    </row>
    <row r="146" spans="1:40" x14ac:dyDescent="0.2">
      <c r="A146" t="s">
        <v>185</v>
      </c>
      <c r="B146" t="s">
        <v>186</v>
      </c>
      <c r="C146">
        <v>25</v>
      </c>
      <c r="D146">
        <v>3284</v>
      </c>
      <c r="E146" t="s">
        <v>187</v>
      </c>
      <c r="F146">
        <v>1</v>
      </c>
      <c r="G146" t="s">
        <v>188</v>
      </c>
      <c r="H146" t="s">
        <v>189</v>
      </c>
      <c r="I146" t="s">
        <v>203</v>
      </c>
      <c r="J146">
        <v>8</v>
      </c>
      <c r="K146">
        <v>7</v>
      </c>
      <c r="L146">
        <v>4</v>
      </c>
      <c r="M146" t="s">
        <v>224</v>
      </c>
      <c r="O146" t="s">
        <v>192</v>
      </c>
      <c r="P146">
        <v>23</v>
      </c>
      <c r="Q146">
        <v>13</v>
      </c>
      <c r="R146" t="s">
        <v>193</v>
      </c>
      <c r="S146" t="s">
        <v>194</v>
      </c>
      <c r="U146" t="s">
        <v>195</v>
      </c>
      <c r="V146" t="s">
        <v>196</v>
      </c>
      <c r="W146" t="s">
        <v>229</v>
      </c>
      <c r="X146" t="s">
        <v>198</v>
      </c>
      <c r="Y146" t="s">
        <v>192</v>
      </c>
      <c r="AA146">
        <v>2</v>
      </c>
      <c r="AB146">
        <v>1</v>
      </c>
      <c r="AC146">
        <v>3</v>
      </c>
      <c r="AE146">
        <v>0</v>
      </c>
      <c r="AF146">
        <v>0</v>
      </c>
      <c r="AG146" t="s">
        <v>192</v>
      </c>
      <c r="AH146" t="s">
        <v>199</v>
      </c>
      <c r="AJ146" s="9">
        <v>7</v>
      </c>
      <c r="AK146" s="9">
        <v>23</v>
      </c>
      <c r="AL146" s="9">
        <v>0</v>
      </c>
      <c r="AM146" s="9">
        <v>30</v>
      </c>
      <c r="AN146" t="s">
        <v>397</v>
      </c>
    </row>
    <row r="147" spans="1:40" x14ac:dyDescent="0.2">
      <c r="A147" t="s">
        <v>185</v>
      </c>
      <c r="B147" t="s">
        <v>186</v>
      </c>
      <c r="C147">
        <v>25</v>
      </c>
      <c r="D147">
        <v>4213</v>
      </c>
      <c r="E147" t="s">
        <v>187</v>
      </c>
      <c r="F147">
        <v>2</v>
      </c>
      <c r="G147" t="s">
        <v>202</v>
      </c>
      <c r="H147" t="s">
        <v>189</v>
      </c>
      <c r="I147" t="s">
        <v>212</v>
      </c>
      <c r="J147">
        <v>8</v>
      </c>
      <c r="K147">
        <v>4</v>
      </c>
      <c r="L147">
        <v>1</v>
      </c>
      <c r="M147" t="s">
        <v>191</v>
      </c>
      <c r="O147" t="s">
        <v>192</v>
      </c>
      <c r="P147">
        <v>101</v>
      </c>
      <c r="Q147">
        <v>35</v>
      </c>
      <c r="R147" t="s">
        <v>204</v>
      </c>
      <c r="S147" t="s">
        <v>214</v>
      </c>
      <c r="T147" t="s">
        <v>237</v>
      </c>
      <c r="U147" t="s">
        <v>216</v>
      </c>
      <c r="V147" t="s">
        <v>217</v>
      </c>
      <c r="W147" t="s">
        <v>192</v>
      </c>
      <c r="X147" t="s">
        <v>198</v>
      </c>
      <c r="Y147" t="s">
        <v>192</v>
      </c>
      <c r="AA147">
        <v>3</v>
      </c>
      <c r="AB147">
        <v>5</v>
      </c>
      <c r="AC147">
        <v>2</v>
      </c>
      <c r="AE147">
        <v>0</v>
      </c>
      <c r="AF147">
        <v>0</v>
      </c>
      <c r="AG147" t="s">
        <v>192</v>
      </c>
      <c r="AH147" t="s">
        <v>198</v>
      </c>
      <c r="AI147" t="s">
        <v>378</v>
      </c>
      <c r="AJ147" s="9">
        <v>4</v>
      </c>
      <c r="AK147" s="9">
        <v>101</v>
      </c>
      <c r="AL147" s="9">
        <v>0</v>
      </c>
      <c r="AM147" s="9">
        <v>105</v>
      </c>
      <c r="AN147" t="s">
        <v>398</v>
      </c>
    </row>
    <row r="148" spans="1:40" x14ac:dyDescent="0.2">
      <c r="A148" t="s">
        <v>185</v>
      </c>
      <c r="B148" t="s">
        <v>186</v>
      </c>
      <c r="C148">
        <v>25</v>
      </c>
      <c r="D148">
        <v>6237</v>
      </c>
      <c r="E148" t="s">
        <v>187</v>
      </c>
      <c r="F148">
        <v>3</v>
      </c>
      <c r="G148" t="s">
        <v>211</v>
      </c>
      <c r="H148" t="s">
        <v>189</v>
      </c>
      <c r="I148" t="s">
        <v>203</v>
      </c>
      <c r="J148">
        <v>8</v>
      </c>
      <c r="K148">
        <v>2</v>
      </c>
      <c r="L148">
        <v>1</v>
      </c>
      <c r="M148" t="s">
        <v>191</v>
      </c>
      <c r="O148" t="s">
        <v>192</v>
      </c>
      <c r="P148">
        <v>33</v>
      </c>
      <c r="Q148">
        <v>13</v>
      </c>
      <c r="R148" t="s">
        <v>204</v>
      </c>
      <c r="S148" t="s">
        <v>205</v>
      </c>
      <c r="T148" t="s">
        <v>206</v>
      </c>
      <c r="U148" t="s">
        <v>207</v>
      </c>
      <c r="V148" t="s">
        <v>208</v>
      </c>
      <c r="W148" t="s">
        <v>192</v>
      </c>
      <c r="X148" t="s">
        <v>198</v>
      </c>
      <c r="Y148" t="s">
        <v>192</v>
      </c>
      <c r="AA148">
        <v>4</v>
      </c>
      <c r="AB148">
        <v>5</v>
      </c>
      <c r="AC148">
        <v>2</v>
      </c>
      <c r="AD148" t="s">
        <v>241</v>
      </c>
      <c r="AE148">
        <v>0</v>
      </c>
      <c r="AF148">
        <v>0</v>
      </c>
      <c r="AG148" t="s">
        <v>192</v>
      </c>
      <c r="AH148" t="s">
        <v>189</v>
      </c>
      <c r="AI148" t="s">
        <v>399</v>
      </c>
      <c r="AJ148" s="9">
        <v>2</v>
      </c>
      <c r="AK148" s="9">
        <v>33</v>
      </c>
      <c r="AL148" s="9">
        <v>0</v>
      </c>
      <c r="AM148" s="9">
        <v>35</v>
      </c>
      <c r="AN148" t="s">
        <v>400</v>
      </c>
    </row>
    <row r="149" spans="1:40" x14ac:dyDescent="0.2">
      <c r="A149" t="s">
        <v>185</v>
      </c>
      <c r="B149" t="s">
        <v>186</v>
      </c>
      <c r="C149">
        <v>25</v>
      </c>
      <c r="D149">
        <v>8020</v>
      </c>
      <c r="E149" t="s">
        <v>220</v>
      </c>
      <c r="F149">
        <v>1</v>
      </c>
      <c r="G149" t="s">
        <v>221</v>
      </c>
      <c r="H149" t="s">
        <v>189</v>
      </c>
      <c r="I149" t="s">
        <v>190</v>
      </c>
      <c r="J149">
        <v>8</v>
      </c>
      <c r="K149">
        <v>20</v>
      </c>
      <c r="L149">
        <v>3</v>
      </c>
      <c r="M149" t="s">
        <v>233</v>
      </c>
      <c r="N149" t="s">
        <v>225</v>
      </c>
      <c r="O149" t="s">
        <v>192</v>
      </c>
      <c r="P149">
        <v>20</v>
      </c>
      <c r="Q149">
        <v>3</v>
      </c>
      <c r="R149" t="s">
        <v>204</v>
      </c>
      <c r="S149" t="s">
        <v>205</v>
      </c>
      <c r="T149" t="s">
        <v>206</v>
      </c>
      <c r="U149" t="s">
        <v>207</v>
      </c>
      <c r="V149" t="s">
        <v>208</v>
      </c>
      <c r="W149" t="s">
        <v>192</v>
      </c>
      <c r="X149" t="s">
        <v>198</v>
      </c>
      <c r="Y149" t="s">
        <v>192</v>
      </c>
      <c r="AA149">
        <v>2</v>
      </c>
      <c r="AB149">
        <v>5</v>
      </c>
      <c r="AC149">
        <v>4</v>
      </c>
      <c r="AE149">
        <v>0</v>
      </c>
      <c r="AF149">
        <v>0</v>
      </c>
      <c r="AG149" t="s">
        <v>192</v>
      </c>
      <c r="AH149" t="s">
        <v>189</v>
      </c>
      <c r="AI149" t="s">
        <v>209</v>
      </c>
      <c r="AJ149" s="9">
        <v>20</v>
      </c>
      <c r="AK149" s="9">
        <v>20</v>
      </c>
      <c r="AL149" s="9">
        <v>0</v>
      </c>
      <c r="AM149" s="9">
        <v>40</v>
      </c>
      <c r="AN149" t="s">
        <v>401</v>
      </c>
    </row>
    <row r="150" spans="1:40" x14ac:dyDescent="0.2">
      <c r="A150" t="s">
        <v>185</v>
      </c>
      <c r="B150" t="s">
        <v>186</v>
      </c>
      <c r="C150">
        <v>25</v>
      </c>
      <c r="D150">
        <v>3488</v>
      </c>
      <c r="E150" t="s">
        <v>220</v>
      </c>
      <c r="F150">
        <v>2</v>
      </c>
      <c r="G150" t="s">
        <v>223</v>
      </c>
      <c r="H150" t="s">
        <v>189</v>
      </c>
      <c r="I150" t="s">
        <v>203</v>
      </c>
      <c r="J150">
        <v>8</v>
      </c>
      <c r="K150">
        <v>0</v>
      </c>
      <c r="L150">
        <v>0</v>
      </c>
      <c r="M150" t="s">
        <v>191</v>
      </c>
      <c r="O150" t="s">
        <v>192</v>
      </c>
      <c r="P150">
        <v>15</v>
      </c>
      <c r="Q150">
        <v>8</v>
      </c>
      <c r="R150" t="s">
        <v>213</v>
      </c>
      <c r="S150" t="s">
        <v>194</v>
      </c>
      <c r="T150" t="s">
        <v>237</v>
      </c>
      <c r="U150" t="s">
        <v>216</v>
      </c>
      <c r="V150" t="s">
        <v>246</v>
      </c>
      <c r="W150" t="s">
        <v>192</v>
      </c>
      <c r="X150" t="s">
        <v>198</v>
      </c>
      <c r="Y150" t="s">
        <v>192</v>
      </c>
      <c r="AA150">
        <v>3</v>
      </c>
      <c r="AB150">
        <v>3</v>
      </c>
      <c r="AC150">
        <v>3</v>
      </c>
      <c r="AE150">
        <v>0</v>
      </c>
      <c r="AF150">
        <v>0</v>
      </c>
      <c r="AG150" t="s">
        <v>192</v>
      </c>
      <c r="AH150" t="s">
        <v>198</v>
      </c>
      <c r="AJ150" s="9">
        <v>0</v>
      </c>
      <c r="AK150" s="9">
        <v>15</v>
      </c>
      <c r="AL150" s="9">
        <v>0</v>
      </c>
      <c r="AM150" s="9">
        <v>15</v>
      </c>
      <c r="AN150" t="s">
        <v>397</v>
      </c>
    </row>
    <row r="151" spans="1:40" x14ac:dyDescent="0.2">
      <c r="A151" t="s">
        <v>185</v>
      </c>
      <c r="B151" t="s">
        <v>186</v>
      </c>
      <c r="C151">
        <v>25</v>
      </c>
      <c r="D151">
        <v>4156</v>
      </c>
      <c r="E151" t="s">
        <v>220</v>
      </c>
      <c r="F151">
        <v>3</v>
      </c>
      <c r="G151" t="s">
        <v>228</v>
      </c>
      <c r="H151" t="s">
        <v>189</v>
      </c>
      <c r="I151" t="s">
        <v>190</v>
      </c>
      <c r="J151">
        <v>8</v>
      </c>
      <c r="K151">
        <v>2</v>
      </c>
      <c r="L151">
        <v>1</v>
      </c>
      <c r="M151" t="s">
        <v>191</v>
      </c>
      <c r="O151" t="s">
        <v>192</v>
      </c>
      <c r="P151">
        <v>1</v>
      </c>
      <c r="Q151">
        <v>0</v>
      </c>
      <c r="R151" t="s">
        <v>193</v>
      </c>
      <c r="S151" t="s">
        <v>194</v>
      </c>
      <c r="U151" t="s">
        <v>195</v>
      </c>
      <c r="V151" t="s">
        <v>196</v>
      </c>
      <c r="W151" t="s">
        <v>229</v>
      </c>
      <c r="X151" t="s">
        <v>198</v>
      </c>
      <c r="Y151" t="s">
        <v>192</v>
      </c>
      <c r="AA151">
        <v>2</v>
      </c>
      <c r="AB151">
        <v>2</v>
      </c>
      <c r="AC151">
        <v>4</v>
      </c>
      <c r="AE151">
        <v>0</v>
      </c>
      <c r="AF151">
        <v>0</v>
      </c>
      <c r="AG151" t="s">
        <v>192</v>
      </c>
      <c r="AH151" t="s">
        <v>198</v>
      </c>
      <c r="AI151" t="s">
        <v>244</v>
      </c>
      <c r="AJ151" s="9">
        <v>2</v>
      </c>
      <c r="AK151" s="9">
        <v>1</v>
      </c>
      <c r="AL151" s="9">
        <v>0</v>
      </c>
      <c r="AM151" s="9">
        <v>3</v>
      </c>
      <c r="AN151" t="s">
        <v>402</v>
      </c>
    </row>
    <row r="152" spans="1:40" x14ac:dyDescent="0.2">
      <c r="A152" t="s">
        <v>185</v>
      </c>
      <c r="B152" t="s">
        <v>186</v>
      </c>
      <c r="C152">
        <v>26</v>
      </c>
      <c r="D152">
        <v>6651</v>
      </c>
      <c r="E152" t="s">
        <v>187</v>
      </c>
      <c r="F152">
        <v>1</v>
      </c>
      <c r="G152" t="s">
        <v>188</v>
      </c>
      <c r="H152" t="s">
        <v>189</v>
      </c>
      <c r="I152" t="s">
        <v>203</v>
      </c>
      <c r="J152">
        <v>8</v>
      </c>
      <c r="K152">
        <v>4</v>
      </c>
      <c r="L152">
        <v>2</v>
      </c>
      <c r="M152" t="s">
        <v>191</v>
      </c>
      <c r="O152" t="s">
        <v>192</v>
      </c>
      <c r="P152">
        <v>20</v>
      </c>
      <c r="Q152">
        <v>9</v>
      </c>
      <c r="R152" t="s">
        <v>213</v>
      </c>
      <c r="S152" t="s">
        <v>194</v>
      </c>
      <c r="U152" t="s">
        <v>216</v>
      </c>
      <c r="V152" t="s">
        <v>246</v>
      </c>
      <c r="W152" t="s">
        <v>192</v>
      </c>
      <c r="X152" t="s">
        <v>198</v>
      </c>
      <c r="Y152" t="s">
        <v>192</v>
      </c>
      <c r="AA152">
        <v>2</v>
      </c>
      <c r="AB152">
        <v>2</v>
      </c>
      <c r="AC152">
        <v>4</v>
      </c>
      <c r="AE152">
        <v>0</v>
      </c>
      <c r="AF152">
        <v>0</v>
      </c>
      <c r="AG152" t="s">
        <v>192</v>
      </c>
      <c r="AH152" t="s">
        <v>198</v>
      </c>
      <c r="AJ152" s="9">
        <v>4</v>
      </c>
      <c r="AK152" s="9">
        <v>20</v>
      </c>
      <c r="AL152" s="9">
        <v>0</v>
      </c>
      <c r="AM152" s="9">
        <v>24</v>
      </c>
      <c r="AN152" t="s">
        <v>403</v>
      </c>
    </row>
    <row r="153" spans="1:40" x14ac:dyDescent="0.2">
      <c r="A153" t="s">
        <v>185</v>
      </c>
      <c r="B153" t="s">
        <v>186</v>
      </c>
      <c r="C153">
        <v>26</v>
      </c>
      <c r="D153">
        <v>7472</v>
      </c>
      <c r="E153" t="s">
        <v>187</v>
      </c>
      <c r="F153">
        <v>2</v>
      </c>
      <c r="G153" t="s">
        <v>202</v>
      </c>
      <c r="H153" t="s">
        <v>189</v>
      </c>
      <c r="I153" t="s">
        <v>190</v>
      </c>
      <c r="J153">
        <v>8</v>
      </c>
      <c r="K153">
        <v>2</v>
      </c>
      <c r="L153">
        <v>2</v>
      </c>
      <c r="M153" t="s">
        <v>191</v>
      </c>
      <c r="O153" t="s">
        <v>192</v>
      </c>
      <c r="P153">
        <v>8</v>
      </c>
      <c r="Q153">
        <v>8</v>
      </c>
      <c r="R153" t="s">
        <v>193</v>
      </c>
      <c r="S153" t="s">
        <v>194</v>
      </c>
      <c r="U153" t="s">
        <v>262</v>
      </c>
      <c r="V153" t="s">
        <v>196</v>
      </c>
      <c r="W153" t="s">
        <v>192</v>
      </c>
      <c r="X153" t="s">
        <v>198</v>
      </c>
      <c r="Y153" t="s">
        <v>192</v>
      </c>
      <c r="AA153">
        <v>1</v>
      </c>
      <c r="AB153">
        <v>1</v>
      </c>
      <c r="AC153">
        <v>1</v>
      </c>
      <c r="AE153">
        <v>2</v>
      </c>
      <c r="AF153">
        <v>0</v>
      </c>
      <c r="AG153" t="s">
        <v>192</v>
      </c>
      <c r="AH153" t="s">
        <v>198</v>
      </c>
      <c r="AI153" t="s">
        <v>244</v>
      </c>
      <c r="AJ153" s="9">
        <v>2</v>
      </c>
      <c r="AK153" s="9">
        <v>8</v>
      </c>
      <c r="AL153" s="9">
        <v>0</v>
      </c>
      <c r="AM153" s="9">
        <v>10</v>
      </c>
      <c r="AN153" t="s">
        <v>404</v>
      </c>
    </row>
    <row r="154" spans="1:40" x14ac:dyDescent="0.2">
      <c r="A154" t="s">
        <v>185</v>
      </c>
      <c r="B154" t="s">
        <v>186</v>
      </c>
      <c r="C154">
        <v>26</v>
      </c>
      <c r="D154">
        <v>7848</v>
      </c>
      <c r="E154" t="s">
        <v>187</v>
      </c>
      <c r="F154">
        <v>3</v>
      </c>
      <c r="G154" t="s">
        <v>211</v>
      </c>
      <c r="H154" t="s">
        <v>189</v>
      </c>
      <c r="I154" t="s">
        <v>203</v>
      </c>
      <c r="J154">
        <v>8</v>
      </c>
      <c r="K154">
        <v>0</v>
      </c>
      <c r="L154">
        <v>0</v>
      </c>
      <c r="M154" t="s">
        <v>191</v>
      </c>
      <c r="O154" t="s">
        <v>192</v>
      </c>
      <c r="P154">
        <v>52</v>
      </c>
      <c r="Q154">
        <v>19</v>
      </c>
      <c r="R154" t="s">
        <v>204</v>
      </c>
      <c r="S154" t="s">
        <v>214</v>
      </c>
      <c r="T154" t="s">
        <v>215</v>
      </c>
      <c r="U154" t="s">
        <v>216</v>
      </c>
      <c r="V154" t="s">
        <v>217</v>
      </c>
      <c r="W154" t="s">
        <v>229</v>
      </c>
      <c r="X154" t="s">
        <v>198</v>
      </c>
      <c r="Y154" t="s">
        <v>192</v>
      </c>
      <c r="AA154">
        <v>3</v>
      </c>
      <c r="AB154">
        <v>4</v>
      </c>
      <c r="AC154">
        <v>4</v>
      </c>
      <c r="AE154">
        <v>0</v>
      </c>
      <c r="AF154">
        <v>0</v>
      </c>
      <c r="AG154" t="s">
        <v>192</v>
      </c>
      <c r="AH154" t="s">
        <v>199</v>
      </c>
      <c r="AI154" t="s">
        <v>234</v>
      </c>
      <c r="AJ154" s="9">
        <v>0</v>
      </c>
      <c r="AK154" s="9">
        <v>52</v>
      </c>
      <c r="AL154" s="9">
        <v>0</v>
      </c>
      <c r="AM154" s="9">
        <v>52</v>
      </c>
      <c r="AN154" t="s">
        <v>405</v>
      </c>
    </row>
    <row r="155" spans="1:40" x14ac:dyDescent="0.2">
      <c r="A155" t="s">
        <v>185</v>
      </c>
      <c r="B155" t="s">
        <v>186</v>
      </c>
      <c r="C155">
        <v>26</v>
      </c>
      <c r="D155">
        <v>1736</v>
      </c>
      <c r="E155" t="s">
        <v>220</v>
      </c>
      <c r="F155">
        <v>1</v>
      </c>
      <c r="G155" t="s">
        <v>221</v>
      </c>
      <c r="H155" t="s">
        <v>189</v>
      </c>
      <c r="I155" t="s">
        <v>203</v>
      </c>
      <c r="J155">
        <v>5</v>
      </c>
      <c r="K155">
        <v>5</v>
      </c>
      <c r="L155">
        <v>2</v>
      </c>
      <c r="M155" t="s">
        <v>191</v>
      </c>
      <c r="O155" t="s">
        <v>192</v>
      </c>
      <c r="P155">
        <v>14</v>
      </c>
      <c r="Q155">
        <v>5</v>
      </c>
      <c r="R155" t="s">
        <v>213</v>
      </c>
      <c r="S155" t="s">
        <v>194</v>
      </c>
      <c r="T155" t="s">
        <v>215</v>
      </c>
      <c r="U155" t="s">
        <v>216</v>
      </c>
      <c r="V155" t="s">
        <v>246</v>
      </c>
      <c r="W155" t="s">
        <v>192</v>
      </c>
      <c r="X155" t="s">
        <v>198</v>
      </c>
      <c r="Y155" t="s">
        <v>192</v>
      </c>
      <c r="AA155">
        <v>3</v>
      </c>
      <c r="AB155">
        <v>2</v>
      </c>
      <c r="AC155">
        <v>2</v>
      </c>
      <c r="AE155">
        <v>0</v>
      </c>
      <c r="AF155">
        <v>0</v>
      </c>
      <c r="AG155" t="s">
        <v>192</v>
      </c>
      <c r="AH155" t="s">
        <v>199</v>
      </c>
      <c r="AJ155" s="9">
        <v>5</v>
      </c>
      <c r="AK155" s="9">
        <v>14</v>
      </c>
      <c r="AL155" s="9">
        <v>0</v>
      </c>
      <c r="AM155" s="9">
        <v>19</v>
      </c>
      <c r="AN155" t="s">
        <v>406</v>
      </c>
    </row>
    <row r="156" spans="1:40" x14ac:dyDescent="0.2">
      <c r="A156" t="s">
        <v>185</v>
      </c>
      <c r="B156" t="s">
        <v>186</v>
      </c>
      <c r="C156">
        <v>26</v>
      </c>
      <c r="D156">
        <v>4143</v>
      </c>
      <c r="E156" t="s">
        <v>220</v>
      </c>
      <c r="F156">
        <v>2</v>
      </c>
      <c r="G156" t="s">
        <v>223</v>
      </c>
      <c r="H156" t="s">
        <v>189</v>
      </c>
      <c r="I156" t="s">
        <v>212</v>
      </c>
      <c r="J156">
        <v>7</v>
      </c>
      <c r="K156">
        <v>28</v>
      </c>
      <c r="L156">
        <v>3</v>
      </c>
      <c r="M156" t="s">
        <v>233</v>
      </c>
      <c r="N156" t="s">
        <v>239</v>
      </c>
      <c r="O156" t="s">
        <v>192</v>
      </c>
      <c r="P156">
        <v>185</v>
      </c>
      <c r="Q156">
        <v>17</v>
      </c>
      <c r="R156" t="s">
        <v>204</v>
      </c>
      <c r="S156" t="s">
        <v>205</v>
      </c>
      <c r="T156" t="s">
        <v>206</v>
      </c>
      <c r="U156" t="s">
        <v>207</v>
      </c>
      <c r="V156" t="s">
        <v>208</v>
      </c>
      <c r="W156" t="s">
        <v>192</v>
      </c>
      <c r="X156" t="s">
        <v>198</v>
      </c>
      <c r="Y156" t="s">
        <v>192</v>
      </c>
      <c r="AA156">
        <v>4</v>
      </c>
      <c r="AB156">
        <v>5</v>
      </c>
      <c r="AC156">
        <v>5</v>
      </c>
      <c r="AE156">
        <v>0</v>
      </c>
      <c r="AF156">
        <v>0</v>
      </c>
      <c r="AG156" t="s">
        <v>192</v>
      </c>
      <c r="AH156" t="s">
        <v>189</v>
      </c>
      <c r="AI156" t="s">
        <v>378</v>
      </c>
      <c r="AJ156" s="9">
        <v>28</v>
      </c>
      <c r="AK156" s="9">
        <v>185</v>
      </c>
      <c r="AL156" s="9">
        <v>0</v>
      </c>
      <c r="AM156" s="9">
        <v>213</v>
      </c>
      <c r="AN156" t="s">
        <v>407</v>
      </c>
    </row>
    <row r="157" spans="1:40" x14ac:dyDescent="0.2">
      <c r="A157" t="s">
        <v>185</v>
      </c>
      <c r="B157" t="s">
        <v>186</v>
      </c>
      <c r="C157">
        <v>26</v>
      </c>
      <c r="D157">
        <v>9082</v>
      </c>
      <c r="E157" t="s">
        <v>220</v>
      </c>
      <c r="F157">
        <v>3</v>
      </c>
      <c r="G157" t="s">
        <v>228</v>
      </c>
      <c r="H157" t="s">
        <v>189</v>
      </c>
      <c r="I157" t="s">
        <v>190</v>
      </c>
      <c r="J157">
        <v>8</v>
      </c>
      <c r="K157">
        <v>5</v>
      </c>
      <c r="L157">
        <v>0</v>
      </c>
      <c r="M157" t="s">
        <v>191</v>
      </c>
      <c r="O157" t="s">
        <v>192</v>
      </c>
      <c r="P157">
        <v>63</v>
      </c>
      <c r="Q157">
        <v>5</v>
      </c>
      <c r="R157" t="s">
        <v>204</v>
      </c>
      <c r="S157" t="s">
        <v>205</v>
      </c>
      <c r="T157" t="s">
        <v>206</v>
      </c>
      <c r="U157" t="s">
        <v>207</v>
      </c>
      <c r="V157" t="s">
        <v>217</v>
      </c>
      <c r="W157" t="s">
        <v>192</v>
      </c>
      <c r="X157" t="s">
        <v>198</v>
      </c>
      <c r="Y157" t="s">
        <v>192</v>
      </c>
      <c r="AA157">
        <v>4</v>
      </c>
      <c r="AB157">
        <v>4</v>
      </c>
      <c r="AC157">
        <v>5</v>
      </c>
      <c r="AE157">
        <v>0</v>
      </c>
      <c r="AF157">
        <v>0</v>
      </c>
      <c r="AG157" t="s">
        <v>192</v>
      </c>
      <c r="AH157" t="s">
        <v>189</v>
      </c>
      <c r="AI157" t="s">
        <v>226</v>
      </c>
      <c r="AJ157" s="9">
        <v>5</v>
      </c>
      <c r="AK157" s="9">
        <v>63</v>
      </c>
      <c r="AL157" s="9">
        <v>0</v>
      </c>
      <c r="AM157" s="9">
        <v>68</v>
      </c>
      <c r="AN157" t="s">
        <v>408</v>
      </c>
    </row>
    <row r="158" spans="1:40" x14ac:dyDescent="0.2">
      <c r="A158" t="s">
        <v>185</v>
      </c>
      <c r="B158" t="s">
        <v>186</v>
      </c>
      <c r="C158">
        <v>27</v>
      </c>
      <c r="D158">
        <v>8029</v>
      </c>
      <c r="E158" t="s">
        <v>187</v>
      </c>
      <c r="F158">
        <v>1</v>
      </c>
      <c r="G158" t="s">
        <v>188</v>
      </c>
      <c r="H158" t="s">
        <v>189</v>
      </c>
      <c r="I158" t="s">
        <v>190</v>
      </c>
      <c r="J158">
        <v>5</v>
      </c>
      <c r="K158">
        <v>13</v>
      </c>
      <c r="L158">
        <v>6</v>
      </c>
      <c r="M158" t="s">
        <v>224</v>
      </c>
      <c r="N158" t="s">
        <v>239</v>
      </c>
      <c r="O158" t="s">
        <v>192</v>
      </c>
      <c r="P158">
        <v>19</v>
      </c>
      <c r="Q158">
        <v>9</v>
      </c>
      <c r="R158" t="s">
        <v>193</v>
      </c>
      <c r="S158" t="s">
        <v>194</v>
      </c>
      <c r="U158" t="s">
        <v>262</v>
      </c>
      <c r="V158" t="s">
        <v>196</v>
      </c>
      <c r="W158" t="s">
        <v>229</v>
      </c>
      <c r="X158" t="s">
        <v>198</v>
      </c>
      <c r="Y158" t="s">
        <v>192</v>
      </c>
      <c r="AA158">
        <v>1</v>
      </c>
      <c r="AB158">
        <v>2</v>
      </c>
      <c r="AC158">
        <v>2</v>
      </c>
      <c r="AE158">
        <v>0</v>
      </c>
      <c r="AF158">
        <v>0</v>
      </c>
      <c r="AG158" t="s">
        <v>192</v>
      </c>
      <c r="AH158" t="s">
        <v>199</v>
      </c>
      <c r="AJ158" s="9">
        <v>13</v>
      </c>
      <c r="AK158" s="9">
        <v>19</v>
      </c>
      <c r="AL158" s="9">
        <v>0</v>
      </c>
      <c r="AM158" s="9">
        <v>32</v>
      </c>
      <c r="AN158" t="s">
        <v>409</v>
      </c>
    </row>
    <row r="159" spans="1:40" x14ac:dyDescent="0.2">
      <c r="A159" t="s">
        <v>185</v>
      </c>
      <c r="B159" t="s">
        <v>186</v>
      </c>
      <c r="C159">
        <v>27</v>
      </c>
      <c r="D159">
        <v>4423</v>
      </c>
      <c r="E159" t="s">
        <v>187</v>
      </c>
      <c r="F159">
        <v>2</v>
      </c>
      <c r="G159" t="s">
        <v>202</v>
      </c>
      <c r="H159" t="s">
        <v>189</v>
      </c>
      <c r="I159" t="s">
        <v>203</v>
      </c>
      <c r="J159">
        <v>8</v>
      </c>
      <c r="K159">
        <v>0</v>
      </c>
      <c r="L159">
        <v>0</v>
      </c>
      <c r="M159" t="s">
        <v>191</v>
      </c>
      <c r="O159" t="s">
        <v>192</v>
      </c>
      <c r="P159">
        <v>28</v>
      </c>
      <c r="Q159">
        <v>13</v>
      </c>
      <c r="R159" t="s">
        <v>204</v>
      </c>
      <c r="S159" t="s">
        <v>214</v>
      </c>
      <c r="T159" t="s">
        <v>206</v>
      </c>
      <c r="U159" t="s">
        <v>207</v>
      </c>
      <c r="V159" t="s">
        <v>217</v>
      </c>
      <c r="W159" t="s">
        <v>192</v>
      </c>
      <c r="X159" t="s">
        <v>198</v>
      </c>
      <c r="Y159" t="s">
        <v>192</v>
      </c>
      <c r="AA159">
        <v>4</v>
      </c>
      <c r="AB159">
        <v>4</v>
      </c>
      <c r="AC159">
        <v>3</v>
      </c>
      <c r="AD159" t="s">
        <v>292</v>
      </c>
      <c r="AE159">
        <v>0</v>
      </c>
      <c r="AF159">
        <v>0</v>
      </c>
      <c r="AG159" t="s">
        <v>192</v>
      </c>
      <c r="AH159" t="s">
        <v>199</v>
      </c>
      <c r="AI159" t="s">
        <v>274</v>
      </c>
      <c r="AJ159" s="9">
        <v>0</v>
      </c>
      <c r="AK159" s="9">
        <v>28</v>
      </c>
      <c r="AL159" s="9">
        <v>0</v>
      </c>
      <c r="AM159" s="9">
        <v>28</v>
      </c>
      <c r="AN159" t="s">
        <v>410</v>
      </c>
    </row>
    <row r="160" spans="1:40" x14ac:dyDescent="0.2">
      <c r="A160" t="s">
        <v>185</v>
      </c>
      <c r="B160" t="s">
        <v>186</v>
      </c>
      <c r="C160">
        <v>27</v>
      </c>
      <c r="D160">
        <v>648</v>
      </c>
      <c r="E160" t="s">
        <v>187</v>
      </c>
      <c r="F160">
        <v>3</v>
      </c>
      <c r="G160" t="s">
        <v>211</v>
      </c>
      <c r="H160" t="s">
        <v>189</v>
      </c>
      <c r="I160" t="s">
        <v>190</v>
      </c>
      <c r="J160">
        <v>8</v>
      </c>
      <c r="K160">
        <v>10</v>
      </c>
      <c r="L160">
        <v>3</v>
      </c>
      <c r="M160" t="s">
        <v>224</v>
      </c>
      <c r="N160" t="s">
        <v>225</v>
      </c>
      <c r="O160" t="s">
        <v>192</v>
      </c>
      <c r="P160">
        <v>24</v>
      </c>
      <c r="Q160">
        <v>8</v>
      </c>
      <c r="R160" t="s">
        <v>213</v>
      </c>
      <c r="S160" t="s">
        <v>194</v>
      </c>
      <c r="U160" t="s">
        <v>250</v>
      </c>
      <c r="V160" t="s">
        <v>246</v>
      </c>
      <c r="W160" t="s">
        <v>229</v>
      </c>
      <c r="X160" t="s">
        <v>198</v>
      </c>
      <c r="Y160" t="s">
        <v>192</v>
      </c>
      <c r="AA160">
        <v>2</v>
      </c>
      <c r="AB160">
        <v>3</v>
      </c>
      <c r="AC160">
        <v>4</v>
      </c>
      <c r="AD160" t="s">
        <v>331</v>
      </c>
      <c r="AE160">
        <v>0</v>
      </c>
      <c r="AF160">
        <v>0</v>
      </c>
      <c r="AG160" t="s">
        <v>192</v>
      </c>
      <c r="AH160" t="s">
        <v>198</v>
      </c>
      <c r="AJ160" s="9">
        <v>10</v>
      </c>
      <c r="AK160" s="9">
        <v>24</v>
      </c>
      <c r="AL160" s="9">
        <v>0</v>
      </c>
      <c r="AM160" s="9">
        <v>34</v>
      </c>
      <c r="AN160" t="s">
        <v>411</v>
      </c>
    </row>
    <row r="161" spans="1:40" x14ac:dyDescent="0.2">
      <c r="A161" t="s">
        <v>185</v>
      </c>
      <c r="B161" t="s">
        <v>186</v>
      </c>
      <c r="C161">
        <v>27</v>
      </c>
      <c r="D161">
        <v>4655</v>
      </c>
      <c r="E161" t="s">
        <v>220</v>
      </c>
      <c r="F161">
        <v>1</v>
      </c>
      <c r="G161" t="s">
        <v>221</v>
      </c>
      <c r="H161" t="s">
        <v>189</v>
      </c>
      <c r="I161" t="s">
        <v>190</v>
      </c>
      <c r="J161">
        <v>8</v>
      </c>
      <c r="K161">
        <v>17</v>
      </c>
      <c r="L161">
        <v>6</v>
      </c>
      <c r="M161" t="s">
        <v>224</v>
      </c>
      <c r="N161" t="s">
        <v>225</v>
      </c>
      <c r="O161" t="s">
        <v>192</v>
      </c>
      <c r="P161">
        <v>27</v>
      </c>
      <c r="Q161">
        <v>9</v>
      </c>
      <c r="R161" t="s">
        <v>204</v>
      </c>
      <c r="S161" t="s">
        <v>214</v>
      </c>
      <c r="T161" t="s">
        <v>206</v>
      </c>
      <c r="U161" t="s">
        <v>207</v>
      </c>
      <c r="V161" t="s">
        <v>217</v>
      </c>
      <c r="W161" t="s">
        <v>192</v>
      </c>
      <c r="X161" t="s">
        <v>229</v>
      </c>
      <c r="Y161" t="s">
        <v>192</v>
      </c>
      <c r="AA161">
        <v>4</v>
      </c>
      <c r="AB161">
        <v>4</v>
      </c>
      <c r="AC161">
        <v>3</v>
      </c>
      <c r="AE161">
        <v>0</v>
      </c>
      <c r="AF161">
        <v>0</v>
      </c>
      <c r="AG161" t="s">
        <v>192</v>
      </c>
      <c r="AH161" t="s">
        <v>198</v>
      </c>
      <c r="AJ161" s="9">
        <v>17</v>
      </c>
      <c r="AK161" s="9">
        <v>27</v>
      </c>
      <c r="AL161" s="9">
        <v>0</v>
      </c>
      <c r="AM161" s="9">
        <v>44</v>
      </c>
      <c r="AN161" t="s">
        <v>412</v>
      </c>
    </row>
    <row r="162" spans="1:40" x14ac:dyDescent="0.2">
      <c r="A162" t="s">
        <v>185</v>
      </c>
      <c r="B162" t="s">
        <v>186</v>
      </c>
      <c r="C162">
        <v>27</v>
      </c>
      <c r="D162">
        <v>5442</v>
      </c>
      <c r="E162" t="s">
        <v>220</v>
      </c>
      <c r="F162">
        <v>2</v>
      </c>
      <c r="G162" t="s">
        <v>223</v>
      </c>
      <c r="H162" t="s">
        <v>189</v>
      </c>
      <c r="I162" t="s">
        <v>212</v>
      </c>
      <c r="J162">
        <v>8</v>
      </c>
      <c r="K162">
        <v>0</v>
      </c>
      <c r="L162">
        <v>0</v>
      </c>
      <c r="O162" t="s">
        <v>192</v>
      </c>
      <c r="P162">
        <v>116</v>
      </c>
      <c r="Q162">
        <v>48</v>
      </c>
      <c r="R162" t="s">
        <v>213</v>
      </c>
      <c r="S162" t="s">
        <v>214</v>
      </c>
      <c r="T162" t="s">
        <v>215</v>
      </c>
      <c r="U162" t="s">
        <v>216</v>
      </c>
      <c r="V162" t="s">
        <v>246</v>
      </c>
      <c r="W162" t="s">
        <v>192</v>
      </c>
      <c r="X162" t="s">
        <v>198</v>
      </c>
      <c r="Y162" t="s">
        <v>192</v>
      </c>
      <c r="AA162">
        <v>2</v>
      </c>
      <c r="AB162">
        <v>3</v>
      </c>
      <c r="AC162">
        <v>5</v>
      </c>
      <c r="AD162" t="s">
        <v>331</v>
      </c>
      <c r="AE162">
        <v>0</v>
      </c>
      <c r="AF162">
        <v>0</v>
      </c>
      <c r="AG162" t="s">
        <v>192</v>
      </c>
      <c r="AH162" t="s">
        <v>198</v>
      </c>
      <c r="AI162" t="s">
        <v>378</v>
      </c>
      <c r="AJ162" s="9">
        <v>0</v>
      </c>
      <c r="AK162" s="9">
        <v>116</v>
      </c>
      <c r="AL162" s="9">
        <v>0</v>
      </c>
      <c r="AM162" s="9">
        <v>116</v>
      </c>
      <c r="AN162" t="s">
        <v>413</v>
      </c>
    </row>
    <row r="163" spans="1:40" x14ac:dyDescent="0.2">
      <c r="A163" t="s">
        <v>185</v>
      </c>
      <c r="B163" t="s">
        <v>186</v>
      </c>
      <c r="C163">
        <v>27</v>
      </c>
      <c r="D163">
        <v>8096</v>
      </c>
      <c r="E163" t="s">
        <v>220</v>
      </c>
      <c r="F163">
        <v>3</v>
      </c>
      <c r="G163" t="s">
        <v>228</v>
      </c>
      <c r="H163" t="s">
        <v>189</v>
      </c>
      <c r="I163" t="s">
        <v>203</v>
      </c>
      <c r="J163">
        <v>8</v>
      </c>
      <c r="K163">
        <v>22</v>
      </c>
      <c r="L163">
        <v>9</v>
      </c>
      <c r="M163" t="s">
        <v>233</v>
      </c>
      <c r="N163" t="s">
        <v>225</v>
      </c>
      <c r="O163" t="s">
        <v>192</v>
      </c>
      <c r="P163">
        <v>30</v>
      </c>
      <c r="Q163">
        <v>13</v>
      </c>
      <c r="R163" t="s">
        <v>213</v>
      </c>
      <c r="S163" t="s">
        <v>214</v>
      </c>
      <c r="T163" t="s">
        <v>215</v>
      </c>
      <c r="U163" t="s">
        <v>216</v>
      </c>
      <c r="V163" t="s">
        <v>246</v>
      </c>
      <c r="W163" t="s">
        <v>192</v>
      </c>
      <c r="X163" t="s">
        <v>198</v>
      </c>
      <c r="Y163" t="s">
        <v>192</v>
      </c>
      <c r="AA163">
        <v>3</v>
      </c>
      <c r="AB163">
        <v>3</v>
      </c>
      <c r="AC163">
        <v>3</v>
      </c>
      <c r="AD163" t="s">
        <v>331</v>
      </c>
      <c r="AE163">
        <v>0</v>
      </c>
      <c r="AF163">
        <v>0</v>
      </c>
      <c r="AG163" t="s">
        <v>192</v>
      </c>
      <c r="AH163" t="s">
        <v>189</v>
      </c>
      <c r="AJ163" s="9">
        <v>22</v>
      </c>
      <c r="AK163" s="9">
        <v>30</v>
      </c>
      <c r="AL163" s="9">
        <v>0</v>
      </c>
      <c r="AM163" s="9">
        <v>52</v>
      </c>
      <c r="AN163" t="s">
        <v>414</v>
      </c>
    </row>
    <row r="164" spans="1:40" x14ac:dyDescent="0.2">
      <c r="A164" t="s">
        <v>185</v>
      </c>
      <c r="B164" t="s">
        <v>186</v>
      </c>
      <c r="C164">
        <v>28</v>
      </c>
      <c r="D164">
        <v>2481</v>
      </c>
      <c r="E164" t="s">
        <v>187</v>
      </c>
      <c r="F164">
        <v>1</v>
      </c>
      <c r="G164" t="s">
        <v>188</v>
      </c>
      <c r="H164" t="s">
        <v>189</v>
      </c>
      <c r="I164" t="s">
        <v>190</v>
      </c>
      <c r="J164">
        <v>8</v>
      </c>
      <c r="K164">
        <v>74</v>
      </c>
      <c r="L164">
        <v>20</v>
      </c>
      <c r="M164" t="s">
        <v>233</v>
      </c>
      <c r="N164" t="s">
        <v>239</v>
      </c>
      <c r="O164" t="s">
        <v>192</v>
      </c>
      <c r="P164">
        <v>250</v>
      </c>
      <c r="Q164">
        <v>68</v>
      </c>
      <c r="R164" t="s">
        <v>204</v>
      </c>
      <c r="S164" t="s">
        <v>205</v>
      </c>
      <c r="T164" t="s">
        <v>206</v>
      </c>
      <c r="U164" t="s">
        <v>207</v>
      </c>
      <c r="V164" t="s">
        <v>208</v>
      </c>
      <c r="W164" t="s">
        <v>192</v>
      </c>
      <c r="X164" t="s">
        <v>229</v>
      </c>
      <c r="Y164" t="s">
        <v>192</v>
      </c>
      <c r="AA164">
        <v>4</v>
      </c>
      <c r="AB164">
        <v>5</v>
      </c>
      <c r="AC164">
        <v>3</v>
      </c>
      <c r="AE164">
        <v>0</v>
      </c>
      <c r="AF164">
        <v>0</v>
      </c>
      <c r="AG164" t="s">
        <v>192</v>
      </c>
      <c r="AH164" t="s">
        <v>189</v>
      </c>
      <c r="AI164" t="s">
        <v>279</v>
      </c>
      <c r="AJ164" s="9">
        <v>74</v>
      </c>
      <c r="AK164" s="9">
        <v>250</v>
      </c>
      <c r="AL164" s="9">
        <v>0</v>
      </c>
      <c r="AM164" s="9">
        <v>324</v>
      </c>
      <c r="AN164" t="s">
        <v>415</v>
      </c>
    </row>
    <row r="165" spans="1:40" x14ac:dyDescent="0.2">
      <c r="A165" t="s">
        <v>185</v>
      </c>
      <c r="B165" t="s">
        <v>186</v>
      </c>
      <c r="C165">
        <v>28</v>
      </c>
      <c r="D165">
        <v>3284</v>
      </c>
      <c r="E165" t="s">
        <v>187</v>
      </c>
      <c r="F165">
        <v>2</v>
      </c>
      <c r="G165" t="s">
        <v>202</v>
      </c>
      <c r="H165" t="s">
        <v>189</v>
      </c>
      <c r="I165" t="s">
        <v>203</v>
      </c>
      <c r="J165">
        <v>8</v>
      </c>
      <c r="K165">
        <v>12</v>
      </c>
      <c r="L165">
        <v>5</v>
      </c>
      <c r="M165" t="s">
        <v>233</v>
      </c>
      <c r="N165" t="s">
        <v>225</v>
      </c>
      <c r="O165" t="s">
        <v>192</v>
      </c>
      <c r="P165">
        <v>19</v>
      </c>
      <c r="Q165">
        <v>8</v>
      </c>
      <c r="R165" t="s">
        <v>193</v>
      </c>
      <c r="S165" t="s">
        <v>194</v>
      </c>
      <c r="U165" t="s">
        <v>195</v>
      </c>
      <c r="V165" t="s">
        <v>196</v>
      </c>
      <c r="W165" t="s">
        <v>197</v>
      </c>
      <c r="X165" t="s">
        <v>198</v>
      </c>
      <c r="Y165" t="s">
        <v>192</v>
      </c>
      <c r="AA165">
        <v>2</v>
      </c>
      <c r="AB165">
        <v>1</v>
      </c>
      <c r="AC165">
        <v>5</v>
      </c>
      <c r="AE165">
        <v>0</v>
      </c>
      <c r="AF165">
        <v>0</v>
      </c>
      <c r="AG165" t="s">
        <v>192</v>
      </c>
      <c r="AH165" t="s">
        <v>198</v>
      </c>
      <c r="AI165" t="s">
        <v>260</v>
      </c>
      <c r="AJ165" s="9">
        <v>12</v>
      </c>
      <c r="AK165" s="9">
        <v>19</v>
      </c>
      <c r="AL165" s="9">
        <v>0</v>
      </c>
      <c r="AM165" s="9">
        <v>31</v>
      </c>
      <c r="AN165" t="s">
        <v>416</v>
      </c>
    </row>
    <row r="166" spans="1:40" x14ac:dyDescent="0.2">
      <c r="A166" t="s">
        <v>185</v>
      </c>
      <c r="B166" t="s">
        <v>186</v>
      </c>
      <c r="C166">
        <v>28</v>
      </c>
      <c r="D166">
        <v>1625</v>
      </c>
      <c r="E166" t="s">
        <v>187</v>
      </c>
      <c r="F166">
        <v>3</v>
      </c>
      <c r="G166" t="s">
        <v>211</v>
      </c>
      <c r="H166" t="s">
        <v>189</v>
      </c>
      <c r="I166" t="s">
        <v>212</v>
      </c>
      <c r="J166">
        <v>8</v>
      </c>
      <c r="K166">
        <v>20</v>
      </c>
      <c r="L166">
        <v>6</v>
      </c>
      <c r="M166" t="s">
        <v>224</v>
      </c>
      <c r="N166" t="s">
        <v>225</v>
      </c>
      <c r="O166" t="s">
        <v>192</v>
      </c>
      <c r="P166">
        <v>86</v>
      </c>
      <c r="Q166">
        <v>27</v>
      </c>
      <c r="R166" t="s">
        <v>204</v>
      </c>
      <c r="S166" t="s">
        <v>205</v>
      </c>
      <c r="T166" t="s">
        <v>206</v>
      </c>
      <c r="U166" t="s">
        <v>207</v>
      </c>
      <c r="V166" t="s">
        <v>208</v>
      </c>
      <c r="W166" t="s">
        <v>192</v>
      </c>
      <c r="X166" t="s">
        <v>229</v>
      </c>
      <c r="Y166" t="s">
        <v>192</v>
      </c>
      <c r="AA166">
        <v>4</v>
      </c>
      <c r="AB166">
        <v>5</v>
      </c>
      <c r="AC166">
        <v>4</v>
      </c>
      <c r="AE166">
        <v>0</v>
      </c>
      <c r="AF166">
        <v>0</v>
      </c>
      <c r="AG166" t="s">
        <v>192</v>
      </c>
      <c r="AH166" t="s">
        <v>189</v>
      </c>
      <c r="AI166" t="s">
        <v>226</v>
      </c>
      <c r="AJ166" s="9">
        <v>20</v>
      </c>
      <c r="AK166" s="9">
        <v>86</v>
      </c>
      <c r="AL166" s="9">
        <v>0</v>
      </c>
      <c r="AM166" s="9">
        <v>106</v>
      </c>
      <c r="AN166" t="s">
        <v>417</v>
      </c>
    </row>
    <row r="167" spans="1:40" x14ac:dyDescent="0.2">
      <c r="A167" t="s">
        <v>185</v>
      </c>
      <c r="B167" t="s">
        <v>186</v>
      </c>
      <c r="C167">
        <v>28</v>
      </c>
      <c r="D167">
        <v>4213</v>
      </c>
      <c r="E167" t="s">
        <v>220</v>
      </c>
      <c r="F167">
        <v>1</v>
      </c>
      <c r="G167" t="s">
        <v>221</v>
      </c>
      <c r="H167" t="s">
        <v>189</v>
      </c>
      <c r="I167" t="s">
        <v>212</v>
      </c>
      <c r="J167">
        <v>8</v>
      </c>
      <c r="K167">
        <v>5</v>
      </c>
      <c r="L167">
        <v>1</v>
      </c>
      <c r="M167" t="s">
        <v>191</v>
      </c>
      <c r="O167" t="s">
        <v>192</v>
      </c>
      <c r="P167">
        <v>37</v>
      </c>
      <c r="Q167">
        <v>11</v>
      </c>
      <c r="R167" t="s">
        <v>204</v>
      </c>
      <c r="S167" t="s">
        <v>214</v>
      </c>
      <c r="T167" t="s">
        <v>237</v>
      </c>
      <c r="U167" t="s">
        <v>216</v>
      </c>
      <c r="V167" t="s">
        <v>217</v>
      </c>
      <c r="W167" t="s">
        <v>192</v>
      </c>
      <c r="X167" t="s">
        <v>198</v>
      </c>
      <c r="Y167" t="s">
        <v>192</v>
      </c>
      <c r="AA167">
        <v>2</v>
      </c>
      <c r="AB167">
        <v>3</v>
      </c>
      <c r="AC167">
        <v>4</v>
      </c>
      <c r="AE167">
        <v>1</v>
      </c>
      <c r="AF167">
        <v>0</v>
      </c>
      <c r="AG167" t="s">
        <v>192</v>
      </c>
      <c r="AH167" t="s">
        <v>199</v>
      </c>
      <c r="AJ167" s="9">
        <v>5</v>
      </c>
      <c r="AK167" s="9">
        <v>37</v>
      </c>
      <c r="AL167" s="9">
        <v>0</v>
      </c>
      <c r="AM167" s="9">
        <v>42</v>
      </c>
      <c r="AN167" t="s">
        <v>418</v>
      </c>
    </row>
    <row r="168" spans="1:40" x14ac:dyDescent="0.2">
      <c r="A168" t="s">
        <v>185</v>
      </c>
      <c r="B168" t="s">
        <v>186</v>
      </c>
      <c r="C168">
        <v>28</v>
      </c>
      <c r="D168">
        <v>2040</v>
      </c>
      <c r="E168" t="s">
        <v>220</v>
      </c>
      <c r="F168">
        <v>2</v>
      </c>
      <c r="G168" t="s">
        <v>223</v>
      </c>
      <c r="H168" t="s">
        <v>189</v>
      </c>
      <c r="I168" t="s">
        <v>203</v>
      </c>
      <c r="J168">
        <v>5</v>
      </c>
      <c r="K168">
        <v>28</v>
      </c>
      <c r="L168">
        <v>7</v>
      </c>
      <c r="M168" t="s">
        <v>224</v>
      </c>
      <c r="N168" t="s">
        <v>225</v>
      </c>
      <c r="O168" t="s">
        <v>192</v>
      </c>
      <c r="P168">
        <v>118</v>
      </c>
      <c r="Q168">
        <v>30</v>
      </c>
      <c r="R168" t="s">
        <v>204</v>
      </c>
      <c r="S168" t="s">
        <v>205</v>
      </c>
      <c r="T168" t="s">
        <v>206</v>
      </c>
      <c r="U168" t="s">
        <v>207</v>
      </c>
      <c r="V168" t="s">
        <v>208</v>
      </c>
      <c r="W168" t="s">
        <v>192</v>
      </c>
      <c r="X168" t="s">
        <v>229</v>
      </c>
      <c r="Y168" t="s">
        <v>192</v>
      </c>
      <c r="AA168">
        <v>5</v>
      </c>
      <c r="AB168">
        <v>4</v>
      </c>
      <c r="AC168">
        <v>5</v>
      </c>
      <c r="AE168">
        <v>0</v>
      </c>
      <c r="AF168">
        <v>0</v>
      </c>
      <c r="AG168" t="s">
        <v>192</v>
      </c>
      <c r="AH168" t="s">
        <v>189</v>
      </c>
      <c r="AI168" t="s">
        <v>378</v>
      </c>
      <c r="AJ168" s="9">
        <v>28</v>
      </c>
      <c r="AK168" s="9">
        <v>118</v>
      </c>
      <c r="AL168" s="9">
        <v>0</v>
      </c>
      <c r="AM168" s="9">
        <v>146</v>
      </c>
      <c r="AN168" t="s">
        <v>419</v>
      </c>
    </row>
    <row r="169" spans="1:40" x14ac:dyDescent="0.2">
      <c r="A169" t="s">
        <v>185</v>
      </c>
      <c r="B169" t="s">
        <v>186</v>
      </c>
      <c r="C169">
        <v>28</v>
      </c>
      <c r="D169">
        <v>2039</v>
      </c>
      <c r="E169" t="s">
        <v>220</v>
      </c>
      <c r="F169">
        <v>3</v>
      </c>
      <c r="G169" t="s">
        <v>228</v>
      </c>
      <c r="H169" t="s">
        <v>189</v>
      </c>
      <c r="I169" t="s">
        <v>190</v>
      </c>
      <c r="J169">
        <v>8</v>
      </c>
      <c r="K169">
        <v>1</v>
      </c>
      <c r="L169">
        <v>1</v>
      </c>
      <c r="M169" t="s">
        <v>191</v>
      </c>
      <c r="O169" t="s">
        <v>192</v>
      </c>
      <c r="P169">
        <v>2</v>
      </c>
      <c r="Q169">
        <v>2</v>
      </c>
      <c r="R169" t="s">
        <v>193</v>
      </c>
      <c r="S169" t="s">
        <v>194</v>
      </c>
      <c r="U169" t="s">
        <v>195</v>
      </c>
      <c r="V169" t="s">
        <v>196</v>
      </c>
      <c r="W169" t="s">
        <v>229</v>
      </c>
      <c r="X169" t="s">
        <v>198</v>
      </c>
      <c r="Y169" t="s">
        <v>420</v>
      </c>
      <c r="Z169" t="s">
        <v>421</v>
      </c>
      <c r="AA169">
        <v>1</v>
      </c>
      <c r="AB169">
        <v>1</v>
      </c>
      <c r="AC169">
        <v>2</v>
      </c>
      <c r="AE169">
        <v>1</v>
      </c>
      <c r="AF169">
        <v>0</v>
      </c>
      <c r="AG169" t="s">
        <v>192</v>
      </c>
      <c r="AH169" t="s">
        <v>198</v>
      </c>
      <c r="AI169" t="s">
        <v>422</v>
      </c>
      <c r="AJ169" s="9">
        <v>1</v>
      </c>
      <c r="AK169" s="9">
        <v>2</v>
      </c>
      <c r="AL169" s="9">
        <v>0</v>
      </c>
      <c r="AM169" s="9">
        <v>3</v>
      </c>
      <c r="AN169" t="s">
        <v>423</v>
      </c>
    </row>
    <row r="170" spans="1:40" x14ac:dyDescent="0.2">
      <c r="A170" t="s">
        <v>185</v>
      </c>
      <c r="B170" t="s">
        <v>186</v>
      </c>
      <c r="C170">
        <v>29</v>
      </c>
      <c r="D170">
        <v>4143</v>
      </c>
      <c r="E170" t="s">
        <v>187</v>
      </c>
      <c r="F170">
        <v>1</v>
      </c>
      <c r="G170" t="s">
        <v>188</v>
      </c>
      <c r="H170" t="s">
        <v>189</v>
      </c>
      <c r="I170" t="s">
        <v>212</v>
      </c>
      <c r="J170">
        <v>7</v>
      </c>
      <c r="K170">
        <v>23</v>
      </c>
      <c r="L170">
        <v>2</v>
      </c>
      <c r="M170" t="s">
        <v>224</v>
      </c>
      <c r="N170" t="s">
        <v>225</v>
      </c>
      <c r="O170" t="s">
        <v>192</v>
      </c>
      <c r="P170">
        <v>65</v>
      </c>
      <c r="Q170">
        <v>5</v>
      </c>
      <c r="R170" t="s">
        <v>204</v>
      </c>
      <c r="S170" t="s">
        <v>205</v>
      </c>
      <c r="T170" t="s">
        <v>206</v>
      </c>
      <c r="U170" t="s">
        <v>207</v>
      </c>
      <c r="V170" t="s">
        <v>208</v>
      </c>
      <c r="W170" t="s">
        <v>192</v>
      </c>
      <c r="X170" t="s">
        <v>198</v>
      </c>
      <c r="Y170" t="s">
        <v>192</v>
      </c>
      <c r="AA170">
        <v>4</v>
      </c>
      <c r="AB170">
        <v>4</v>
      </c>
      <c r="AC170">
        <v>5</v>
      </c>
      <c r="AE170">
        <v>0</v>
      </c>
      <c r="AF170">
        <v>0</v>
      </c>
      <c r="AG170" t="s">
        <v>192</v>
      </c>
      <c r="AH170" t="s">
        <v>189</v>
      </c>
      <c r="AI170" t="s">
        <v>313</v>
      </c>
      <c r="AJ170" s="9">
        <v>23</v>
      </c>
      <c r="AK170" s="9">
        <v>65</v>
      </c>
      <c r="AL170" s="9">
        <v>0</v>
      </c>
      <c r="AM170" s="9">
        <v>88</v>
      </c>
      <c r="AN170" t="s">
        <v>424</v>
      </c>
    </row>
    <row r="171" spans="1:40" x14ac:dyDescent="0.2">
      <c r="A171" t="s">
        <v>185</v>
      </c>
      <c r="B171" t="s">
        <v>186</v>
      </c>
      <c r="C171">
        <v>29</v>
      </c>
      <c r="D171">
        <v>8719</v>
      </c>
      <c r="E171" t="s">
        <v>187</v>
      </c>
      <c r="F171">
        <v>2</v>
      </c>
      <c r="G171" t="s">
        <v>202</v>
      </c>
      <c r="H171" t="s">
        <v>189</v>
      </c>
      <c r="I171" t="s">
        <v>190</v>
      </c>
      <c r="J171">
        <v>5</v>
      </c>
      <c r="K171">
        <v>6</v>
      </c>
      <c r="L171">
        <v>3</v>
      </c>
      <c r="M171" t="s">
        <v>233</v>
      </c>
      <c r="N171" t="s">
        <v>239</v>
      </c>
      <c r="O171" t="s">
        <v>192</v>
      </c>
      <c r="P171">
        <v>2</v>
      </c>
      <c r="Q171">
        <v>1</v>
      </c>
      <c r="R171" t="s">
        <v>193</v>
      </c>
      <c r="S171" t="s">
        <v>194</v>
      </c>
      <c r="U171" t="s">
        <v>250</v>
      </c>
      <c r="V171" t="s">
        <v>196</v>
      </c>
      <c r="W171" t="s">
        <v>229</v>
      </c>
      <c r="X171" t="s">
        <v>198</v>
      </c>
      <c r="Y171" t="s">
        <v>192</v>
      </c>
      <c r="AA171">
        <v>1</v>
      </c>
      <c r="AB171">
        <v>1</v>
      </c>
      <c r="AC171">
        <v>2</v>
      </c>
      <c r="AE171">
        <v>0</v>
      </c>
      <c r="AF171">
        <v>0</v>
      </c>
      <c r="AG171" t="s">
        <v>192</v>
      </c>
      <c r="AH171" t="s">
        <v>198</v>
      </c>
      <c r="AI171" t="s">
        <v>244</v>
      </c>
      <c r="AJ171" s="9">
        <v>6</v>
      </c>
      <c r="AK171" s="9">
        <v>2</v>
      </c>
      <c r="AL171" s="9">
        <v>0</v>
      </c>
      <c r="AM171" s="9">
        <v>8</v>
      </c>
      <c r="AN171" t="s">
        <v>425</v>
      </c>
    </row>
    <row r="172" spans="1:40" x14ac:dyDescent="0.2">
      <c r="A172" t="s">
        <v>185</v>
      </c>
      <c r="B172" t="s">
        <v>186</v>
      </c>
      <c r="C172">
        <v>29</v>
      </c>
      <c r="D172">
        <v>3488</v>
      </c>
      <c r="E172" t="s">
        <v>187</v>
      </c>
      <c r="F172">
        <v>3</v>
      </c>
      <c r="G172" t="s">
        <v>211</v>
      </c>
      <c r="H172" t="s">
        <v>189</v>
      </c>
      <c r="I172" t="s">
        <v>203</v>
      </c>
      <c r="J172">
        <v>8</v>
      </c>
      <c r="K172">
        <v>0</v>
      </c>
      <c r="L172">
        <v>0</v>
      </c>
      <c r="M172" t="s">
        <v>191</v>
      </c>
      <c r="O172" t="s">
        <v>192</v>
      </c>
      <c r="P172">
        <v>22</v>
      </c>
      <c r="Q172">
        <v>16</v>
      </c>
      <c r="R172" t="s">
        <v>213</v>
      </c>
      <c r="S172" t="s">
        <v>194</v>
      </c>
      <c r="T172" t="s">
        <v>237</v>
      </c>
      <c r="U172" t="s">
        <v>216</v>
      </c>
      <c r="V172" t="s">
        <v>246</v>
      </c>
      <c r="W172" t="s">
        <v>192</v>
      </c>
      <c r="X172" t="s">
        <v>198</v>
      </c>
      <c r="Y172" t="s">
        <v>192</v>
      </c>
      <c r="AA172">
        <v>2</v>
      </c>
      <c r="AB172">
        <v>3</v>
      </c>
      <c r="AC172">
        <v>2</v>
      </c>
      <c r="AE172">
        <v>0</v>
      </c>
      <c r="AF172">
        <v>0</v>
      </c>
      <c r="AG172" t="s">
        <v>192</v>
      </c>
      <c r="AH172" t="s">
        <v>198</v>
      </c>
      <c r="AJ172" s="9">
        <v>0</v>
      </c>
      <c r="AK172" s="9">
        <v>22</v>
      </c>
      <c r="AL172" s="9">
        <v>0</v>
      </c>
      <c r="AM172" s="9">
        <v>22</v>
      </c>
      <c r="AN172" t="s">
        <v>426</v>
      </c>
    </row>
    <row r="173" spans="1:40" x14ac:dyDescent="0.2">
      <c r="A173" t="s">
        <v>185</v>
      </c>
      <c r="B173" t="s">
        <v>186</v>
      </c>
      <c r="C173">
        <v>29</v>
      </c>
      <c r="D173">
        <v>6651</v>
      </c>
      <c r="E173" t="s">
        <v>220</v>
      </c>
      <c r="F173">
        <v>1</v>
      </c>
      <c r="G173" t="s">
        <v>221</v>
      </c>
      <c r="H173" t="s">
        <v>189</v>
      </c>
      <c r="I173" t="s">
        <v>203</v>
      </c>
      <c r="J173">
        <v>8</v>
      </c>
      <c r="K173">
        <v>7</v>
      </c>
      <c r="L173">
        <v>3</v>
      </c>
      <c r="M173" t="s">
        <v>191</v>
      </c>
      <c r="O173" t="s">
        <v>192</v>
      </c>
      <c r="P173">
        <v>11</v>
      </c>
      <c r="Q173">
        <v>4</v>
      </c>
      <c r="R173" t="s">
        <v>213</v>
      </c>
      <c r="S173" t="s">
        <v>194</v>
      </c>
      <c r="U173" t="s">
        <v>216</v>
      </c>
      <c r="V173" t="s">
        <v>246</v>
      </c>
      <c r="W173" t="s">
        <v>192</v>
      </c>
      <c r="X173" t="s">
        <v>198</v>
      </c>
      <c r="Y173" t="s">
        <v>192</v>
      </c>
      <c r="AA173">
        <v>1</v>
      </c>
      <c r="AB173">
        <v>2</v>
      </c>
      <c r="AC173">
        <v>2</v>
      </c>
      <c r="AE173">
        <v>0</v>
      </c>
      <c r="AF173">
        <v>0</v>
      </c>
      <c r="AG173" t="s">
        <v>192</v>
      </c>
      <c r="AH173" t="s">
        <v>198</v>
      </c>
      <c r="AJ173" s="9">
        <v>7</v>
      </c>
      <c r="AK173" s="9">
        <v>11</v>
      </c>
      <c r="AL173" s="9">
        <v>0</v>
      </c>
      <c r="AM173" s="9">
        <v>18</v>
      </c>
      <c r="AN173" t="s">
        <v>427</v>
      </c>
    </row>
    <row r="174" spans="1:40" x14ac:dyDescent="0.2">
      <c r="A174" t="s">
        <v>185</v>
      </c>
      <c r="B174" t="s">
        <v>186</v>
      </c>
      <c r="C174">
        <v>29</v>
      </c>
      <c r="D174">
        <v>4787</v>
      </c>
      <c r="E174" t="s">
        <v>220</v>
      </c>
      <c r="F174">
        <v>2</v>
      </c>
      <c r="G174" t="s">
        <v>223</v>
      </c>
      <c r="H174" t="s">
        <v>189</v>
      </c>
      <c r="I174" t="s">
        <v>212</v>
      </c>
      <c r="J174">
        <v>7</v>
      </c>
      <c r="K174">
        <v>0</v>
      </c>
      <c r="L174">
        <v>0</v>
      </c>
      <c r="M174" t="s">
        <v>191</v>
      </c>
      <c r="O174" t="s">
        <v>192</v>
      </c>
      <c r="P174">
        <v>12</v>
      </c>
      <c r="Q174">
        <v>6</v>
      </c>
      <c r="R174" t="s">
        <v>213</v>
      </c>
      <c r="S174" t="s">
        <v>214</v>
      </c>
      <c r="T174" t="s">
        <v>215</v>
      </c>
      <c r="U174" t="s">
        <v>216</v>
      </c>
      <c r="V174" t="s">
        <v>246</v>
      </c>
      <c r="W174" t="s">
        <v>192</v>
      </c>
      <c r="X174" t="s">
        <v>198</v>
      </c>
      <c r="Y174" t="s">
        <v>192</v>
      </c>
      <c r="AA174">
        <v>3</v>
      </c>
      <c r="AB174">
        <v>2</v>
      </c>
      <c r="AC174">
        <v>3</v>
      </c>
      <c r="AE174">
        <v>0</v>
      </c>
      <c r="AF174">
        <v>0</v>
      </c>
      <c r="AG174" t="s">
        <v>192</v>
      </c>
      <c r="AH174" t="s">
        <v>189</v>
      </c>
      <c r="AJ174" s="9">
        <v>0</v>
      </c>
      <c r="AK174" s="9">
        <v>12</v>
      </c>
      <c r="AL174" s="9">
        <v>0</v>
      </c>
      <c r="AM174" s="9">
        <v>12</v>
      </c>
      <c r="AN174" t="s">
        <v>428</v>
      </c>
    </row>
    <row r="175" spans="1:40" x14ac:dyDescent="0.2">
      <c r="A175" t="s">
        <v>185</v>
      </c>
      <c r="B175" t="s">
        <v>186</v>
      </c>
      <c r="C175">
        <v>29</v>
      </c>
      <c r="D175">
        <v>3067</v>
      </c>
      <c r="E175" t="s">
        <v>220</v>
      </c>
      <c r="F175">
        <v>3</v>
      </c>
      <c r="G175" t="s">
        <v>228</v>
      </c>
      <c r="H175" t="s">
        <v>189</v>
      </c>
      <c r="I175" t="s">
        <v>212</v>
      </c>
      <c r="J175">
        <v>8</v>
      </c>
      <c r="K175">
        <v>2</v>
      </c>
      <c r="L175">
        <v>1</v>
      </c>
      <c r="M175" t="s">
        <v>191</v>
      </c>
      <c r="O175" t="s">
        <v>192</v>
      </c>
      <c r="P175">
        <v>12</v>
      </c>
      <c r="Q175">
        <v>3</v>
      </c>
      <c r="R175" t="s">
        <v>204</v>
      </c>
      <c r="S175" t="s">
        <v>214</v>
      </c>
      <c r="T175" t="s">
        <v>237</v>
      </c>
      <c r="U175" t="s">
        <v>216</v>
      </c>
      <c r="V175" t="s">
        <v>217</v>
      </c>
      <c r="W175" t="s">
        <v>192</v>
      </c>
      <c r="X175" t="s">
        <v>198</v>
      </c>
      <c r="Y175" t="s">
        <v>192</v>
      </c>
      <c r="AA175">
        <v>5</v>
      </c>
      <c r="AB175">
        <v>3</v>
      </c>
      <c r="AC175">
        <v>5</v>
      </c>
      <c r="AE175">
        <v>0</v>
      </c>
      <c r="AF175">
        <v>0</v>
      </c>
      <c r="AG175" t="s">
        <v>192</v>
      </c>
      <c r="AH175" t="s">
        <v>198</v>
      </c>
      <c r="AJ175" s="9">
        <v>2</v>
      </c>
      <c r="AK175" s="9">
        <v>12</v>
      </c>
      <c r="AL175" s="9">
        <v>0</v>
      </c>
      <c r="AM175" s="9">
        <v>14</v>
      </c>
      <c r="AN175" t="s">
        <v>429</v>
      </c>
    </row>
    <row r="176" spans="1:40" x14ac:dyDescent="0.2">
      <c r="A176" t="s">
        <v>185</v>
      </c>
      <c r="B176" t="s">
        <v>186</v>
      </c>
      <c r="C176">
        <v>30</v>
      </c>
      <c r="D176">
        <v>2022</v>
      </c>
      <c r="E176" t="s">
        <v>187</v>
      </c>
      <c r="F176">
        <v>1</v>
      </c>
      <c r="G176" t="s">
        <v>188</v>
      </c>
      <c r="H176" t="s">
        <v>189</v>
      </c>
      <c r="I176" t="s">
        <v>190</v>
      </c>
      <c r="J176">
        <v>8</v>
      </c>
      <c r="K176">
        <v>2</v>
      </c>
      <c r="L176">
        <v>0</v>
      </c>
      <c r="M176" t="s">
        <v>191</v>
      </c>
      <c r="O176" t="s">
        <v>192</v>
      </c>
      <c r="P176">
        <v>40</v>
      </c>
      <c r="Q176">
        <v>9</v>
      </c>
      <c r="R176" t="s">
        <v>213</v>
      </c>
      <c r="S176" t="s">
        <v>214</v>
      </c>
      <c r="T176" t="s">
        <v>215</v>
      </c>
      <c r="U176" t="s">
        <v>216</v>
      </c>
      <c r="V176" t="s">
        <v>217</v>
      </c>
      <c r="W176" t="s">
        <v>192</v>
      </c>
      <c r="X176" t="s">
        <v>198</v>
      </c>
      <c r="Y176" t="s">
        <v>192</v>
      </c>
      <c r="AA176">
        <v>1</v>
      </c>
      <c r="AB176">
        <v>2</v>
      </c>
      <c r="AC176">
        <v>4</v>
      </c>
      <c r="AE176">
        <v>0</v>
      </c>
      <c r="AF176">
        <v>0</v>
      </c>
      <c r="AG176" t="s">
        <v>192</v>
      </c>
      <c r="AH176" t="s">
        <v>199</v>
      </c>
      <c r="AJ176" s="9">
        <v>2</v>
      </c>
      <c r="AK176" s="9">
        <v>40</v>
      </c>
      <c r="AL176" s="9">
        <v>0</v>
      </c>
      <c r="AM176" s="9">
        <v>42</v>
      </c>
      <c r="AN176" t="s">
        <v>430</v>
      </c>
    </row>
    <row r="177" spans="1:40" x14ac:dyDescent="0.2">
      <c r="A177" t="s">
        <v>185</v>
      </c>
      <c r="B177" t="s">
        <v>186</v>
      </c>
      <c r="C177">
        <v>30</v>
      </c>
      <c r="D177">
        <v>4096</v>
      </c>
      <c r="E177" t="s">
        <v>187</v>
      </c>
      <c r="F177">
        <v>2</v>
      </c>
      <c r="G177" t="s">
        <v>202</v>
      </c>
      <c r="H177" t="s">
        <v>189</v>
      </c>
      <c r="I177" t="s">
        <v>190</v>
      </c>
      <c r="J177">
        <v>8</v>
      </c>
      <c r="K177">
        <v>8</v>
      </c>
      <c r="L177">
        <v>2</v>
      </c>
      <c r="M177" t="s">
        <v>191</v>
      </c>
      <c r="O177" t="s">
        <v>192</v>
      </c>
      <c r="P177">
        <v>70</v>
      </c>
      <c r="Q177">
        <v>16</v>
      </c>
      <c r="R177" t="s">
        <v>204</v>
      </c>
      <c r="S177" t="s">
        <v>214</v>
      </c>
      <c r="T177" t="s">
        <v>206</v>
      </c>
      <c r="U177" t="s">
        <v>207</v>
      </c>
      <c r="V177" t="s">
        <v>217</v>
      </c>
      <c r="W177" t="s">
        <v>192</v>
      </c>
      <c r="X177" t="s">
        <v>198</v>
      </c>
      <c r="Y177" t="s">
        <v>192</v>
      </c>
      <c r="AA177">
        <v>3</v>
      </c>
      <c r="AB177">
        <v>4</v>
      </c>
      <c r="AC177">
        <v>3</v>
      </c>
      <c r="AE177">
        <v>0</v>
      </c>
      <c r="AF177">
        <v>0</v>
      </c>
      <c r="AG177" t="s">
        <v>192</v>
      </c>
      <c r="AH177" t="s">
        <v>189</v>
      </c>
      <c r="AI177" t="s">
        <v>234</v>
      </c>
      <c r="AJ177" s="9">
        <v>8</v>
      </c>
      <c r="AK177" s="9">
        <v>70</v>
      </c>
      <c r="AL177" s="9">
        <v>0</v>
      </c>
      <c r="AM177" s="9">
        <v>78</v>
      </c>
      <c r="AN177" t="s">
        <v>431</v>
      </c>
    </row>
    <row r="178" spans="1:40" x14ac:dyDescent="0.2">
      <c r="A178" t="s">
        <v>185</v>
      </c>
      <c r="B178" t="s">
        <v>186</v>
      </c>
      <c r="C178">
        <v>30</v>
      </c>
      <c r="D178">
        <v>8020</v>
      </c>
      <c r="E178" t="s">
        <v>187</v>
      </c>
      <c r="F178">
        <v>3</v>
      </c>
      <c r="G178" t="s">
        <v>211</v>
      </c>
      <c r="H178" t="s">
        <v>189</v>
      </c>
      <c r="I178" t="s">
        <v>190</v>
      </c>
      <c r="J178">
        <v>8</v>
      </c>
      <c r="K178">
        <v>21</v>
      </c>
      <c r="L178">
        <v>5</v>
      </c>
      <c r="M178" t="s">
        <v>224</v>
      </c>
      <c r="N178" t="s">
        <v>225</v>
      </c>
      <c r="O178" t="s">
        <v>192</v>
      </c>
      <c r="P178">
        <v>93</v>
      </c>
      <c r="Q178">
        <v>24</v>
      </c>
      <c r="R178" t="s">
        <v>204</v>
      </c>
      <c r="S178" t="s">
        <v>205</v>
      </c>
      <c r="T178" t="s">
        <v>206</v>
      </c>
      <c r="U178" t="s">
        <v>207</v>
      </c>
      <c r="V178" t="s">
        <v>208</v>
      </c>
      <c r="W178" t="s">
        <v>192</v>
      </c>
      <c r="X178" t="s">
        <v>240</v>
      </c>
      <c r="Y178" t="s">
        <v>192</v>
      </c>
      <c r="AA178">
        <v>5</v>
      </c>
      <c r="AB178">
        <v>3</v>
      </c>
      <c r="AC178">
        <v>5</v>
      </c>
      <c r="AD178" t="s">
        <v>292</v>
      </c>
      <c r="AE178">
        <v>1</v>
      </c>
      <c r="AF178">
        <v>0</v>
      </c>
      <c r="AG178" t="s">
        <v>192</v>
      </c>
      <c r="AH178" t="s">
        <v>189</v>
      </c>
      <c r="AI178" t="s">
        <v>277</v>
      </c>
      <c r="AJ178" s="9">
        <v>21</v>
      </c>
      <c r="AK178" s="9">
        <v>93</v>
      </c>
      <c r="AL178" s="9">
        <v>0</v>
      </c>
      <c r="AM178" s="9">
        <v>114</v>
      </c>
      <c r="AN178" t="s">
        <v>432</v>
      </c>
    </row>
    <row r="179" spans="1:40" x14ac:dyDescent="0.2">
      <c r="A179" t="s">
        <v>185</v>
      </c>
      <c r="B179" t="s">
        <v>186</v>
      </c>
      <c r="C179">
        <v>30</v>
      </c>
      <c r="D179">
        <v>7848</v>
      </c>
      <c r="E179" t="s">
        <v>220</v>
      </c>
      <c r="F179">
        <v>1</v>
      </c>
      <c r="G179" t="s">
        <v>221</v>
      </c>
      <c r="H179" t="s">
        <v>189</v>
      </c>
      <c r="I179" t="s">
        <v>203</v>
      </c>
      <c r="J179">
        <v>8</v>
      </c>
      <c r="K179">
        <v>5</v>
      </c>
      <c r="L179">
        <v>2</v>
      </c>
      <c r="M179" t="s">
        <v>191</v>
      </c>
      <c r="O179" t="s">
        <v>192</v>
      </c>
      <c r="P179">
        <v>26</v>
      </c>
      <c r="Q179">
        <v>12</v>
      </c>
      <c r="R179" t="s">
        <v>204</v>
      </c>
      <c r="S179" t="s">
        <v>214</v>
      </c>
      <c r="T179" t="s">
        <v>215</v>
      </c>
      <c r="U179" t="s">
        <v>216</v>
      </c>
      <c r="V179" t="s">
        <v>217</v>
      </c>
      <c r="W179" t="s">
        <v>192</v>
      </c>
      <c r="X179" t="s">
        <v>198</v>
      </c>
      <c r="Y179" t="s">
        <v>192</v>
      </c>
      <c r="AA179">
        <v>4</v>
      </c>
      <c r="AB179">
        <v>2</v>
      </c>
      <c r="AC179">
        <v>4</v>
      </c>
      <c r="AE179">
        <v>0</v>
      </c>
      <c r="AF179">
        <v>0</v>
      </c>
      <c r="AG179" t="s">
        <v>192</v>
      </c>
      <c r="AH179" t="s">
        <v>199</v>
      </c>
      <c r="AJ179" s="9">
        <v>5</v>
      </c>
      <c r="AK179" s="9">
        <v>26</v>
      </c>
      <c r="AL179" s="9">
        <v>0</v>
      </c>
      <c r="AM179" s="9">
        <v>31</v>
      </c>
      <c r="AN179" t="s">
        <v>433</v>
      </c>
    </row>
    <row r="180" spans="1:40" x14ac:dyDescent="0.2">
      <c r="A180" t="s">
        <v>185</v>
      </c>
      <c r="B180" t="s">
        <v>186</v>
      </c>
      <c r="C180">
        <v>30</v>
      </c>
      <c r="D180">
        <v>1736</v>
      </c>
      <c r="E180" t="s">
        <v>220</v>
      </c>
      <c r="F180">
        <v>2</v>
      </c>
      <c r="G180" t="s">
        <v>223</v>
      </c>
      <c r="H180" t="s">
        <v>189</v>
      </c>
      <c r="I180" t="s">
        <v>203</v>
      </c>
      <c r="J180">
        <v>5</v>
      </c>
      <c r="K180">
        <v>7</v>
      </c>
      <c r="L180">
        <v>3</v>
      </c>
      <c r="M180" t="s">
        <v>233</v>
      </c>
      <c r="N180" t="s">
        <v>239</v>
      </c>
      <c r="O180" t="s">
        <v>192</v>
      </c>
      <c r="P180">
        <v>11</v>
      </c>
      <c r="Q180">
        <v>5</v>
      </c>
      <c r="R180" t="s">
        <v>213</v>
      </c>
      <c r="S180" t="s">
        <v>194</v>
      </c>
      <c r="T180" t="s">
        <v>215</v>
      </c>
      <c r="U180" t="s">
        <v>216</v>
      </c>
      <c r="V180" t="s">
        <v>246</v>
      </c>
      <c r="W180" t="s">
        <v>192</v>
      </c>
      <c r="X180" t="s">
        <v>198</v>
      </c>
      <c r="Y180" t="s">
        <v>192</v>
      </c>
      <c r="AA180">
        <v>2</v>
      </c>
      <c r="AB180">
        <v>3</v>
      </c>
      <c r="AC180">
        <v>4</v>
      </c>
      <c r="AE180">
        <v>0</v>
      </c>
      <c r="AF180">
        <v>0</v>
      </c>
      <c r="AG180" t="s">
        <v>192</v>
      </c>
      <c r="AH180" t="s">
        <v>198</v>
      </c>
      <c r="AJ180" s="9">
        <v>7</v>
      </c>
      <c r="AK180" s="9">
        <v>11</v>
      </c>
      <c r="AL180" s="9">
        <v>0</v>
      </c>
      <c r="AM180" s="9">
        <v>18</v>
      </c>
      <c r="AN180" t="s">
        <v>434</v>
      </c>
    </row>
    <row r="181" spans="1:40" x14ac:dyDescent="0.2">
      <c r="A181" t="s">
        <v>185</v>
      </c>
      <c r="B181" t="s">
        <v>186</v>
      </c>
      <c r="C181">
        <v>30</v>
      </c>
      <c r="D181">
        <v>4645</v>
      </c>
      <c r="E181" t="s">
        <v>220</v>
      </c>
      <c r="F181">
        <v>3</v>
      </c>
      <c r="G181" t="s">
        <v>228</v>
      </c>
      <c r="H181" t="s">
        <v>189</v>
      </c>
      <c r="I181" t="s">
        <v>212</v>
      </c>
      <c r="J181">
        <v>8</v>
      </c>
      <c r="K181">
        <v>5</v>
      </c>
      <c r="L181">
        <v>1</v>
      </c>
      <c r="M181" t="s">
        <v>191</v>
      </c>
      <c r="O181" t="s">
        <v>192</v>
      </c>
      <c r="P181">
        <v>30</v>
      </c>
      <c r="Q181">
        <v>8</v>
      </c>
      <c r="R181" t="s">
        <v>213</v>
      </c>
      <c r="S181" t="s">
        <v>214</v>
      </c>
      <c r="T181" t="s">
        <v>215</v>
      </c>
      <c r="U181" t="s">
        <v>216</v>
      </c>
      <c r="V181" t="s">
        <v>217</v>
      </c>
      <c r="W181" t="s">
        <v>192</v>
      </c>
      <c r="X181" t="s">
        <v>198</v>
      </c>
      <c r="Y181" t="s">
        <v>192</v>
      </c>
      <c r="AA181">
        <v>2</v>
      </c>
      <c r="AB181">
        <v>3</v>
      </c>
      <c r="AC181">
        <v>3</v>
      </c>
      <c r="AE181">
        <v>0</v>
      </c>
      <c r="AF181">
        <v>0</v>
      </c>
      <c r="AG181" t="s">
        <v>192</v>
      </c>
      <c r="AH181" t="s">
        <v>199</v>
      </c>
      <c r="AJ181" s="9">
        <v>5</v>
      </c>
      <c r="AK181" s="9">
        <v>30</v>
      </c>
      <c r="AL181" s="9">
        <v>0</v>
      </c>
      <c r="AM181" s="9">
        <v>35</v>
      </c>
      <c r="AN181" t="s">
        <v>435</v>
      </c>
    </row>
    <row r="182" spans="1:40" x14ac:dyDescent="0.2">
      <c r="A182" t="s">
        <v>185</v>
      </c>
      <c r="B182" t="s">
        <v>186</v>
      </c>
      <c r="C182">
        <v>31</v>
      </c>
      <c r="D182">
        <v>7417</v>
      </c>
      <c r="E182" t="s">
        <v>187</v>
      </c>
      <c r="F182">
        <v>1</v>
      </c>
      <c r="G182" t="s">
        <v>188</v>
      </c>
      <c r="H182" t="s">
        <v>189</v>
      </c>
      <c r="I182" t="s">
        <v>203</v>
      </c>
      <c r="J182">
        <v>8</v>
      </c>
      <c r="K182">
        <v>3</v>
      </c>
      <c r="L182">
        <v>2</v>
      </c>
      <c r="M182" t="s">
        <v>224</v>
      </c>
      <c r="O182" t="s">
        <v>192</v>
      </c>
      <c r="P182">
        <v>9</v>
      </c>
      <c r="Q182">
        <v>5</v>
      </c>
      <c r="R182" t="s">
        <v>193</v>
      </c>
      <c r="S182" t="s">
        <v>194</v>
      </c>
      <c r="U182" t="s">
        <v>195</v>
      </c>
      <c r="V182" t="s">
        <v>196</v>
      </c>
      <c r="W182" t="s">
        <v>192</v>
      </c>
      <c r="X182" t="s">
        <v>198</v>
      </c>
      <c r="Y182" t="s">
        <v>192</v>
      </c>
      <c r="AA182">
        <v>1</v>
      </c>
      <c r="AB182">
        <v>2</v>
      </c>
      <c r="AC182">
        <v>2</v>
      </c>
      <c r="AE182">
        <v>0</v>
      </c>
      <c r="AF182">
        <v>0</v>
      </c>
      <c r="AG182" t="s">
        <v>192</v>
      </c>
      <c r="AH182" t="s">
        <v>198</v>
      </c>
      <c r="AI182" t="s">
        <v>244</v>
      </c>
      <c r="AJ182" s="9">
        <v>3</v>
      </c>
      <c r="AK182" s="9">
        <v>9</v>
      </c>
      <c r="AL182" s="9">
        <v>0</v>
      </c>
      <c r="AM182" s="9">
        <v>12</v>
      </c>
      <c r="AN182" t="s">
        <v>436</v>
      </c>
    </row>
    <row r="183" spans="1:40" x14ac:dyDescent="0.2">
      <c r="A183" t="s">
        <v>185</v>
      </c>
      <c r="B183" t="s">
        <v>186</v>
      </c>
      <c r="C183">
        <v>31</v>
      </c>
      <c r="D183">
        <v>2861</v>
      </c>
      <c r="E183" t="s">
        <v>187</v>
      </c>
      <c r="F183">
        <v>2</v>
      </c>
      <c r="G183" t="s">
        <v>202</v>
      </c>
      <c r="H183" t="s">
        <v>189</v>
      </c>
      <c r="I183" t="s">
        <v>203</v>
      </c>
      <c r="J183">
        <v>8</v>
      </c>
      <c r="K183">
        <v>18</v>
      </c>
      <c r="L183">
        <v>3</v>
      </c>
      <c r="M183" t="s">
        <v>224</v>
      </c>
      <c r="N183" t="s">
        <v>225</v>
      </c>
      <c r="O183" t="s">
        <v>192</v>
      </c>
      <c r="P183">
        <v>39</v>
      </c>
      <c r="Q183">
        <v>6</v>
      </c>
      <c r="R183" t="s">
        <v>204</v>
      </c>
      <c r="S183" t="s">
        <v>205</v>
      </c>
      <c r="T183" t="s">
        <v>206</v>
      </c>
      <c r="U183" t="s">
        <v>207</v>
      </c>
      <c r="V183" t="s">
        <v>208</v>
      </c>
      <c r="W183" t="s">
        <v>192</v>
      </c>
      <c r="X183" t="s">
        <v>198</v>
      </c>
      <c r="Y183" t="s">
        <v>192</v>
      </c>
      <c r="AA183">
        <v>5</v>
      </c>
      <c r="AB183">
        <v>4</v>
      </c>
      <c r="AC183">
        <v>5</v>
      </c>
      <c r="AE183">
        <v>0</v>
      </c>
      <c r="AF183">
        <v>0</v>
      </c>
      <c r="AG183" t="s">
        <v>192</v>
      </c>
      <c r="AH183" t="s">
        <v>189</v>
      </c>
      <c r="AI183" t="s">
        <v>336</v>
      </c>
      <c r="AJ183" s="9">
        <v>18</v>
      </c>
      <c r="AK183" s="9">
        <v>39</v>
      </c>
      <c r="AL183" s="9">
        <v>0</v>
      </c>
      <c r="AM183" s="9">
        <v>57</v>
      </c>
      <c r="AN183" t="s">
        <v>437</v>
      </c>
    </row>
    <row r="184" spans="1:40" x14ac:dyDescent="0.2">
      <c r="A184" t="s">
        <v>185</v>
      </c>
      <c r="B184" t="s">
        <v>186</v>
      </c>
      <c r="C184">
        <v>31</v>
      </c>
      <c r="D184">
        <v>1756</v>
      </c>
      <c r="E184" t="s">
        <v>187</v>
      </c>
      <c r="F184">
        <v>3</v>
      </c>
      <c r="G184" t="s">
        <v>211</v>
      </c>
      <c r="H184" t="s">
        <v>189</v>
      </c>
      <c r="I184" t="s">
        <v>190</v>
      </c>
      <c r="J184">
        <v>8</v>
      </c>
      <c r="K184">
        <v>32</v>
      </c>
      <c r="L184">
        <v>4</v>
      </c>
      <c r="M184" t="s">
        <v>224</v>
      </c>
      <c r="N184" t="s">
        <v>239</v>
      </c>
      <c r="O184" t="s">
        <v>192</v>
      </c>
      <c r="P184">
        <v>155</v>
      </c>
      <c r="Q184">
        <v>18</v>
      </c>
      <c r="R184" t="s">
        <v>204</v>
      </c>
      <c r="S184" t="s">
        <v>205</v>
      </c>
      <c r="T184" t="s">
        <v>206</v>
      </c>
      <c r="U184" t="s">
        <v>207</v>
      </c>
      <c r="V184" t="s">
        <v>208</v>
      </c>
      <c r="W184" t="s">
        <v>192</v>
      </c>
      <c r="X184" t="s">
        <v>198</v>
      </c>
      <c r="Y184" t="s">
        <v>192</v>
      </c>
      <c r="AA184">
        <v>4</v>
      </c>
      <c r="AB184">
        <v>5</v>
      </c>
      <c r="AC184">
        <v>4</v>
      </c>
      <c r="AE184">
        <v>0</v>
      </c>
      <c r="AF184">
        <v>0</v>
      </c>
      <c r="AG184" t="s">
        <v>192</v>
      </c>
      <c r="AH184" t="s">
        <v>189</v>
      </c>
      <c r="AI184" t="s">
        <v>378</v>
      </c>
      <c r="AJ184" s="9">
        <v>32</v>
      </c>
      <c r="AK184" s="9">
        <v>155</v>
      </c>
      <c r="AL184" s="9">
        <v>0</v>
      </c>
      <c r="AM184" s="9">
        <v>187</v>
      </c>
      <c r="AN184" t="s">
        <v>438</v>
      </c>
    </row>
    <row r="185" spans="1:40" x14ac:dyDescent="0.2">
      <c r="A185" t="s">
        <v>185</v>
      </c>
      <c r="B185" t="s">
        <v>186</v>
      </c>
      <c r="C185">
        <v>31</v>
      </c>
      <c r="D185">
        <v>4156</v>
      </c>
      <c r="E185" t="s">
        <v>220</v>
      </c>
      <c r="F185">
        <v>1</v>
      </c>
      <c r="G185" t="s">
        <v>221</v>
      </c>
      <c r="H185" t="s">
        <v>189</v>
      </c>
      <c r="I185" t="s">
        <v>190</v>
      </c>
      <c r="J185">
        <v>8</v>
      </c>
      <c r="K185">
        <v>2</v>
      </c>
      <c r="L185">
        <v>1</v>
      </c>
      <c r="M185" t="s">
        <v>191</v>
      </c>
      <c r="O185" t="s">
        <v>192</v>
      </c>
      <c r="P185">
        <v>3</v>
      </c>
      <c r="Q185">
        <v>1</v>
      </c>
      <c r="R185" t="s">
        <v>193</v>
      </c>
      <c r="S185" t="s">
        <v>194</v>
      </c>
      <c r="U185" t="s">
        <v>195</v>
      </c>
      <c r="V185" t="s">
        <v>196</v>
      </c>
      <c r="W185" t="s">
        <v>192</v>
      </c>
      <c r="X185" t="s">
        <v>198</v>
      </c>
      <c r="Y185" t="s">
        <v>192</v>
      </c>
      <c r="AA185">
        <v>1</v>
      </c>
      <c r="AB185">
        <v>1</v>
      </c>
      <c r="AC185">
        <v>3</v>
      </c>
      <c r="AE185">
        <v>1</v>
      </c>
      <c r="AF185">
        <v>0</v>
      </c>
      <c r="AG185" t="s">
        <v>192</v>
      </c>
      <c r="AH185" t="s">
        <v>198</v>
      </c>
      <c r="AI185" t="s">
        <v>244</v>
      </c>
      <c r="AJ185" s="9">
        <v>2</v>
      </c>
      <c r="AK185" s="9">
        <v>3</v>
      </c>
      <c r="AL185" s="9">
        <v>0</v>
      </c>
      <c r="AM185" s="9">
        <v>5</v>
      </c>
      <c r="AN185" t="s">
        <v>439</v>
      </c>
    </row>
    <row r="186" spans="1:40" x14ac:dyDescent="0.2">
      <c r="A186" t="s">
        <v>185</v>
      </c>
      <c r="B186" t="s">
        <v>186</v>
      </c>
      <c r="C186">
        <v>31</v>
      </c>
      <c r="D186">
        <v>7472</v>
      </c>
      <c r="E186" t="s">
        <v>220</v>
      </c>
      <c r="F186">
        <v>2</v>
      </c>
      <c r="G186" t="s">
        <v>223</v>
      </c>
      <c r="H186" t="s">
        <v>189</v>
      </c>
      <c r="I186" t="s">
        <v>190</v>
      </c>
      <c r="J186">
        <v>8</v>
      </c>
      <c r="K186">
        <v>5</v>
      </c>
      <c r="L186">
        <v>4</v>
      </c>
      <c r="M186" t="s">
        <v>191</v>
      </c>
      <c r="O186" t="s">
        <v>192</v>
      </c>
      <c r="P186">
        <v>7</v>
      </c>
      <c r="Q186">
        <v>6</v>
      </c>
      <c r="R186" t="s">
        <v>193</v>
      </c>
      <c r="S186" t="s">
        <v>194</v>
      </c>
      <c r="U186" t="s">
        <v>262</v>
      </c>
      <c r="V186" t="s">
        <v>196</v>
      </c>
      <c r="W186" t="s">
        <v>192</v>
      </c>
      <c r="X186" t="s">
        <v>198</v>
      </c>
      <c r="Y186" t="s">
        <v>192</v>
      </c>
      <c r="AA186">
        <v>1</v>
      </c>
      <c r="AB186">
        <v>1</v>
      </c>
      <c r="AC186">
        <v>3</v>
      </c>
      <c r="AE186">
        <v>0</v>
      </c>
      <c r="AF186">
        <v>0</v>
      </c>
      <c r="AG186" t="s">
        <v>192</v>
      </c>
      <c r="AH186" t="s">
        <v>198</v>
      </c>
      <c r="AI186" t="s">
        <v>244</v>
      </c>
      <c r="AJ186" s="9">
        <v>5</v>
      </c>
      <c r="AK186" s="9">
        <v>7</v>
      </c>
      <c r="AL186" s="9">
        <v>0</v>
      </c>
      <c r="AM186" s="9">
        <v>12</v>
      </c>
      <c r="AN186" t="s">
        <v>440</v>
      </c>
    </row>
    <row r="187" spans="1:40" x14ac:dyDescent="0.2">
      <c r="A187" t="s">
        <v>185</v>
      </c>
      <c r="B187" t="s">
        <v>186</v>
      </c>
      <c r="C187">
        <v>31</v>
      </c>
      <c r="D187">
        <v>6237</v>
      </c>
      <c r="E187" t="s">
        <v>220</v>
      </c>
      <c r="F187">
        <v>3</v>
      </c>
      <c r="G187" t="s">
        <v>228</v>
      </c>
      <c r="H187" t="s">
        <v>189</v>
      </c>
      <c r="I187" t="s">
        <v>203</v>
      </c>
      <c r="J187">
        <v>8</v>
      </c>
      <c r="K187">
        <v>2</v>
      </c>
      <c r="L187">
        <v>0</v>
      </c>
      <c r="M187" t="s">
        <v>191</v>
      </c>
      <c r="O187" t="s">
        <v>192</v>
      </c>
      <c r="P187">
        <v>106</v>
      </c>
      <c r="Q187">
        <v>15</v>
      </c>
      <c r="R187" t="s">
        <v>204</v>
      </c>
      <c r="S187" t="s">
        <v>205</v>
      </c>
      <c r="T187" t="s">
        <v>206</v>
      </c>
      <c r="U187" t="s">
        <v>207</v>
      </c>
      <c r="V187" t="s">
        <v>208</v>
      </c>
      <c r="W187" t="s">
        <v>192</v>
      </c>
      <c r="X187" t="s">
        <v>198</v>
      </c>
      <c r="Y187" t="s">
        <v>192</v>
      </c>
      <c r="AA187">
        <v>5</v>
      </c>
      <c r="AB187">
        <v>5</v>
      </c>
      <c r="AC187">
        <v>5</v>
      </c>
      <c r="AE187">
        <v>0</v>
      </c>
      <c r="AF187">
        <v>0</v>
      </c>
      <c r="AG187" t="s">
        <v>192</v>
      </c>
      <c r="AH187" t="s">
        <v>189</v>
      </c>
      <c r="AI187" t="s">
        <v>378</v>
      </c>
      <c r="AJ187" s="9">
        <v>2</v>
      </c>
      <c r="AK187" s="9">
        <v>106</v>
      </c>
      <c r="AL187" s="9">
        <v>0</v>
      </c>
      <c r="AM187" s="9">
        <v>108</v>
      </c>
      <c r="AN187" t="s">
        <v>441</v>
      </c>
    </row>
    <row r="188" spans="1:40" x14ac:dyDescent="0.2">
      <c r="A188" t="s">
        <v>185</v>
      </c>
      <c r="B188" t="s">
        <v>186</v>
      </c>
      <c r="C188">
        <v>32</v>
      </c>
      <c r="D188">
        <v>1625</v>
      </c>
      <c r="E188" t="s">
        <v>187</v>
      </c>
      <c r="F188">
        <v>1</v>
      </c>
      <c r="G188" t="s">
        <v>442</v>
      </c>
      <c r="H188" t="s">
        <v>189</v>
      </c>
      <c r="I188" t="s">
        <v>212</v>
      </c>
      <c r="J188">
        <v>8</v>
      </c>
      <c r="K188">
        <v>36</v>
      </c>
      <c r="L188">
        <v>10</v>
      </c>
      <c r="M188" t="s">
        <v>224</v>
      </c>
      <c r="N188" t="s">
        <v>225</v>
      </c>
      <c r="O188" t="s">
        <v>192</v>
      </c>
      <c r="P188">
        <v>58</v>
      </c>
      <c r="Q188">
        <v>16</v>
      </c>
      <c r="R188" t="s">
        <v>204</v>
      </c>
      <c r="S188" t="s">
        <v>205</v>
      </c>
      <c r="T188" t="s">
        <v>206</v>
      </c>
      <c r="U188" t="s">
        <v>207</v>
      </c>
      <c r="V188" t="s">
        <v>208</v>
      </c>
      <c r="W188" t="s">
        <v>229</v>
      </c>
      <c r="X188" t="s">
        <v>240</v>
      </c>
      <c r="Y188" t="s">
        <v>192</v>
      </c>
      <c r="AA188">
        <v>3</v>
      </c>
      <c r="AB188">
        <v>4</v>
      </c>
      <c r="AC188">
        <v>4</v>
      </c>
      <c r="AE188">
        <v>0</v>
      </c>
      <c r="AF188">
        <v>0</v>
      </c>
      <c r="AG188" t="s">
        <v>192</v>
      </c>
      <c r="AH188" t="s">
        <v>189</v>
      </c>
      <c r="AI188" t="s">
        <v>313</v>
      </c>
      <c r="AJ188" s="9">
        <v>36</v>
      </c>
      <c r="AK188" s="9">
        <v>58</v>
      </c>
      <c r="AL188" s="9">
        <v>0</v>
      </c>
      <c r="AM188" s="9">
        <v>94</v>
      </c>
      <c r="AN188" t="s">
        <v>443</v>
      </c>
    </row>
    <row r="189" spans="1:40" x14ac:dyDescent="0.2">
      <c r="A189" t="s">
        <v>185</v>
      </c>
      <c r="B189" t="s">
        <v>186</v>
      </c>
      <c r="C189">
        <v>32</v>
      </c>
      <c r="D189">
        <v>9082</v>
      </c>
      <c r="E189" t="s">
        <v>187</v>
      </c>
      <c r="F189">
        <v>2</v>
      </c>
      <c r="G189" t="s">
        <v>444</v>
      </c>
      <c r="H189" t="s">
        <v>189</v>
      </c>
      <c r="I189" t="s">
        <v>190</v>
      </c>
      <c r="J189">
        <v>8</v>
      </c>
      <c r="K189">
        <v>11</v>
      </c>
      <c r="L189">
        <v>1</v>
      </c>
      <c r="M189" t="s">
        <v>233</v>
      </c>
      <c r="N189" t="s">
        <v>225</v>
      </c>
      <c r="O189" t="s">
        <v>192</v>
      </c>
      <c r="P189">
        <v>60</v>
      </c>
      <c r="Q189">
        <v>3</v>
      </c>
      <c r="R189" t="s">
        <v>204</v>
      </c>
      <c r="S189" t="s">
        <v>205</v>
      </c>
      <c r="T189" t="s">
        <v>206</v>
      </c>
      <c r="U189" t="s">
        <v>207</v>
      </c>
      <c r="V189" t="s">
        <v>217</v>
      </c>
      <c r="W189" t="s">
        <v>192</v>
      </c>
      <c r="X189" t="s">
        <v>198</v>
      </c>
      <c r="Y189" t="s">
        <v>192</v>
      </c>
      <c r="AA189">
        <v>5</v>
      </c>
      <c r="AB189">
        <v>3</v>
      </c>
      <c r="AC189">
        <v>4</v>
      </c>
      <c r="AE189">
        <v>0</v>
      </c>
      <c r="AF189">
        <v>0</v>
      </c>
      <c r="AG189" t="s">
        <v>192</v>
      </c>
      <c r="AH189" t="s">
        <v>189</v>
      </c>
      <c r="AI189" t="s">
        <v>313</v>
      </c>
      <c r="AJ189" s="9">
        <v>11</v>
      </c>
      <c r="AK189" s="9">
        <v>60</v>
      </c>
      <c r="AL189" s="9">
        <v>0</v>
      </c>
      <c r="AM189" s="9">
        <v>71</v>
      </c>
      <c r="AN189" t="s">
        <v>445</v>
      </c>
    </row>
    <row r="190" spans="1:40" x14ac:dyDescent="0.2">
      <c r="A190" t="s">
        <v>185</v>
      </c>
      <c r="B190" t="s">
        <v>186</v>
      </c>
      <c r="C190">
        <v>32</v>
      </c>
      <c r="D190">
        <v>2039</v>
      </c>
      <c r="E190" t="s">
        <v>187</v>
      </c>
      <c r="F190">
        <v>3</v>
      </c>
      <c r="G190" t="s">
        <v>446</v>
      </c>
      <c r="H190" t="s">
        <v>189</v>
      </c>
      <c r="I190" t="s">
        <v>190</v>
      </c>
      <c r="J190">
        <v>8</v>
      </c>
      <c r="K190">
        <v>1</v>
      </c>
      <c r="L190">
        <v>1</v>
      </c>
      <c r="M190" t="s">
        <v>191</v>
      </c>
      <c r="O190" t="s">
        <v>192</v>
      </c>
      <c r="P190">
        <v>2</v>
      </c>
      <c r="Q190">
        <v>2</v>
      </c>
      <c r="R190" t="s">
        <v>193</v>
      </c>
      <c r="S190" t="s">
        <v>194</v>
      </c>
      <c r="U190" t="s">
        <v>195</v>
      </c>
      <c r="V190" t="s">
        <v>196</v>
      </c>
      <c r="W190" t="s">
        <v>197</v>
      </c>
      <c r="X190" t="s">
        <v>198</v>
      </c>
      <c r="Y190" t="s">
        <v>192</v>
      </c>
      <c r="AA190">
        <v>1</v>
      </c>
      <c r="AB190">
        <v>1</v>
      </c>
      <c r="AC190">
        <v>3</v>
      </c>
      <c r="AE190">
        <v>1</v>
      </c>
      <c r="AF190">
        <v>0</v>
      </c>
      <c r="AG190" t="s">
        <v>192</v>
      </c>
      <c r="AH190" t="s">
        <v>199</v>
      </c>
      <c r="AI190" t="s">
        <v>200</v>
      </c>
      <c r="AJ190" s="9">
        <v>1</v>
      </c>
      <c r="AK190" s="9">
        <v>2</v>
      </c>
      <c r="AL190" s="9">
        <v>0</v>
      </c>
      <c r="AM190" s="9">
        <v>3</v>
      </c>
      <c r="AN190" t="s">
        <v>447</v>
      </c>
    </row>
    <row r="191" spans="1:40" x14ac:dyDescent="0.2">
      <c r="A191" t="s">
        <v>185</v>
      </c>
      <c r="B191" t="s">
        <v>186</v>
      </c>
      <c r="C191">
        <v>32</v>
      </c>
      <c r="D191">
        <v>3284</v>
      </c>
      <c r="E191" t="s">
        <v>220</v>
      </c>
      <c r="F191">
        <v>1</v>
      </c>
      <c r="G191" t="s">
        <v>448</v>
      </c>
      <c r="H191" t="s">
        <v>189</v>
      </c>
      <c r="I191" t="s">
        <v>203</v>
      </c>
      <c r="J191">
        <v>8</v>
      </c>
      <c r="K191">
        <v>8</v>
      </c>
      <c r="L191">
        <v>4</v>
      </c>
      <c r="M191" t="s">
        <v>191</v>
      </c>
      <c r="O191" t="s">
        <v>192</v>
      </c>
      <c r="P191">
        <v>22</v>
      </c>
      <c r="Q191">
        <v>11</v>
      </c>
      <c r="R191" t="s">
        <v>193</v>
      </c>
      <c r="S191" t="s">
        <v>194</v>
      </c>
      <c r="U191" t="s">
        <v>195</v>
      </c>
      <c r="V191" t="s">
        <v>196</v>
      </c>
      <c r="W191" t="s">
        <v>197</v>
      </c>
      <c r="X191" t="s">
        <v>198</v>
      </c>
      <c r="Y191" t="s">
        <v>192</v>
      </c>
      <c r="AA191">
        <v>2</v>
      </c>
      <c r="AB191">
        <v>3</v>
      </c>
      <c r="AC191">
        <v>3</v>
      </c>
      <c r="AE191">
        <v>0</v>
      </c>
      <c r="AF191">
        <v>0</v>
      </c>
      <c r="AG191" t="s">
        <v>192</v>
      </c>
      <c r="AH191" t="s">
        <v>199</v>
      </c>
      <c r="AI191" t="s">
        <v>260</v>
      </c>
      <c r="AJ191" s="9">
        <v>8</v>
      </c>
      <c r="AK191" s="9">
        <v>22</v>
      </c>
      <c r="AL191" s="9">
        <v>0</v>
      </c>
      <c r="AM191" s="9">
        <v>30</v>
      </c>
      <c r="AN191" t="s">
        <v>449</v>
      </c>
    </row>
    <row r="192" spans="1:40" x14ac:dyDescent="0.2">
      <c r="A192" t="s">
        <v>185</v>
      </c>
      <c r="B192" t="s">
        <v>186</v>
      </c>
      <c r="C192">
        <v>32</v>
      </c>
      <c r="D192">
        <v>8029</v>
      </c>
      <c r="E192" t="s">
        <v>220</v>
      </c>
      <c r="F192">
        <v>2</v>
      </c>
      <c r="G192" t="s">
        <v>450</v>
      </c>
      <c r="H192" t="s">
        <v>189</v>
      </c>
      <c r="I192" t="s">
        <v>190</v>
      </c>
      <c r="J192">
        <v>5</v>
      </c>
      <c r="K192">
        <v>11</v>
      </c>
      <c r="L192">
        <v>9</v>
      </c>
      <c r="M192" t="s">
        <v>233</v>
      </c>
      <c r="N192" t="s">
        <v>239</v>
      </c>
      <c r="O192" t="s">
        <v>192</v>
      </c>
      <c r="P192">
        <v>13</v>
      </c>
      <c r="Q192">
        <v>11</v>
      </c>
      <c r="R192" t="s">
        <v>193</v>
      </c>
      <c r="S192" t="s">
        <v>194</v>
      </c>
      <c r="U192" t="s">
        <v>262</v>
      </c>
      <c r="V192" t="s">
        <v>196</v>
      </c>
      <c r="W192" t="s">
        <v>197</v>
      </c>
      <c r="X192" t="s">
        <v>198</v>
      </c>
      <c r="Y192" t="s">
        <v>192</v>
      </c>
      <c r="AA192">
        <v>3</v>
      </c>
      <c r="AB192">
        <v>3</v>
      </c>
      <c r="AC192">
        <v>4</v>
      </c>
      <c r="AE192">
        <v>1</v>
      </c>
      <c r="AF192">
        <v>0</v>
      </c>
      <c r="AG192" t="s">
        <v>192</v>
      </c>
      <c r="AH192" t="s">
        <v>199</v>
      </c>
      <c r="AI192" t="s">
        <v>260</v>
      </c>
      <c r="AJ192" s="9">
        <v>11</v>
      </c>
      <c r="AK192" s="9">
        <v>13</v>
      </c>
      <c r="AL192" s="9">
        <v>0</v>
      </c>
      <c r="AM192" s="9">
        <v>24</v>
      </c>
      <c r="AN192" t="s">
        <v>445</v>
      </c>
    </row>
    <row r="193" spans="1:40" x14ac:dyDescent="0.2">
      <c r="A193" t="s">
        <v>185</v>
      </c>
      <c r="B193" t="s">
        <v>186</v>
      </c>
      <c r="C193">
        <v>32</v>
      </c>
      <c r="D193">
        <v>8096</v>
      </c>
      <c r="E193" t="s">
        <v>220</v>
      </c>
      <c r="F193">
        <v>3</v>
      </c>
      <c r="G193" t="s">
        <v>451</v>
      </c>
      <c r="H193" t="s">
        <v>189</v>
      </c>
      <c r="I193" t="s">
        <v>203</v>
      </c>
      <c r="J193">
        <v>8</v>
      </c>
      <c r="K193">
        <v>17</v>
      </c>
      <c r="L193">
        <v>7</v>
      </c>
      <c r="M193" t="s">
        <v>224</v>
      </c>
      <c r="N193" t="s">
        <v>239</v>
      </c>
      <c r="O193" t="s">
        <v>192</v>
      </c>
      <c r="P193">
        <v>56</v>
      </c>
      <c r="Q193">
        <v>23</v>
      </c>
      <c r="R193" t="s">
        <v>213</v>
      </c>
      <c r="S193" t="s">
        <v>214</v>
      </c>
      <c r="T193" t="s">
        <v>215</v>
      </c>
      <c r="U193" t="s">
        <v>216</v>
      </c>
      <c r="V193" t="s">
        <v>246</v>
      </c>
      <c r="W193" t="s">
        <v>192</v>
      </c>
      <c r="X193" t="s">
        <v>198</v>
      </c>
      <c r="Y193" t="s">
        <v>192</v>
      </c>
      <c r="AA193">
        <v>2</v>
      </c>
      <c r="AB193">
        <v>3</v>
      </c>
      <c r="AC193">
        <v>2</v>
      </c>
      <c r="AE193">
        <v>0</v>
      </c>
      <c r="AF193">
        <v>1</v>
      </c>
      <c r="AG193" t="s">
        <v>192</v>
      </c>
      <c r="AH193" t="s">
        <v>198</v>
      </c>
      <c r="AI193" t="s">
        <v>234</v>
      </c>
      <c r="AJ193" s="9">
        <v>17</v>
      </c>
      <c r="AK193" s="9">
        <v>56</v>
      </c>
      <c r="AL193" s="9">
        <v>0</v>
      </c>
      <c r="AM193" s="9">
        <v>73</v>
      </c>
      <c r="AN193" t="s">
        <v>452</v>
      </c>
    </row>
    <row r="194" spans="1:40" x14ac:dyDescent="0.2">
      <c r="A194" t="s">
        <v>185</v>
      </c>
      <c r="B194" t="s">
        <v>186</v>
      </c>
      <c r="C194">
        <v>33</v>
      </c>
      <c r="D194">
        <v>2481</v>
      </c>
      <c r="E194" t="s">
        <v>187</v>
      </c>
      <c r="F194">
        <v>1</v>
      </c>
      <c r="G194" t="s">
        <v>442</v>
      </c>
      <c r="H194" t="s">
        <v>189</v>
      </c>
      <c r="I194" t="s">
        <v>190</v>
      </c>
      <c r="J194">
        <v>8</v>
      </c>
      <c r="K194">
        <v>85</v>
      </c>
      <c r="L194">
        <v>24</v>
      </c>
      <c r="M194" t="s">
        <v>224</v>
      </c>
      <c r="N194" t="s">
        <v>225</v>
      </c>
      <c r="O194" t="s">
        <v>192</v>
      </c>
      <c r="P194">
        <v>247</v>
      </c>
      <c r="Q194">
        <v>70</v>
      </c>
      <c r="R194" t="s">
        <v>204</v>
      </c>
      <c r="S194" t="s">
        <v>205</v>
      </c>
      <c r="T194" t="s">
        <v>206</v>
      </c>
      <c r="U194" t="s">
        <v>207</v>
      </c>
      <c r="V194" t="s">
        <v>208</v>
      </c>
      <c r="W194" t="s">
        <v>192</v>
      </c>
      <c r="X194" t="s">
        <v>198</v>
      </c>
      <c r="Y194" t="s">
        <v>192</v>
      </c>
      <c r="AA194">
        <v>5</v>
      </c>
      <c r="AB194">
        <v>5</v>
      </c>
      <c r="AC194">
        <v>4</v>
      </c>
      <c r="AE194">
        <v>2</v>
      </c>
      <c r="AF194">
        <v>0</v>
      </c>
      <c r="AG194" t="s">
        <v>192</v>
      </c>
      <c r="AH194" t="s">
        <v>189</v>
      </c>
      <c r="AI194" t="s">
        <v>277</v>
      </c>
      <c r="AJ194" s="9">
        <v>85</v>
      </c>
      <c r="AK194" s="9">
        <v>247</v>
      </c>
      <c r="AL194" s="9">
        <v>0</v>
      </c>
      <c r="AM194" s="9">
        <v>332</v>
      </c>
      <c r="AN194" t="s">
        <v>453</v>
      </c>
    </row>
    <row r="195" spans="1:40" x14ac:dyDescent="0.2">
      <c r="A195" t="s">
        <v>185</v>
      </c>
      <c r="B195" t="s">
        <v>186</v>
      </c>
      <c r="C195">
        <v>33</v>
      </c>
      <c r="D195">
        <v>3488</v>
      </c>
      <c r="E195" t="s">
        <v>187</v>
      </c>
      <c r="F195">
        <v>2</v>
      </c>
      <c r="G195" t="s">
        <v>444</v>
      </c>
      <c r="H195" t="s">
        <v>189</v>
      </c>
      <c r="I195" t="s">
        <v>203</v>
      </c>
      <c r="J195">
        <v>8</v>
      </c>
      <c r="K195">
        <v>0</v>
      </c>
      <c r="L195">
        <v>0</v>
      </c>
      <c r="M195" t="s">
        <v>191</v>
      </c>
      <c r="O195" t="s">
        <v>192</v>
      </c>
      <c r="P195">
        <v>42</v>
      </c>
      <c r="Q195">
        <v>24</v>
      </c>
      <c r="R195" t="s">
        <v>213</v>
      </c>
      <c r="S195" t="s">
        <v>194</v>
      </c>
      <c r="T195" t="s">
        <v>237</v>
      </c>
      <c r="U195" t="s">
        <v>216</v>
      </c>
      <c r="V195" t="s">
        <v>246</v>
      </c>
      <c r="W195" t="s">
        <v>192</v>
      </c>
      <c r="X195" t="s">
        <v>198</v>
      </c>
      <c r="Y195" t="s">
        <v>192</v>
      </c>
      <c r="AA195">
        <v>2</v>
      </c>
      <c r="AB195">
        <v>3</v>
      </c>
      <c r="AC195">
        <v>2</v>
      </c>
      <c r="AE195">
        <v>0</v>
      </c>
      <c r="AF195">
        <v>0</v>
      </c>
      <c r="AG195" t="s">
        <v>192</v>
      </c>
      <c r="AH195" t="s">
        <v>198</v>
      </c>
      <c r="AJ195" s="9">
        <v>0</v>
      </c>
      <c r="AK195" s="9">
        <v>42</v>
      </c>
      <c r="AL195" s="9">
        <v>0</v>
      </c>
      <c r="AM195" s="9">
        <v>42</v>
      </c>
      <c r="AN195" t="s">
        <v>454</v>
      </c>
    </row>
    <row r="196" spans="1:40" x14ac:dyDescent="0.2">
      <c r="A196" t="s">
        <v>185</v>
      </c>
      <c r="B196" t="s">
        <v>186</v>
      </c>
      <c r="C196">
        <v>33</v>
      </c>
      <c r="D196">
        <v>2022</v>
      </c>
      <c r="E196" t="s">
        <v>187</v>
      </c>
      <c r="F196">
        <v>3</v>
      </c>
      <c r="G196" t="s">
        <v>446</v>
      </c>
      <c r="H196" t="s">
        <v>189</v>
      </c>
      <c r="I196" t="s">
        <v>190</v>
      </c>
      <c r="J196">
        <v>8</v>
      </c>
      <c r="K196">
        <v>4</v>
      </c>
      <c r="L196">
        <v>0</v>
      </c>
      <c r="M196" t="s">
        <v>191</v>
      </c>
      <c r="O196" t="s">
        <v>192</v>
      </c>
      <c r="P196">
        <v>73</v>
      </c>
      <c r="Q196">
        <v>8</v>
      </c>
      <c r="R196" t="s">
        <v>213</v>
      </c>
      <c r="S196" t="s">
        <v>214</v>
      </c>
      <c r="T196" t="s">
        <v>215</v>
      </c>
      <c r="U196" t="s">
        <v>216</v>
      </c>
      <c r="V196" t="s">
        <v>217</v>
      </c>
      <c r="W196" t="s">
        <v>192</v>
      </c>
      <c r="X196" t="s">
        <v>198</v>
      </c>
      <c r="Y196" t="s">
        <v>192</v>
      </c>
      <c r="AA196">
        <v>3</v>
      </c>
      <c r="AB196">
        <v>1</v>
      </c>
      <c r="AC196">
        <v>4</v>
      </c>
      <c r="AE196">
        <v>0</v>
      </c>
      <c r="AF196">
        <v>0</v>
      </c>
      <c r="AG196" t="s">
        <v>192</v>
      </c>
      <c r="AH196" t="s">
        <v>198</v>
      </c>
      <c r="AI196" t="s">
        <v>234</v>
      </c>
      <c r="AJ196" s="9">
        <v>4</v>
      </c>
      <c r="AK196" s="9">
        <v>73</v>
      </c>
      <c r="AL196" s="9">
        <v>0</v>
      </c>
      <c r="AM196" s="9">
        <v>77</v>
      </c>
      <c r="AN196" t="s">
        <v>455</v>
      </c>
    </row>
    <row r="197" spans="1:40" x14ac:dyDescent="0.2">
      <c r="A197" t="s">
        <v>185</v>
      </c>
      <c r="B197" t="s">
        <v>186</v>
      </c>
      <c r="C197">
        <v>33</v>
      </c>
      <c r="D197">
        <v>8020</v>
      </c>
      <c r="E197" t="s">
        <v>220</v>
      </c>
      <c r="F197">
        <v>1</v>
      </c>
      <c r="G197" t="s">
        <v>448</v>
      </c>
      <c r="H197" t="s">
        <v>189</v>
      </c>
      <c r="I197" t="s">
        <v>190</v>
      </c>
      <c r="J197">
        <v>8</v>
      </c>
      <c r="K197">
        <v>18</v>
      </c>
      <c r="L197">
        <v>2</v>
      </c>
      <c r="M197" t="s">
        <v>233</v>
      </c>
      <c r="N197" t="s">
        <v>239</v>
      </c>
      <c r="O197" t="s">
        <v>192</v>
      </c>
      <c r="P197">
        <v>51</v>
      </c>
      <c r="Q197">
        <v>6</v>
      </c>
      <c r="R197" t="s">
        <v>204</v>
      </c>
      <c r="S197" t="s">
        <v>205</v>
      </c>
      <c r="T197" t="s">
        <v>206</v>
      </c>
      <c r="U197" t="s">
        <v>207</v>
      </c>
      <c r="V197" t="s">
        <v>208</v>
      </c>
      <c r="W197" t="s">
        <v>192</v>
      </c>
      <c r="X197" t="s">
        <v>198</v>
      </c>
      <c r="Y197" t="s">
        <v>192</v>
      </c>
      <c r="AA197">
        <v>4</v>
      </c>
      <c r="AB197">
        <v>5</v>
      </c>
      <c r="AC197">
        <v>5</v>
      </c>
      <c r="AE197">
        <v>0</v>
      </c>
      <c r="AF197">
        <v>0</v>
      </c>
      <c r="AG197" t="s">
        <v>192</v>
      </c>
      <c r="AH197" t="s">
        <v>189</v>
      </c>
      <c r="AI197" t="s">
        <v>234</v>
      </c>
      <c r="AJ197" s="9">
        <v>18</v>
      </c>
      <c r="AK197" s="9">
        <v>51</v>
      </c>
      <c r="AL197" s="9">
        <v>0</v>
      </c>
      <c r="AM197" s="9">
        <v>69</v>
      </c>
      <c r="AN197" t="s">
        <v>456</v>
      </c>
    </row>
    <row r="198" spans="1:40" x14ac:dyDescent="0.2">
      <c r="A198" t="s">
        <v>185</v>
      </c>
      <c r="B198" t="s">
        <v>186</v>
      </c>
      <c r="C198">
        <v>33</v>
      </c>
      <c r="D198">
        <v>1736</v>
      </c>
      <c r="E198" t="s">
        <v>220</v>
      </c>
      <c r="F198">
        <v>2</v>
      </c>
      <c r="G198" t="s">
        <v>450</v>
      </c>
      <c r="H198" t="s">
        <v>189</v>
      </c>
      <c r="I198" t="s">
        <v>203</v>
      </c>
      <c r="J198">
        <v>5</v>
      </c>
      <c r="K198">
        <v>3</v>
      </c>
      <c r="L198">
        <v>2</v>
      </c>
      <c r="M198" t="s">
        <v>191</v>
      </c>
      <c r="O198" t="s">
        <v>192</v>
      </c>
      <c r="P198">
        <v>22</v>
      </c>
      <c r="Q198">
        <v>12</v>
      </c>
      <c r="R198" t="s">
        <v>213</v>
      </c>
      <c r="S198" t="s">
        <v>194</v>
      </c>
      <c r="T198" t="s">
        <v>215</v>
      </c>
      <c r="U198" t="s">
        <v>216</v>
      </c>
      <c r="V198" t="s">
        <v>246</v>
      </c>
      <c r="W198" t="s">
        <v>192</v>
      </c>
      <c r="X198" t="s">
        <v>198</v>
      </c>
      <c r="Y198" t="s">
        <v>192</v>
      </c>
      <c r="AA198">
        <v>1</v>
      </c>
      <c r="AB198">
        <v>1</v>
      </c>
      <c r="AC198">
        <v>3</v>
      </c>
      <c r="AE198">
        <v>0</v>
      </c>
      <c r="AF198">
        <v>0</v>
      </c>
      <c r="AG198" t="s">
        <v>192</v>
      </c>
      <c r="AH198" t="s">
        <v>199</v>
      </c>
      <c r="AJ198" s="9">
        <v>3</v>
      </c>
      <c r="AK198" s="9">
        <v>22</v>
      </c>
      <c r="AL198" s="9">
        <v>0</v>
      </c>
      <c r="AM198" s="9">
        <v>25</v>
      </c>
      <c r="AN198" t="s">
        <v>457</v>
      </c>
    </row>
    <row r="199" spans="1:40" x14ac:dyDescent="0.2">
      <c r="A199" t="s">
        <v>185</v>
      </c>
      <c r="B199" t="s">
        <v>186</v>
      </c>
      <c r="C199">
        <v>33</v>
      </c>
      <c r="D199">
        <v>4787</v>
      </c>
      <c r="E199" t="s">
        <v>220</v>
      </c>
      <c r="F199">
        <v>3</v>
      </c>
      <c r="G199" t="s">
        <v>451</v>
      </c>
      <c r="H199" t="s">
        <v>189</v>
      </c>
      <c r="I199" t="s">
        <v>212</v>
      </c>
      <c r="J199">
        <v>7</v>
      </c>
      <c r="K199">
        <v>1</v>
      </c>
      <c r="L199">
        <v>0</v>
      </c>
      <c r="M199" t="s">
        <v>191</v>
      </c>
      <c r="O199" t="s">
        <v>192</v>
      </c>
      <c r="P199">
        <v>36</v>
      </c>
      <c r="Q199">
        <v>14</v>
      </c>
      <c r="R199" t="s">
        <v>213</v>
      </c>
      <c r="S199" t="s">
        <v>214</v>
      </c>
      <c r="T199" t="s">
        <v>215</v>
      </c>
      <c r="U199" t="s">
        <v>216</v>
      </c>
      <c r="V199" t="s">
        <v>246</v>
      </c>
      <c r="W199" t="s">
        <v>229</v>
      </c>
      <c r="X199" t="s">
        <v>198</v>
      </c>
      <c r="Y199" t="s">
        <v>192</v>
      </c>
      <c r="AA199">
        <v>1</v>
      </c>
      <c r="AB199">
        <v>3</v>
      </c>
      <c r="AC199">
        <v>3</v>
      </c>
      <c r="AE199">
        <v>0</v>
      </c>
      <c r="AF199">
        <v>0</v>
      </c>
      <c r="AG199" t="s">
        <v>192</v>
      </c>
      <c r="AH199" t="s">
        <v>199</v>
      </c>
      <c r="AJ199" s="9">
        <v>1</v>
      </c>
      <c r="AK199" s="9">
        <v>36</v>
      </c>
      <c r="AL199" s="9">
        <v>0</v>
      </c>
      <c r="AM199" s="9">
        <v>37</v>
      </c>
      <c r="AN199" t="s">
        <v>458</v>
      </c>
    </row>
    <row r="200" spans="1:40" x14ac:dyDescent="0.2">
      <c r="A200" t="s">
        <v>185</v>
      </c>
      <c r="B200" t="s">
        <v>186</v>
      </c>
      <c r="C200">
        <v>34</v>
      </c>
      <c r="D200">
        <v>2040</v>
      </c>
      <c r="E200" t="s">
        <v>187</v>
      </c>
      <c r="F200">
        <v>1</v>
      </c>
      <c r="G200" t="s">
        <v>442</v>
      </c>
      <c r="H200" t="s">
        <v>189</v>
      </c>
      <c r="I200" t="s">
        <v>203</v>
      </c>
      <c r="J200">
        <v>5</v>
      </c>
      <c r="K200">
        <v>20</v>
      </c>
      <c r="L200">
        <v>5</v>
      </c>
      <c r="M200" t="s">
        <v>233</v>
      </c>
      <c r="N200" t="s">
        <v>225</v>
      </c>
      <c r="O200" t="s">
        <v>192</v>
      </c>
      <c r="P200">
        <v>72</v>
      </c>
      <c r="Q200">
        <v>16</v>
      </c>
      <c r="R200" t="s">
        <v>204</v>
      </c>
      <c r="S200" t="s">
        <v>205</v>
      </c>
      <c r="T200" t="s">
        <v>206</v>
      </c>
      <c r="U200" t="s">
        <v>207</v>
      </c>
      <c r="V200" t="s">
        <v>208</v>
      </c>
      <c r="W200" t="s">
        <v>192</v>
      </c>
      <c r="X200" t="s">
        <v>229</v>
      </c>
      <c r="Y200" t="s">
        <v>192</v>
      </c>
      <c r="AA200">
        <v>5</v>
      </c>
      <c r="AB200">
        <v>4</v>
      </c>
      <c r="AC200">
        <v>4</v>
      </c>
      <c r="AE200">
        <v>0</v>
      </c>
      <c r="AF200">
        <v>0</v>
      </c>
      <c r="AG200" t="s">
        <v>192</v>
      </c>
      <c r="AH200" t="s">
        <v>189</v>
      </c>
      <c r="AI200" t="s">
        <v>234</v>
      </c>
      <c r="AJ200" s="9">
        <v>20</v>
      </c>
      <c r="AK200" s="9">
        <v>72</v>
      </c>
      <c r="AL200" s="9">
        <v>0</v>
      </c>
      <c r="AM200" s="9">
        <v>92</v>
      </c>
      <c r="AN200" t="s">
        <v>459</v>
      </c>
    </row>
    <row r="201" spans="1:40" x14ac:dyDescent="0.2">
      <c r="A201" t="s">
        <v>185</v>
      </c>
      <c r="B201" t="s">
        <v>186</v>
      </c>
      <c r="C201">
        <v>34</v>
      </c>
      <c r="D201">
        <v>648</v>
      </c>
      <c r="E201" t="s">
        <v>187</v>
      </c>
      <c r="F201">
        <v>2</v>
      </c>
      <c r="G201" t="s">
        <v>444</v>
      </c>
      <c r="H201" t="s">
        <v>189</v>
      </c>
      <c r="I201" t="s">
        <v>190</v>
      </c>
      <c r="J201">
        <v>8</v>
      </c>
      <c r="K201">
        <v>4</v>
      </c>
      <c r="L201">
        <v>3</v>
      </c>
      <c r="M201" t="s">
        <v>191</v>
      </c>
      <c r="O201" t="s">
        <v>192</v>
      </c>
      <c r="P201">
        <v>14</v>
      </c>
      <c r="Q201">
        <v>10</v>
      </c>
      <c r="R201" t="s">
        <v>213</v>
      </c>
      <c r="S201" t="s">
        <v>194</v>
      </c>
      <c r="U201" t="s">
        <v>250</v>
      </c>
      <c r="V201" t="s">
        <v>246</v>
      </c>
      <c r="W201" t="s">
        <v>197</v>
      </c>
      <c r="X201" t="s">
        <v>198</v>
      </c>
      <c r="Y201" t="s">
        <v>192</v>
      </c>
      <c r="AA201">
        <v>2</v>
      </c>
      <c r="AB201">
        <v>2</v>
      </c>
      <c r="AC201">
        <v>2</v>
      </c>
      <c r="AE201">
        <v>0</v>
      </c>
      <c r="AF201">
        <v>0</v>
      </c>
      <c r="AG201" t="s">
        <v>192</v>
      </c>
      <c r="AH201" t="s">
        <v>198</v>
      </c>
      <c r="AI201" t="s">
        <v>260</v>
      </c>
      <c r="AJ201" s="9">
        <v>4</v>
      </c>
      <c r="AK201" s="9">
        <v>14</v>
      </c>
      <c r="AL201" s="9">
        <v>0</v>
      </c>
      <c r="AM201" s="9">
        <v>18</v>
      </c>
      <c r="AN201" t="s">
        <v>460</v>
      </c>
    </row>
    <row r="202" spans="1:40" x14ac:dyDescent="0.2">
      <c r="A202" t="s">
        <v>185</v>
      </c>
      <c r="B202" t="s">
        <v>186</v>
      </c>
      <c r="C202">
        <v>34</v>
      </c>
      <c r="D202">
        <v>6237</v>
      </c>
      <c r="E202" t="s">
        <v>187</v>
      </c>
      <c r="F202">
        <v>3</v>
      </c>
      <c r="G202" t="s">
        <v>446</v>
      </c>
      <c r="H202" t="s">
        <v>189</v>
      </c>
      <c r="I202" t="s">
        <v>203</v>
      </c>
      <c r="J202">
        <v>8</v>
      </c>
      <c r="K202">
        <v>1</v>
      </c>
      <c r="L202">
        <v>0</v>
      </c>
      <c r="M202" t="s">
        <v>191</v>
      </c>
      <c r="O202" t="s">
        <v>192</v>
      </c>
      <c r="P202">
        <v>84</v>
      </c>
      <c r="Q202">
        <v>34</v>
      </c>
      <c r="R202" t="s">
        <v>204</v>
      </c>
      <c r="S202" t="s">
        <v>205</v>
      </c>
      <c r="T202" t="s">
        <v>206</v>
      </c>
      <c r="U202" t="s">
        <v>207</v>
      </c>
      <c r="V202" t="s">
        <v>208</v>
      </c>
      <c r="W202" t="s">
        <v>192</v>
      </c>
      <c r="X202" t="s">
        <v>198</v>
      </c>
      <c r="Y202" t="s">
        <v>192</v>
      </c>
      <c r="AA202">
        <v>5</v>
      </c>
      <c r="AB202">
        <v>3</v>
      </c>
      <c r="AC202">
        <v>3</v>
      </c>
      <c r="AE202">
        <v>0</v>
      </c>
      <c r="AF202">
        <v>0</v>
      </c>
      <c r="AG202" t="s">
        <v>192</v>
      </c>
      <c r="AH202" t="s">
        <v>189</v>
      </c>
      <c r="AI202" t="s">
        <v>313</v>
      </c>
      <c r="AJ202" s="9">
        <v>1</v>
      </c>
      <c r="AK202" s="9">
        <v>84</v>
      </c>
      <c r="AL202" s="9">
        <v>0</v>
      </c>
      <c r="AM202" s="9">
        <v>85</v>
      </c>
      <c r="AN202" t="s">
        <v>461</v>
      </c>
    </row>
    <row r="203" spans="1:40" x14ac:dyDescent="0.2">
      <c r="A203" t="s">
        <v>185</v>
      </c>
      <c r="B203" t="s">
        <v>186</v>
      </c>
      <c r="C203">
        <v>34</v>
      </c>
      <c r="D203">
        <v>4143</v>
      </c>
      <c r="E203" t="s">
        <v>220</v>
      </c>
      <c r="F203">
        <v>1</v>
      </c>
      <c r="G203" t="s">
        <v>448</v>
      </c>
      <c r="H203" t="s">
        <v>189</v>
      </c>
      <c r="I203" t="s">
        <v>212</v>
      </c>
      <c r="J203">
        <v>7</v>
      </c>
      <c r="K203">
        <v>48</v>
      </c>
      <c r="L203">
        <v>10</v>
      </c>
      <c r="M203" t="s">
        <v>224</v>
      </c>
      <c r="N203" t="s">
        <v>225</v>
      </c>
      <c r="O203" t="s">
        <v>192</v>
      </c>
      <c r="P203">
        <v>149</v>
      </c>
      <c r="Q203">
        <v>32</v>
      </c>
      <c r="R203" t="s">
        <v>204</v>
      </c>
      <c r="S203" t="s">
        <v>205</v>
      </c>
      <c r="T203" t="s">
        <v>206</v>
      </c>
      <c r="U203" t="s">
        <v>207</v>
      </c>
      <c r="V203" t="s">
        <v>208</v>
      </c>
      <c r="W203" t="s">
        <v>192</v>
      </c>
      <c r="X203" t="s">
        <v>198</v>
      </c>
      <c r="Y203" t="s">
        <v>192</v>
      </c>
      <c r="AA203">
        <v>5</v>
      </c>
      <c r="AB203">
        <v>5</v>
      </c>
      <c r="AC203">
        <v>3</v>
      </c>
      <c r="AE203">
        <v>0</v>
      </c>
      <c r="AF203">
        <v>0</v>
      </c>
      <c r="AG203" t="s">
        <v>192</v>
      </c>
      <c r="AH203" t="s">
        <v>189</v>
      </c>
      <c r="AI203" t="s">
        <v>277</v>
      </c>
      <c r="AJ203" s="9">
        <v>48</v>
      </c>
      <c r="AK203" s="9">
        <v>149</v>
      </c>
      <c r="AL203" s="9">
        <v>0</v>
      </c>
      <c r="AM203" s="9">
        <v>197</v>
      </c>
      <c r="AN203" t="s">
        <v>462</v>
      </c>
    </row>
    <row r="204" spans="1:40" x14ac:dyDescent="0.2">
      <c r="A204" t="s">
        <v>185</v>
      </c>
      <c r="B204" t="s">
        <v>186</v>
      </c>
      <c r="C204">
        <v>34</v>
      </c>
      <c r="D204">
        <v>4645</v>
      </c>
      <c r="E204" t="s">
        <v>220</v>
      </c>
      <c r="F204">
        <v>2</v>
      </c>
      <c r="G204" t="s">
        <v>450</v>
      </c>
      <c r="H204" t="s">
        <v>189</v>
      </c>
      <c r="I204" t="s">
        <v>212</v>
      </c>
      <c r="J204">
        <v>8</v>
      </c>
      <c r="K204">
        <v>2</v>
      </c>
      <c r="L204">
        <v>0</v>
      </c>
      <c r="M204" t="s">
        <v>191</v>
      </c>
      <c r="O204" t="s">
        <v>192</v>
      </c>
      <c r="P204">
        <v>66</v>
      </c>
      <c r="Q204">
        <v>16</v>
      </c>
      <c r="R204" t="s">
        <v>213</v>
      </c>
      <c r="S204" t="s">
        <v>214</v>
      </c>
      <c r="T204" t="s">
        <v>215</v>
      </c>
      <c r="U204" t="s">
        <v>216</v>
      </c>
      <c r="V204" t="s">
        <v>217</v>
      </c>
      <c r="W204" t="s">
        <v>192</v>
      </c>
      <c r="X204" t="s">
        <v>198</v>
      </c>
      <c r="Y204" t="s">
        <v>192</v>
      </c>
      <c r="AA204">
        <v>4</v>
      </c>
      <c r="AB204">
        <v>3</v>
      </c>
      <c r="AC204">
        <v>3</v>
      </c>
      <c r="AE204">
        <v>1</v>
      </c>
      <c r="AF204">
        <v>0</v>
      </c>
      <c r="AG204" t="s">
        <v>192</v>
      </c>
      <c r="AH204" t="s">
        <v>199</v>
      </c>
      <c r="AI204" t="s">
        <v>234</v>
      </c>
      <c r="AJ204" s="9">
        <v>2</v>
      </c>
      <c r="AK204" s="9">
        <v>66</v>
      </c>
      <c r="AL204" s="9">
        <v>0</v>
      </c>
      <c r="AM204" s="9">
        <v>68</v>
      </c>
      <c r="AN204" t="s">
        <v>463</v>
      </c>
    </row>
    <row r="205" spans="1:40" x14ac:dyDescent="0.2">
      <c r="A205" t="s">
        <v>185</v>
      </c>
      <c r="B205" t="s">
        <v>186</v>
      </c>
      <c r="C205">
        <v>34</v>
      </c>
      <c r="D205">
        <v>7417</v>
      </c>
      <c r="E205" t="s">
        <v>220</v>
      </c>
      <c r="F205">
        <v>3</v>
      </c>
      <c r="G205" t="s">
        <v>451</v>
      </c>
      <c r="H205" t="s">
        <v>189</v>
      </c>
      <c r="I205" t="s">
        <v>203</v>
      </c>
      <c r="J205">
        <v>8</v>
      </c>
      <c r="K205">
        <v>9</v>
      </c>
      <c r="L205">
        <v>5</v>
      </c>
      <c r="M205" t="s">
        <v>224</v>
      </c>
      <c r="N205" t="s">
        <v>239</v>
      </c>
      <c r="O205" t="s">
        <v>192</v>
      </c>
      <c r="P205">
        <v>14</v>
      </c>
      <c r="Q205">
        <v>7</v>
      </c>
      <c r="R205" t="s">
        <v>193</v>
      </c>
      <c r="S205" t="s">
        <v>194</v>
      </c>
      <c r="U205" t="s">
        <v>195</v>
      </c>
      <c r="V205" t="s">
        <v>196</v>
      </c>
      <c r="W205" t="s">
        <v>229</v>
      </c>
      <c r="X205" t="s">
        <v>198</v>
      </c>
      <c r="Y205" t="s">
        <v>192</v>
      </c>
      <c r="AA205">
        <v>1</v>
      </c>
      <c r="AB205">
        <v>3</v>
      </c>
      <c r="AC205">
        <v>2</v>
      </c>
      <c r="AE205">
        <v>0</v>
      </c>
      <c r="AF205">
        <v>0</v>
      </c>
      <c r="AG205" t="s">
        <v>192</v>
      </c>
      <c r="AH205" t="s">
        <v>198</v>
      </c>
      <c r="AJ205" s="9">
        <v>9</v>
      </c>
      <c r="AK205" s="9">
        <v>14</v>
      </c>
      <c r="AL205" s="9">
        <v>0</v>
      </c>
      <c r="AM205" s="9">
        <v>23</v>
      </c>
      <c r="AN205" t="s">
        <v>461</v>
      </c>
    </row>
    <row r="206" spans="1:40" x14ac:dyDescent="0.2">
      <c r="A206" t="s">
        <v>185</v>
      </c>
      <c r="B206" t="s">
        <v>186</v>
      </c>
      <c r="C206">
        <v>35</v>
      </c>
      <c r="D206">
        <v>5442</v>
      </c>
      <c r="E206" t="s">
        <v>187</v>
      </c>
      <c r="F206">
        <v>1</v>
      </c>
      <c r="G206" t="s">
        <v>442</v>
      </c>
      <c r="H206" t="s">
        <v>189</v>
      </c>
      <c r="I206" t="s">
        <v>212</v>
      </c>
      <c r="J206">
        <v>8</v>
      </c>
      <c r="K206">
        <v>2</v>
      </c>
      <c r="L206">
        <v>1</v>
      </c>
      <c r="M206" t="s">
        <v>191</v>
      </c>
      <c r="O206" t="s">
        <v>192</v>
      </c>
      <c r="P206">
        <v>20</v>
      </c>
      <c r="Q206">
        <v>9</v>
      </c>
      <c r="R206" t="s">
        <v>213</v>
      </c>
      <c r="S206" t="s">
        <v>214</v>
      </c>
      <c r="T206" t="s">
        <v>215</v>
      </c>
      <c r="U206" t="s">
        <v>216</v>
      </c>
      <c r="V206" t="s">
        <v>246</v>
      </c>
      <c r="W206" t="s">
        <v>192</v>
      </c>
      <c r="X206" t="s">
        <v>198</v>
      </c>
      <c r="Y206" t="s">
        <v>192</v>
      </c>
      <c r="AA206">
        <v>3</v>
      </c>
      <c r="AB206">
        <v>3</v>
      </c>
      <c r="AC206">
        <v>2</v>
      </c>
      <c r="AD206" t="s">
        <v>218</v>
      </c>
      <c r="AE206">
        <v>1</v>
      </c>
      <c r="AF206">
        <v>0</v>
      </c>
      <c r="AG206" t="s">
        <v>192</v>
      </c>
      <c r="AH206" t="s">
        <v>199</v>
      </c>
      <c r="AJ206" s="9">
        <v>2</v>
      </c>
      <c r="AK206" s="9">
        <v>20</v>
      </c>
      <c r="AL206" s="9">
        <v>0</v>
      </c>
      <c r="AM206" s="9">
        <v>22</v>
      </c>
      <c r="AN206" t="s">
        <v>464</v>
      </c>
    </row>
    <row r="207" spans="1:40" x14ac:dyDescent="0.2">
      <c r="A207" t="s">
        <v>185</v>
      </c>
      <c r="B207" t="s">
        <v>186</v>
      </c>
      <c r="C207">
        <v>35</v>
      </c>
      <c r="D207">
        <v>3067</v>
      </c>
      <c r="E207" t="s">
        <v>187</v>
      </c>
      <c r="F207">
        <v>2</v>
      </c>
      <c r="G207" t="s">
        <v>444</v>
      </c>
      <c r="H207" t="s">
        <v>189</v>
      </c>
      <c r="I207" t="s">
        <v>212</v>
      </c>
      <c r="J207">
        <v>8</v>
      </c>
      <c r="K207">
        <v>6</v>
      </c>
      <c r="L207">
        <v>1</v>
      </c>
      <c r="M207" t="s">
        <v>191</v>
      </c>
      <c r="O207" t="s">
        <v>192</v>
      </c>
      <c r="P207">
        <v>55</v>
      </c>
      <c r="Q207">
        <v>7</v>
      </c>
      <c r="R207" t="s">
        <v>204</v>
      </c>
      <c r="S207" t="s">
        <v>214</v>
      </c>
      <c r="T207" t="s">
        <v>237</v>
      </c>
      <c r="U207" t="s">
        <v>216</v>
      </c>
      <c r="V207" t="s">
        <v>217</v>
      </c>
      <c r="W207" t="s">
        <v>192</v>
      </c>
      <c r="X207" t="s">
        <v>198</v>
      </c>
      <c r="Y207" t="s">
        <v>192</v>
      </c>
      <c r="AA207">
        <v>3</v>
      </c>
      <c r="AB207">
        <v>4</v>
      </c>
      <c r="AC207">
        <v>5</v>
      </c>
      <c r="AD207" t="s">
        <v>331</v>
      </c>
      <c r="AE207">
        <v>0</v>
      </c>
      <c r="AF207">
        <v>0</v>
      </c>
      <c r="AG207" t="s">
        <v>192</v>
      </c>
      <c r="AH207" t="s">
        <v>189</v>
      </c>
      <c r="AI207" t="s">
        <v>234</v>
      </c>
      <c r="AJ207" s="9">
        <v>6</v>
      </c>
      <c r="AK207" s="9">
        <v>55</v>
      </c>
      <c r="AL207" s="9">
        <v>0</v>
      </c>
      <c r="AM207" s="9">
        <v>61</v>
      </c>
      <c r="AN207" t="s">
        <v>465</v>
      </c>
    </row>
    <row r="208" spans="1:40" x14ac:dyDescent="0.2">
      <c r="A208" t="s">
        <v>185</v>
      </c>
      <c r="B208" t="s">
        <v>186</v>
      </c>
      <c r="C208">
        <v>35</v>
      </c>
      <c r="D208">
        <v>4423</v>
      </c>
      <c r="E208" t="s">
        <v>187</v>
      </c>
      <c r="F208">
        <v>3</v>
      </c>
      <c r="G208" t="s">
        <v>446</v>
      </c>
      <c r="H208" t="s">
        <v>189</v>
      </c>
      <c r="I208" t="s">
        <v>203</v>
      </c>
      <c r="J208">
        <v>8</v>
      </c>
      <c r="K208">
        <v>1</v>
      </c>
      <c r="L208">
        <v>0</v>
      </c>
      <c r="M208" t="s">
        <v>191</v>
      </c>
      <c r="O208" t="s">
        <v>192</v>
      </c>
      <c r="P208">
        <v>72</v>
      </c>
      <c r="Q208">
        <v>32</v>
      </c>
      <c r="R208" t="s">
        <v>204</v>
      </c>
      <c r="S208" t="s">
        <v>214</v>
      </c>
      <c r="T208" t="s">
        <v>206</v>
      </c>
      <c r="U208" t="s">
        <v>207</v>
      </c>
      <c r="V208" t="s">
        <v>217</v>
      </c>
      <c r="W208" t="s">
        <v>192</v>
      </c>
      <c r="X208" t="s">
        <v>198</v>
      </c>
      <c r="Y208" t="s">
        <v>254</v>
      </c>
      <c r="Z208" t="s">
        <v>382</v>
      </c>
      <c r="AA208">
        <v>4</v>
      </c>
      <c r="AB208">
        <v>4</v>
      </c>
      <c r="AC208">
        <v>4</v>
      </c>
      <c r="AE208">
        <v>0</v>
      </c>
      <c r="AF208">
        <v>0</v>
      </c>
      <c r="AG208" t="s">
        <v>192</v>
      </c>
      <c r="AH208" t="s">
        <v>199</v>
      </c>
      <c r="AI208" t="s">
        <v>466</v>
      </c>
      <c r="AJ208" s="9">
        <v>1</v>
      </c>
      <c r="AK208" s="9">
        <v>72</v>
      </c>
      <c r="AL208" s="9">
        <v>10</v>
      </c>
      <c r="AM208" s="9">
        <v>83</v>
      </c>
      <c r="AN208" t="s">
        <v>467</v>
      </c>
    </row>
    <row r="209" spans="1:40" x14ac:dyDescent="0.2">
      <c r="A209" t="s">
        <v>185</v>
      </c>
      <c r="B209" t="s">
        <v>186</v>
      </c>
      <c r="C209">
        <v>35</v>
      </c>
      <c r="D209">
        <v>4096</v>
      </c>
      <c r="E209" t="s">
        <v>220</v>
      </c>
      <c r="F209">
        <v>1</v>
      </c>
      <c r="G209" t="s">
        <v>448</v>
      </c>
      <c r="H209" t="s">
        <v>189</v>
      </c>
      <c r="I209" t="s">
        <v>190</v>
      </c>
      <c r="J209">
        <v>8</v>
      </c>
      <c r="K209">
        <v>9</v>
      </c>
      <c r="L209">
        <v>2</v>
      </c>
      <c r="M209" t="s">
        <v>233</v>
      </c>
      <c r="N209" t="s">
        <v>239</v>
      </c>
      <c r="O209" t="s">
        <v>192</v>
      </c>
      <c r="P209">
        <v>73</v>
      </c>
      <c r="Q209">
        <v>13</v>
      </c>
      <c r="R209" t="s">
        <v>204</v>
      </c>
      <c r="S209" t="s">
        <v>214</v>
      </c>
      <c r="T209" t="s">
        <v>206</v>
      </c>
      <c r="U209" t="s">
        <v>207</v>
      </c>
      <c r="V209" t="s">
        <v>217</v>
      </c>
      <c r="W209" t="s">
        <v>192</v>
      </c>
      <c r="X209" t="s">
        <v>198</v>
      </c>
      <c r="Y209" t="s">
        <v>192</v>
      </c>
      <c r="AA209">
        <v>3</v>
      </c>
      <c r="AB209">
        <v>2</v>
      </c>
      <c r="AC209">
        <v>5</v>
      </c>
      <c r="AE209">
        <v>0</v>
      </c>
      <c r="AF209">
        <v>0</v>
      </c>
      <c r="AG209" t="s">
        <v>192</v>
      </c>
      <c r="AH209" t="s">
        <v>199</v>
      </c>
      <c r="AI209" t="s">
        <v>230</v>
      </c>
      <c r="AJ209" s="9">
        <v>9</v>
      </c>
      <c r="AK209" s="9">
        <v>73</v>
      </c>
      <c r="AL209" s="9">
        <v>0</v>
      </c>
      <c r="AM209" s="9">
        <v>82</v>
      </c>
      <c r="AN209" t="s">
        <v>468</v>
      </c>
    </row>
    <row r="210" spans="1:40" x14ac:dyDescent="0.2">
      <c r="A210" t="s">
        <v>185</v>
      </c>
      <c r="B210" t="s">
        <v>186</v>
      </c>
      <c r="C210">
        <v>35</v>
      </c>
      <c r="D210">
        <v>6651</v>
      </c>
      <c r="E210" t="s">
        <v>220</v>
      </c>
      <c r="F210">
        <v>2</v>
      </c>
      <c r="G210" t="s">
        <v>450</v>
      </c>
      <c r="H210" t="s">
        <v>189</v>
      </c>
      <c r="I210" t="s">
        <v>203</v>
      </c>
      <c r="J210">
        <v>8</v>
      </c>
      <c r="K210">
        <v>10</v>
      </c>
      <c r="L210">
        <v>4</v>
      </c>
      <c r="M210" t="s">
        <v>224</v>
      </c>
      <c r="N210" t="s">
        <v>225</v>
      </c>
      <c r="O210" t="s">
        <v>192</v>
      </c>
      <c r="P210">
        <v>11</v>
      </c>
      <c r="Q210">
        <v>4</v>
      </c>
      <c r="R210" t="s">
        <v>213</v>
      </c>
      <c r="S210" t="s">
        <v>194</v>
      </c>
      <c r="U210" t="s">
        <v>216</v>
      </c>
      <c r="V210" t="s">
        <v>246</v>
      </c>
      <c r="W210" t="s">
        <v>229</v>
      </c>
      <c r="X210" t="s">
        <v>198</v>
      </c>
      <c r="Y210" t="s">
        <v>192</v>
      </c>
      <c r="AA210">
        <v>2</v>
      </c>
      <c r="AB210">
        <v>2</v>
      </c>
      <c r="AC210">
        <v>4</v>
      </c>
      <c r="AE210">
        <v>0</v>
      </c>
      <c r="AF210">
        <v>0</v>
      </c>
      <c r="AG210" t="s">
        <v>192</v>
      </c>
      <c r="AH210" t="s">
        <v>198</v>
      </c>
      <c r="AJ210" s="9">
        <v>10</v>
      </c>
      <c r="AK210" s="9">
        <v>11</v>
      </c>
      <c r="AL210" s="9">
        <v>0</v>
      </c>
      <c r="AM210" s="9">
        <v>21</v>
      </c>
      <c r="AN210" t="s">
        <v>469</v>
      </c>
    </row>
    <row r="211" spans="1:40" x14ac:dyDescent="0.2">
      <c r="A211" t="s">
        <v>185</v>
      </c>
      <c r="B211" t="s">
        <v>186</v>
      </c>
      <c r="C211">
        <v>35</v>
      </c>
      <c r="D211">
        <v>1756</v>
      </c>
      <c r="E211" t="s">
        <v>220</v>
      </c>
      <c r="F211">
        <v>3</v>
      </c>
      <c r="G211" t="s">
        <v>451</v>
      </c>
      <c r="H211" t="s">
        <v>189</v>
      </c>
      <c r="I211" t="s">
        <v>190</v>
      </c>
      <c r="J211">
        <v>8</v>
      </c>
      <c r="K211">
        <v>16</v>
      </c>
      <c r="L211">
        <v>3</v>
      </c>
      <c r="M211" t="s">
        <v>233</v>
      </c>
      <c r="N211" t="s">
        <v>239</v>
      </c>
      <c r="O211" t="s">
        <v>192</v>
      </c>
      <c r="P211">
        <v>156</v>
      </c>
      <c r="Q211">
        <v>29</v>
      </c>
      <c r="R211" t="s">
        <v>204</v>
      </c>
      <c r="S211" t="s">
        <v>205</v>
      </c>
      <c r="T211" t="s">
        <v>206</v>
      </c>
      <c r="U211" t="s">
        <v>207</v>
      </c>
      <c r="V211" t="s">
        <v>208</v>
      </c>
      <c r="W211" t="s">
        <v>192</v>
      </c>
      <c r="X211" t="s">
        <v>198</v>
      </c>
      <c r="Y211" t="s">
        <v>192</v>
      </c>
      <c r="AA211">
        <v>4</v>
      </c>
      <c r="AB211">
        <v>5</v>
      </c>
      <c r="AC211">
        <v>4</v>
      </c>
      <c r="AE211">
        <v>0</v>
      </c>
      <c r="AF211">
        <v>0</v>
      </c>
      <c r="AG211" t="s">
        <v>192</v>
      </c>
      <c r="AH211" t="s">
        <v>189</v>
      </c>
      <c r="AI211" t="s">
        <v>378</v>
      </c>
      <c r="AJ211" s="9">
        <v>16</v>
      </c>
      <c r="AK211" s="9">
        <v>156</v>
      </c>
      <c r="AL211" s="9">
        <v>0</v>
      </c>
      <c r="AM211" s="9">
        <v>172</v>
      </c>
      <c r="AN211" t="s">
        <v>470</v>
      </c>
    </row>
    <row r="212" spans="1:40" x14ac:dyDescent="0.2">
      <c r="A212" t="s">
        <v>185</v>
      </c>
      <c r="B212" t="s">
        <v>186</v>
      </c>
      <c r="C212">
        <v>36</v>
      </c>
      <c r="D212">
        <v>4655</v>
      </c>
      <c r="E212" t="s">
        <v>187</v>
      </c>
      <c r="F212">
        <v>1</v>
      </c>
      <c r="G212" t="s">
        <v>442</v>
      </c>
      <c r="H212" t="s">
        <v>189</v>
      </c>
      <c r="I212" t="s">
        <v>190</v>
      </c>
      <c r="J212">
        <v>8</v>
      </c>
      <c r="K212">
        <v>35</v>
      </c>
      <c r="L212">
        <v>8</v>
      </c>
      <c r="M212" t="s">
        <v>233</v>
      </c>
      <c r="N212" t="s">
        <v>239</v>
      </c>
      <c r="O212" t="s">
        <v>192</v>
      </c>
      <c r="P212">
        <v>24</v>
      </c>
      <c r="Q212">
        <v>6</v>
      </c>
      <c r="R212" t="s">
        <v>204</v>
      </c>
      <c r="S212" t="s">
        <v>214</v>
      </c>
      <c r="T212" t="s">
        <v>206</v>
      </c>
      <c r="U212" t="s">
        <v>207</v>
      </c>
      <c r="V212" t="s">
        <v>217</v>
      </c>
      <c r="W212" t="s">
        <v>192</v>
      </c>
      <c r="X212" t="s">
        <v>198</v>
      </c>
      <c r="Y212" t="s">
        <v>192</v>
      </c>
      <c r="AA212">
        <v>4</v>
      </c>
      <c r="AB212">
        <v>3</v>
      </c>
      <c r="AC212">
        <v>4</v>
      </c>
      <c r="AD212" t="s">
        <v>317</v>
      </c>
      <c r="AE212">
        <v>0</v>
      </c>
      <c r="AF212">
        <v>0</v>
      </c>
      <c r="AG212" t="s">
        <v>192</v>
      </c>
      <c r="AH212" t="s">
        <v>199</v>
      </c>
      <c r="AI212" t="s">
        <v>242</v>
      </c>
      <c r="AJ212" s="9">
        <v>35</v>
      </c>
      <c r="AK212" s="9">
        <v>24</v>
      </c>
      <c r="AL212" s="9">
        <v>0</v>
      </c>
      <c r="AM212" s="9">
        <v>59</v>
      </c>
      <c r="AN212" t="s">
        <v>471</v>
      </c>
    </row>
    <row r="213" spans="1:40" x14ac:dyDescent="0.2">
      <c r="A213" t="s">
        <v>185</v>
      </c>
      <c r="B213" t="s">
        <v>186</v>
      </c>
      <c r="C213">
        <v>36</v>
      </c>
      <c r="D213">
        <v>4156</v>
      </c>
      <c r="E213" t="s">
        <v>187</v>
      </c>
      <c r="F213">
        <v>2</v>
      </c>
      <c r="G213" t="s">
        <v>444</v>
      </c>
      <c r="H213" t="s">
        <v>189</v>
      </c>
      <c r="I213" t="s">
        <v>190</v>
      </c>
      <c r="J213">
        <v>8</v>
      </c>
      <c r="K213">
        <v>3</v>
      </c>
      <c r="L213">
        <v>1</v>
      </c>
      <c r="M213" t="s">
        <v>191</v>
      </c>
      <c r="O213" t="s">
        <v>192</v>
      </c>
      <c r="P213">
        <v>12</v>
      </c>
      <c r="Q213">
        <v>5</v>
      </c>
      <c r="R213" t="s">
        <v>193</v>
      </c>
      <c r="S213" t="s">
        <v>194</v>
      </c>
      <c r="U213" t="s">
        <v>195</v>
      </c>
      <c r="V213" t="s">
        <v>196</v>
      </c>
      <c r="W213" t="s">
        <v>192</v>
      </c>
      <c r="X213" t="s">
        <v>198</v>
      </c>
      <c r="Y213" t="s">
        <v>192</v>
      </c>
      <c r="AA213">
        <v>1</v>
      </c>
      <c r="AB213">
        <v>1</v>
      </c>
      <c r="AC213">
        <v>4</v>
      </c>
      <c r="AD213" t="s">
        <v>218</v>
      </c>
      <c r="AE213">
        <v>0</v>
      </c>
      <c r="AF213">
        <v>0</v>
      </c>
      <c r="AG213" t="s">
        <v>192</v>
      </c>
      <c r="AH213" t="s">
        <v>198</v>
      </c>
      <c r="AJ213" s="9">
        <v>3</v>
      </c>
      <c r="AK213" s="9">
        <v>12</v>
      </c>
      <c r="AL213" s="9">
        <v>0</v>
      </c>
      <c r="AM213" s="9">
        <v>15</v>
      </c>
      <c r="AN213" t="s">
        <v>472</v>
      </c>
    </row>
    <row r="214" spans="1:40" x14ac:dyDescent="0.2">
      <c r="A214" t="s">
        <v>185</v>
      </c>
      <c r="B214" t="s">
        <v>186</v>
      </c>
      <c r="C214">
        <v>36</v>
      </c>
      <c r="D214">
        <v>7848</v>
      </c>
      <c r="E214" t="s">
        <v>187</v>
      </c>
      <c r="F214">
        <v>3</v>
      </c>
      <c r="G214" t="s">
        <v>446</v>
      </c>
      <c r="H214" t="s">
        <v>189</v>
      </c>
      <c r="I214" t="s">
        <v>203</v>
      </c>
      <c r="J214">
        <v>8</v>
      </c>
      <c r="K214">
        <v>6</v>
      </c>
      <c r="L214">
        <v>2</v>
      </c>
      <c r="M214" t="s">
        <v>191</v>
      </c>
      <c r="O214" t="s">
        <v>192</v>
      </c>
      <c r="P214">
        <v>97</v>
      </c>
      <c r="Q214">
        <v>31</v>
      </c>
      <c r="R214" t="s">
        <v>204</v>
      </c>
      <c r="S214" t="s">
        <v>214</v>
      </c>
      <c r="T214" t="s">
        <v>215</v>
      </c>
      <c r="U214" t="s">
        <v>216</v>
      </c>
      <c r="V214" t="s">
        <v>217</v>
      </c>
      <c r="W214" t="s">
        <v>192</v>
      </c>
      <c r="X214" t="s">
        <v>198</v>
      </c>
      <c r="Y214" t="s">
        <v>192</v>
      </c>
      <c r="AA214">
        <v>3</v>
      </c>
      <c r="AB214">
        <v>4</v>
      </c>
      <c r="AC214">
        <v>4</v>
      </c>
      <c r="AE214">
        <v>0</v>
      </c>
      <c r="AF214">
        <v>0</v>
      </c>
      <c r="AG214" t="s">
        <v>192</v>
      </c>
      <c r="AH214" t="s">
        <v>189</v>
      </c>
      <c r="AI214" t="s">
        <v>378</v>
      </c>
      <c r="AJ214" s="9">
        <v>6</v>
      </c>
      <c r="AK214" s="9">
        <v>97</v>
      </c>
      <c r="AL214" s="9">
        <v>0</v>
      </c>
      <c r="AM214" s="9">
        <v>103</v>
      </c>
      <c r="AN214" t="s">
        <v>473</v>
      </c>
    </row>
    <row r="215" spans="1:40" x14ac:dyDescent="0.2">
      <c r="A215" t="s">
        <v>185</v>
      </c>
      <c r="B215" t="s">
        <v>186</v>
      </c>
      <c r="C215">
        <v>36</v>
      </c>
      <c r="D215">
        <v>4213</v>
      </c>
      <c r="E215" t="s">
        <v>220</v>
      </c>
      <c r="F215">
        <v>1</v>
      </c>
      <c r="G215" t="s">
        <v>448</v>
      </c>
      <c r="H215" t="s">
        <v>189</v>
      </c>
      <c r="I215" t="s">
        <v>212</v>
      </c>
      <c r="J215">
        <v>8</v>
      </c>
      <c r="K215">
        <v>2</v>
      </c>
      <c r="L215">
        <v>0</v>
      </c>
      <c r="M215" t="s">
        <v>191</v>
      </c>
      <c r="O215" t="s">
        <v>192</v>
      </c>
      <c r="P215">
        <v>50</v>
      </c>
      <c r="Q215">
        <v>9</v>
      </c>
      <c r="R215" t="s">
        <v>204</v>
      </c>
      <c r="S215" t="s">
        <v>214</v>
      </c>
      <c r="T215" t="s">
        <v>237</v>
      </c>
      <c r="U215" t="s">
        <v>216</v>
      </c>
      <c r="V215" t="s">
        <v>217</v>
      </c>
      <c r="W215" t="s">
        <v>192</v>
      </c>
      <c r="X215" t="s">
        <v>198</v>
      </c>
      <c r="Y215" t="s">
        <v>192</v>
      </c>
      <c r="AA215">
        <v>4</v>
      </c>
      <c r="AB215">
        <v>3</v>
      </c>
      <c r="AC215">
        <v>3</v>
      </c>
      <c r="AE215">
        <v>2</v>
      </c>
      <c r="AF215">
        <v>0</v>
      </c>
      <c r="AG215" t="s">
        <v>192</v>
      </c>
      <c r="AH215" t="s">
        <v>199</v>
      </c>
      <c r="AI215" t="s">
        <v>234</v>
      </c>
      <c r="AJ215" s="9">
        <v>2</v>
      </c>
      <c r="AK215" s="9">
        <v>50</v>
      </c>
      <c r="AL215" s="9">
        <v>0</v>
      </c>
      <c r="AM215" s="9">
        <v>52</v>
      </c>
      <c r="AN215" t="s">
        <v>474</v>
      </c>
    </row>
    <row r="216" spans="1:40" x14ac:dyDescent="0.2">
      <c r="A216" t="s">
        <v>185</v>
      </c>
      <c r="B216" t="s">
        <v>186</v>
      </c>
      <c r="C216">
        <v>36</v>
      </c>
      <c r="D216">
        <v>2861</v>
      </c>
      <c r="E216" t="s">
        <v>220</v>
      </c>
      <c r="F216">
        <v>2</v>
      </c>
      <c r="G216" t="s">
        <v>450</v>
      </c>
      <c r="H216" t="s">
        <v>189</v>
      </c>
      <c r="I216" t="s">
        <v>203</v>
      </c>
      <c r="J216">
        <v>8</v>
      </c>
      <c r="K216">
        <v>16</v>
      </c>
      <c r="L216">
        <v>4</v>
      </c>
      <c r="M216" t="s">
        <v>224</v>
      </c>
      <c r="N216" t="s">
        <v>225</v>
      </c>
      <c r="O216" t="s">
        <v>192</v>
      </c>
      <c r="P216">
        <v>73</v>
      </c>
      <c r="Q216">
        <v>19</v>
      </c>
      <c r="R216" t="s">
        <v>204</v>
      </c>
      <c r="S216" t="s">
        <v>205</v>
      </c>
      <c r="T216" t="s">
        <v>206</v>
      </c>
      <c r="U216" t="s">
        <v>207</v>
      </c>
      <c r="V216" t="s">
        <v>208</v>
      </c>
      <c r="W216" t="s">
        <v>192</v>
      </c>
      <c r="X216" t="s">
        <v>198</v>
      </c>
      <c r="Y216" t="s">
        <v>192</v>
      </c>
      <c r="AA216">
        <v>5</v>
      </c>
      <c r="AB216">
        <v>5</v>
      </c>
      <c r="AC216">
        <v>4</v>
      </c>
      <c r="AD216" t="s">
        <v>292</v>
      </c>
      <c r="AE216">
        <v>1</v>
      </c>
      <c r="AF216">
        <v>0</v>
      </c>
      <c r="AG216" t="s">
        <v>192</v>
      </c>
      <c r="AH216" t="s">
        <v>189</v>
      </c>
      <c r="AI216" t="s">
        <v>226</v>
      </c>
      <c r="AJ216" s="9">
        <v>16</v>
      </c>
      <c r="AK216" s="9">
        <v>73</v>
      </c>
      <c r="AL216" s="9">
        <v>0</v>
      </c>
      <c r="AM216" s="9">
        <v>89</v>
      </c>
      <c r="AN216" t="s">
        <v>475</v>
      </c>
    </row>
    <row r="217" spans="1:40" x14ac:dyDescent="0.2">
      <c r="A217" t="s">
        <v>185</v>
      </c>
      <c r="B217" t="s">
        <v>186</v>
      </c>
      <c r="C217">
        <v>36</v>
      </c>
      <c r="D217">
        <v>8719</v>
      </c>
      <c r="E217" t="s">
        <v>220</v>
      </c>
      <c r="F217">
        <v>3</v>
      </c>
      <c r="G217" t="s">
        <v>451</v>
      </c>
      <c r="H217" t="s">
        <v>189</v>
      </c>
      <c r="I217" t="s">
        <v>190</v>
      </c>
      <c r="J217">
        <v>5</v>
      </c>
      <c r="K217">
        <v>7</v>
      </c>
      <c r="L217">
        <v>4</v>
      </c>
      <c r="M217" t="s">
        <v>233</v>
      </c>
      <c r="N217" t="s">
        <v>225</v>
      </c>
      <c r="O217" t="s">
        <v>192</v>
      </c>
      <c r="P217">
        <v>4</v>
      </c>
      <c r="Q217">
        <v>2</v>
      </c>
      <c r="R217" t="s">
        <v>193</v>
      </c>
      <c r="S217" t="s">
        <v>194</v>
      </c>
      <c r="U217" t="s">
        <v>250</v>
      </c>
      <c r="V217" t="s">
        <v>196</v>
      </c>
      <c r="W217" t="s">
        <v>197</v>
      </c>
      <c r="X217" t="s">
        <v>198</v>
      </c>
      <c r="Y217" t="s">
        <v>192</v>
      </c>
      <c r="AA217">
        <v>1</v>
      </c>
      <c r="AB217">
        <v>1</v>
      </c>
      <c r="AC217">
        <v>4</v>
      </c>
      <c r="AE217">
        <v>1</v>
      </c>
      <c r="AF217">
        <v>0</v>
      </c>
      <c r="AG217" t="s">
        <v>192</v>
      </c>
      <c r="AH217" t="s">
        <v>199</v>
      </c>
      <c r="AI217" t="s">
        <v>200</v>
      </c>
      <c r="AJ217" s="9">
        <v>7</v>
      </c>
      <c r="AK217" s="9">
        <v>4</v>
      </c>
      <c r="AL217" s="9">
        <v>0</v>
      </c>
      <c r="AM217" s="9">
        <v>11</v>
      </c>
      <c r="AN217" t="s">
        <v>476</v>
      </c>
    </row>
    <row r="218" spans="1:40" x14ac:dyDescent="0.2">
      <c r="A218" t="s">
        <v>185</v>
      </c>
      <c r="B218" t="s">
        <v>186</v>
      </c>
      <c r="C218">
        <v>37</v>
      </c>
      <c r="D218">
        <v>2040</v>
      </c>
      <c r="E218" t="s">
        <v>187</v>
      </c>
      <c r="F218">
        <v>1</v>
      </c>
      <c r="G218" t="s">
        <v>442</v>
      </c>
      <c r="H218" t="s">
        <v>189</v>
      </c>
      <c r="I218" t="s">
        <v>203</v>
      </c>
      <c r="J218">
        <v>5</v>
      </c>
      <c r="K218">
        <v>23</v>
      </c>
      <c r="L218">
        <v>7</v>
      </c>
      <c r="M218" t="s">
        <v>224</v>
      </c>
      <c r="N218" t="s">
        <v>239</v>
      </c>
      <c r="O218" t="s">
        <v>192</v>
      </c>
      <c r="P218">
        <v>126</v>
      </c>
      <c r="Q218">
        <v>38</v>
      </c>
      <c r="R218" t="s">
        <v>204</v>
      </c>
      <c r="S218" t="s">
        <v>205</v>
      </c>
      <c r="T218" t="s">
        <v>206</v>
      </c>
      <c r="U218" t="s">
        <v>207</v>
      </c>
      <c r="V218" t="s">
        <v>208</v>
      </c>
      <c r="W218" t="s">
        <v>192</v>
      </c>
      <c r="X218" t="s">
        <v>229</v>
      </c>
      <c r="Y218" t="s">
        <v>192</v>
      </c>
      <c r="AA218">
        <v>4</v>
      </c>
      <c r="AB218">
        <v>5</v>
      </c>
      <c r="AC218">
        <v>4</v>
      </c>
      <c r="AE218">
        <v>0</v>
      </c>
      <c r="AF218">
        <v>0</v>
      </c>
      <c r="AG218" t="s">
        <v>192</v>
      </c>
      <c r="AH218" t="s">
        <v>189</v>
      </c>
      <c r="AI218" t="s">
        <v>279</v>
      </c>
      <c r="AJ218" s="9">
        <v>23</v>
      </c>
      <c r="AK218" s="9">
        <v>126</v>
      </c>
      <c r="AL218" s="9">
        <v>0</v>
      </c>
      <c r="AM218" s="9">
        <v>149</v>
      </c>
      <c r="AN218" t="s">
        <v>477</v>
      </c>
    </row>
    <row r="219" spans="1:40" x14ac:dyDescent="0.2">
      <c r="A219" t="s">
        <v>185</v>
      </c>
      <c r="B219" t="s">
        <v>186</v>
      </c>
      <c r="C219">
        <v>37</v>
      </c>
      <c r="D219">
        <v>7417</v>
      </c>
      <c r="E219" t="s">
        <v>187</v>
      </c>
      <c r="F219">
        <v>2</v>
      </c>
      <c r="G219" t="s">
        <v>444</v>
      </c>
      <c r="H219" t="s">
        <v>189</v>
      </c>
      <c r="I219" t="s">
        <v>203</v>
      </c>
      <c r="J219">
        <v>8</v>
      </c>
      <c r="K219">
        <v>9</v>
      </c>
      <c r="L219">
        <v>5</v>
      </c>
      <c r="M219" t="s">
        <v>233</v>
      </c>
      <c r="N219" t="s">
        <v>239</v>
      </c>
      <c r="O219" t="s">
        <v>192</v>
      </c>
      <c r="P219">
        <v>10</v>
      </c>
      <c r="Q219">
        <v>5</v>
      </c>
      <c r="R219" t="s">
        <v>193</v>
      </c>
      <c r="S219" t="s">
        <v>194</v>
      </c>
      <c r="U219" t="s">
        <v>195</v>
      </c>
      <c r="V219" t="s">
        <v>196</v>
      </c>
      <c r="W219" t="s">
        <v>192</v>
      </c>
      <c r="X219" t="s">
        <v>198</v>
      </c>
      <c r="Y219" t="s">
        <v>192</v>
      </c>
      <c r="AA219">
        <v>2</v>
      </c>
      <c r="AB219">
        <v>1</v>
      </c>
      <c r="AC219">
        <v>2</v>
      </c>
      <c r="AD219" t="s">
        <v>292</v>
      </c>
      <c r="AE219">
        <v>0</v>
      </c>
      <c r="AF219">
        <v>0</v>
      </c>
      <c r="AG219" t="s">
        <v>192</v>
      </c>
      <c r="AH219" t="s">
        <v>198</v>
      </c>
      <c r="AJ219" s="9">
        <v>9</v>
      </c>
      <c r="AK219" s="9">
        <v>10</v>
      </c>
      <c r="AL219" s="9">
        <v>0</v>
      </c>
      <c r="AM219" s="9">
        <v>19</v>
      </c>
      <c r="AN219" t="s">
        <v>478</v>
      </c>
    </row>
    <row r="220" spans="1:40" x14ac:dyDescent="0.2">
      <c r="A220" t="s">
        <v>185</v>
      </c>
      <c r="B220" t="s">
        <v>186</v>
      </c>
      <c r="C220">
        <v>37</v>
      </c>
      <c r="D220">
        <v>1736</v>
      </c>
      <c r="E220" t="s">
        <v>187</v>
      </c>
      <c r="F220">
        <v>3</v>
      </c>
      <c r="G220" t="s">
        <v>446</v>
      </c>
      <c r="H220" t="s">
        <v>189</v>
      </c>
      <c r="I220" t="s">
        <v>203</v>
      </c>
      <c r="J220">
        <v>5</v>
      </c>
      <c r="K220">
        <v>4</v>
      </c>
      <c r="L220">
        <v>2</v>
      </c>
      <c r="M220" t="s">
        <v>191</v>
      </c>
      <c r="O220" t="s">
        <v>192</v>
      </c>
      <c r="P220">
        <v>31</v>
      </c>
      <c r="Q220">
        <v>16</v>
      </c>
      <c r="R220" t="s">
        <v>213</v>
      </c>
      <c r="S220" t="s">
        <v>194</v>
      </c>
      <c r="T220" t="s">
        <v>215</v>
      </c>
      <c r="U220" t="s">
        <v>216</v>
      </c>
      <c r="V220" t="s">
        <v>246</v>
      </c>
      <c r="W220" t="s">
        <v>229</v>
      </c>
      <c r="X220" t="s">
        <v>198</v>
      </c>
      <c r="Y220" t="s">
        <v>192</v>
      </c>
      <c r="AA220">
        <v>4</v>
      </c>
      <c r="AB220">
        <v>2</v>
      </c>
      <c r="AC220">
        <v>3</v>
      </c>
      <c r="AE220">
        <v>0</v>
      </c>
      <c r="AF220">
        <v>0</v>
      </c>
      <c r="AG220" t="s">
        <v>192</v>
      </c>
      <c r="AH220" t="s">
        <v>199</v>
      </c>
      <c r="AJ220" s="9">
        <v>4</v>
      </c>
      <c r="AK220" s="9">
        <v>31</v>
      </c>
      <c r="AL220" s="9">
        <v>0</v>
      </c>
      <c r="AM220" s="9">
        <v>35</v>
      </c>
      <c r="AN220" t="s">
        <v>479</v>
      </c>
    </row>
    <row r="221" spans="1:40" x14ac:dyDescent="0.2">
      <c r="A221" t="s">
        <v>185</v>
      </c>
      <c r="B221" t="s">
        <v>186</v>
      </c>
      <c r="C221">
        <v>37</v>
      </c>
      <c r="D221">
        <v>7472</v>
      </c>
      <c r="E221" t="s">
        <v>220</v>
      </c>
      <c r="F221">
        <v>1</v>
      </c>
      <c r="G221" t="s">
        <v>448</v>
      </c>
      <c r="H221" t="s">
        <v>189</v>
      </c>
      <c r="I221" t="s">
        <v>190</v>
      </c>
      <c r="J221">
        <v>8</v>
      </c>
      <c r="K221">
        <v>6</v>
      </c>
      <c r="L221">
        <v>5</v>
      </c>
      <c r="M221" t="s">
        <v>191</v>
      </c>
      <c r="O221" t="s">
        <v>192</v>
      </c>
      <c r="P221">
        <v>6</v>
      </c>
      <c r="Q221">
        <v>5</v>
      </c>
      <c r="R221" t="s">
        <v>193</v>
      </c>
      <c r="S221" t="s">
        <v>194</v>
      </c>
      <c r="U221" t="s">
        <v>262</v>
      </c>
      <c r="V221" t="s">
        <v>196</v>
      </c>
      <c r="W221" t="s">
        <v>192</v>
      </c>
      <c r="X221" t="s">
        <v>198</v>
      </c>
      <c r="Y221" t="s">
        <v>192</v>
      </c>
      <c r="AA221">
        <v>1</v>
      </c>
      <c r="AB221">
        <v>1</v>
      </c>
      <c r="AC221">
        <v>2</v>
      </c>
      <c r="AE221">
        <v>2</v>
      </c>
      <c r="AF221">
        <v>0</v>
      </c>
      <c r="AG221" t="s">
        <v>192</v>
      </c>
      <c r="AH221" t="s">
        <v>198</v>
      </c>
      <c r="AI221" t="s">
        <v>244</v>
      </c>
      <c r="AJ221" s="9">
        <v>6</v>
      </c>
      <c r="AK221" s="9">
        <v>6</v>
      </c>
      <c r="AL221" s="9">
        <v>0</v>
      </c>
      <c r="AM221" s="9">
        <v>12</v>
      </c>
      <c r="AN221" t="s">
        <v>480</v>
      </c>
    </row>
    <row r="222" spans="1:40" x14ac:dyDescent="0.2">
      <c r="A222" t="s">
        <v>185</v>
      </c>
      <c r="B222" t="s">
        <v>186</v>
      </c>
      <c r="C222">
        <v>37</v>
      </c>
      <c r="D222">
        <v>9082</v>
      </c>
      <c r="E222" t="s">
        <v>220</v>
      </c>
      <c r="F222">
        <v>2</v>
      </c>
      <c r="G222" t="s">
        <v>450</v>
      </c>
      <c r="H222" t="s">
        <v>189</v>
      </c>
      <c r="I222" t="s">
        <v>190</v>
      </c>
      <c r="J222">
        <v>8</v>
      </c>
      <c r="K222">
        <v>6</v>
      </c>
      <c r="L222">
        <v>0</v>
      </c>
      <c r="M222" t="s">
        <v>191</v>
      </c>
      <c r="O222" t="s">
        <v>192</v>
      </c>
      <c r="P222">
        <v>106</v>
      </c>
      <c r="Q222">
        <v>7</v>
      </c>
      <c r="R222" t="s">
        <v>204</v>
      </c>
      <c r="S222" t="s">
        <v>205</v>
      </c>
      <c r="T222" t="s">
        <v>206</v>
      </c>
      <c r="U222" t="s">
        <v>207</v>
      </c>
      <c r="V222" t="s">
        <v>217</v>
      </c>
      <c r="W222" t="s">
        <v>192</v>
      </c>
      <c r="X222" t="s">
        <v>198</v>
      </c>
      <c r="Y222" t="s">
        <v>192</v>
      </c>
      <c r="AA222">
        <v>5</v>
      </c>
      <c r="AB222">
        <v>5</v>
      </c>
      <c r="AC222">
        <v>5</v>
      </c>
      <c r="AE222">
        <v>1</v>
      </c>
      <c r="AF222">
        <v>0</v>
      </c>
      <c r="AG222" t="s">
        <v>192</v>
      </c>
      <c r="AH222" t="s">
        <v>189</v>
      </c>
      <c r="AI222" t="s">
        <v>286</v>
      </c>
      <c r="AJ222" s="9">
        <v>6</v>
      </c>
      <c r="AK222" s="9">
        <v>106</v>
      </c>
      <c r="AL222" s="9">
        <v>0</v>
      </c>
      <c r="AM222" s="9">
        <v>112</v>
      </c>
      <c r="AN222" t="s">
        <v>481</v>
      </c>
    </row>
    <row r="223" spans="1:40" x14ac:dyDescent="0.2">
      <c r="A223" t="s">
        <v>185</v>
      </c>
      <c r="B223" t="s">
        <v>186</v>
      </c>
      <c r="C223">
        <v>37</v>
      </c>
      <c r="D223">
        <v>8096</v>
      </c>
      <c r="E223" t="s">
        <v>220</v>
      </c>
      <c r="F223">
        <v>3</v>
      </c>
      <c r="G223" t="s">
        <v>451</v>
      </c>
      <c r="H223" t="s">
        <v>189</v>
      </c>
      <c r="I223" t="s">
        <v>203</v>
      </c>
      <c r="J223">
        <v>8</v>
      </c>
      <c r="K223">
        <v>12</v>
      </c>
      <c r="L223">
        <v>7</v>
      </c>
      <c r="M223" t="s">
        <v>224</v>
      </c>
      <c r="N223" t="s">
        <v>239</v>
      </c>
      <c r="O223" t="s">
        <v>192</v>
      </c>
      <c r="P223">
        <v>78</v>
      </c>
      <c r="Q223">
        <v>44</v>
      </c>
      <c r="R223" t="s">
        <v>213</v>
      </c>
      <c r="S223" t="s">
        <v>214</v>
      </c>
      <c r="T223" t="s">
        <v>215</v>
      </c>
      <c r="U223" t="s">
        <v>216</v>
      </c>
      <c r="V223" t="s">
        <v>246</v>
      </c>
      <c r="W223" t="s">
        <v>192</v>
      </c>
      <c r="X223" t="s">
        <v>198</v>
      </c>
      <c r="Y223" t="s">
        <v>192</v>
      </c>
      <c r="AA223">
        <v>4</v>
      </c>
      <c r="AB223">
        <v>2</v>
      </c>
      <c r="AC223">
        <v>2</v>
      </c>
      <c r="AE223">
        <v>0</v>
      </c>
      <c r="AF223">
        <v>0</v>
      </c>
      <c r="AG223" t="s">
        <v>192</v>
      </c>
      <c r="AH223" t="s">
        <v>198</v>
      </c>
      <c r="AI223" t="s">
        <v>234</v>
      </c>
      <c r="AJ223" s="9">
        <v>12</v>
      </c>
      <c r="AK223" s="9">
        <v>78</v>
      </c>
      <c r="AL223" s="9">
        <v>0</v>
      </c>
      <c r="AM223" s="9">
        <v>90</v>
      </c>
      <c r="AN223" t="s">
        <v>482</v>
      </c>
    </row>
    <row r="224" spans="1:40" x14ac:dyDescent="0.2">
      <c r="A224" t="s">
        <v>185</v>
      </c>
      <c r="B224" t="s">
        <v>186</v>
      </c>
      <c r="C224">
        <v>38</v>
      </c>
      <c r="D224">
        <v>5442</v>
      </c>
      <c r="E224" t="s">
        <v>187</v>
      </c>
      <c r="F224">
        <v>1</v>
      </c>
      <c r="G224" t="s">
        <v>442</v>
      </c>
      <c r="H224" t="s">
        <v>189</v>
      </c>
      <c r="I224" t="s">
        <v>212</v>
      </c>
      <c r="J224">
        <v>8</v>
      </c>
      <c r="K224">
        <v>1</v>
      </c>
      <c r="L224">
        <v>1</v>
      </c>
      <c r="M224" t="s">
        <v>191</v>
      </c>
      <c r="O224" t="s">
        <v>192</v>
      </c>
      <c r="P224">
        <v>17</v>
      </c>
      <c r="Q224">
        <v>9</v>
      </c>
      <c r="R224" t="s">
        <v>213</v>
      </c>
      <c r="S224" t="s">
        <v>214</v>
      </c>
      <c r="T224" t="s">
        <v>215</v>
      </c>
      <c r="U224" t="s">
        <v>216</v>
      </c>
      <c r="V224" t="s">
        <v>246</v>
      </c>
      <c r="W224" t="s">
        <v>192</v>
      </c>
      <c r="X224" t="s">
        <v>198</v>
      </c>
      <c r="Y224" t="s">
        <v>192</v>
      </c>
      <c r="AA224">
        <v>2</v>
      </c>
      <c r="AB224">
        <v>1</v>
      </c>
      <c r="AC224">
        <v>3</v>
      </c>
      <c r="AE224">
        <v>0</v>
      </c>
      <c r="AF224">
        <v>0</v>
      </c>
      <c r="AG224" t="s">
        <v>192</v>
      </c>
      <c r="AH224" t="s">
        <v>189</v>
      </c>
      <c r="AJ224" s="9">
        <v>1</v>
      </c>
      <c r="AK224" s="9">
        <v>17</v>
      </c>
      <c r="AL224" s="9">
        <v>0</v>
      </c>
      <c r="AM224" s="9">
        <v>18</v>
      </c>
      <c r="AN224" t="s">
        <v>483</v>
      </c>
    </row>
    <row r="225" spans="1:40" x14ac:dyDescent="0.2">
      <c r="A225" t="s">
        <v>185</v>
      </c>
      <c r="B225" t="s">
        <v>186</v>
      </c>
      <c r="C225">
        <v>38</v>
      </c>
      <c r="D225">
        <v>1625</v>
      </c>
      <c r="E225" t="s">
        <v>187</v>
      </c>
      <c r="F225">
        <v>2</v>
      </c>
      <c r="G225" t="s">
        <v>444</v>
      </c>
      <c r="H225" t="s">
        <v>189</v>
      </c>
      <c r="I225" t="s">
        <v>212</v>
      </c>
      <c r="J225">
        <v>8</v>
      </c>
      <c r="K225">
        <v>16</v>
      </c>
      <c r="L225">
        <v>4</v>
      </c>
      <c r="M225" t="s">
        <v>233</v>
      </c>
      <c r="N225" t="s">
        <v>225</v>
      </c>
      <c r="O225" t="s">
        <v>192</v>
      </c>
      <c r="P225">
        <v>119</v>
      </c>
      <c r="Q225">
        <v>28</v>
      </c>
      <c r="R225" t="s">
        <v>204</v>
      </c>
      <c r="S225" t="s">
        <v>205</v>
      </c>
      <c r="T225" t="s">
        <v>206</v>
      </c>
      <c r="U225" t="s">
        <v>207</v>
      </c>
      <c r="V225" t="s">
        <v>208</v>
      </c>
      <c r="W225" t="s">
        <v>192</v>
      </c>
      <c r="X225" t="s">
        <v>198</v>
      </c>
      <c r="Y225" t="s">
        <v>192</v>
      </c>
      <c r="AA225">
        <v>5</v>
      </c>
      <c r="AB225">
        <v>5</v>
      </c>
      <c r="AC225">
        <v>4</v>
      </c>
      <c r="AE225">
        <v>0</v>
      </c>
      <c r="AF225">
        <v>0</v>
      </c>
      <c r="AG225" t="s">
        <v>192</v>
      </c>
      <c r="AH225" t="s">
        <v>189</v>
      </c>
      <c r="AI225" t="s">
        <v>279</v>
      </c>
      <c r="AJ225" s="9">
        <v>16</v>
      </c>
      <c r="AK225" s="9">
        <v>119</v>
      </c>
      <c r="AL225" s="9">
        <v>0</v>
      </c>
      <c r="AM225" s="9">
        <v>135</v>
      </c>
      <c r="AN225" t="s">
        <v>484</v>
      </c>
    </row>
    <row r="226" spans="1:40" x14ac:dyDescent="0.2">
      <c r="A226" t="s">
        <v>185</v>
      </c>
      <c r="B226" t="s">
        <v>186</v>
      </c>
      <c r="C226">
        <v>38</v>
      </c>
      <c r="D226">
        <v>8020</v>
      </c>
      <c r="E226" t="s">
        <v>187</v>
      </c>
      <c r="F226">
        <v>3</v>
      </c>
      <c r="G226" t="s">
        <v>446</v>
      </c>
      <c r="H226" t="s">
        <v>189</v>
      </c>
      <c r="I226" t="s">
        <v>190</v>
      </c>
      <c r="J226">
        <v>8</v>
      </c>
      <c r="K226">
        <v>29</v>
      </c>
      <c r="L226">
        <v>2</v>
      </c>
      <c r="M226" t="s">
        <v>233</v>
      </c>
      <c r="N226" t="s">
        <v>239</v>
      </c>
      <c r="O226" t="s">
        <v>192</v>
      </c>
      <c r="P226">
        <v>50</v>
      </c>
      <c r="Q226">
        <v>4</v>
      </c>
      <c r="R226" t="s">
        <v>204</v>
      </c>
      <c r="S226" t="s">
        <v>205</v>
      </c>
      <c r="T226" t="s">
        <v>206</v>
      </c>
      <c r="U226" t="s">
        <v>207</v>
      </c>
      <c r="V226" t="s">
        <v>208</v>
      </c>
      <c r="W226" t="s">
        <v>192</v>
      </c>
      <c r="X226" t="s">
        <v>240</v>
      </c>
      <c r="Y226" t="s">
        <v>192</v>
      </c>
      <c r="AA226">
        <v>3</v>
      </c>
      <c r="AB226">
        <v>5</v>
      </c>
      <c r="AC226">
        <v>5</v>
      </c>
      <c r="AE226">
        <v>1</v>
      </c>
      <c r="AF226">
        <v>0</v>
      </c>
      <c r="AG226" t="s">
        <v>192</v>
      </c>
      <c r="AH226" t="s">
        <v>189</v>
      </c>
      <c r="AI226" t="s">
        <v>234</v>
      </c>
      <c r="AJ226" s="9">
        <v>29</v>
      </c>
      <c r="AK226" s="9">
        <v>50</v>
      </c>
      <c r="AL226" s="9">
        <v>0</v>
      </c>
      <c r="AM226" s="9">
        <v>79</v>
      </c>
      <c r="AN226" t="s">
        <v>485</v>
      </c>
    </row>
    <row r="227" spans="1:40" x14ac:dyDescent="0.2">
      <c r="A227" t="s">
        <v>185</v>
      </c>
      <c r="B227" t="s">
        <v>186</v>
      </c>
      <c r="C227">
        <v>38</v>
      </c>
      <c r="D227">
        <v>4787</v>
      </c>
      <c r="E227" t="s">
        <v>220</v>
      </c>
      <c r="F227">
        <v>1</v>
      </c>
      <c r="G227" t="s">
        <v>448</v>
      </c>
      <c r="H227" t="s">
        <v>189</v>
      </c>
      <c r="I227" t="s">
        <v>212</v>
      </c>
      <c r="J227">
        <v>7</v>
      </c>
      <c r="K227">
        <v>1</v>
      </c>
      <c r="L227">
        <v>0</v>
      </c>
      <c r="M227" t="s">
        <v>191</v>
      </c>
      <c r="O227" t="s">
        <v>192</v>
      </c>
      <c r="P227">
        <v>27</v>
      </c>
      <c r="Q227">
        <v>10</v>
      </c>
      <c r="R227" t="s">
        <v>213</v>
      </c>
      <c r="S227" t="s">
        <v>214</v>
      </c>
      <c r="T227" t="s">
        <v>215</v>
      </c>
      <c r="U227" t="s">
        <v>216</v>
      </c>
      <c r="V227" t="s">
        <v>246</v>
      </c>
      <c r="W227" t="s">
        <v>192</v>
      </c>
      <c r="X227" t="s">
        <v>198</v>
      </c>
      <c r="Y227" t="s">
        <v>192</v>
      </c>
      <c r="AA227">
        <v>2</v>
      </c>
      <c r="AB227">
        <v>2</v>
      </c>
      <c r="AC227">
        <v>5</v>
      </c>
      <c r="AE227">
        <v>0</v>
      </c>
      <c r="AF227">
        <v>0</v>
      </c>
      <c r="AG227" t="s">
        <v>192</v>
      </c>
      <c r="AH227" t="s">
        <v>198</v>
      </c>
      <c r="AJ227" s="9">
        <v>1</v>
      </c>
      <c r="AK227" s="9">
        <v>27</v>
      </c>
      <c r="AL227" s="9">
        <v>0</v>
      </c>
      <c r="AM227" s="9">
        <v>28</v>
      </c>
      <c r="AN227" t="s">
        <v>486</v>
      </c>
    </row>
    <row r="228" spans="1:40" x14ac:dyDescent="0.2">
      <c r="A228" t="s">
        <v>185</v>
      </c>
      <c r="B228" t="s">
        <v>186</v>
      </c>
      <c r="C228">
        <v>38</v>
      </c>
      <c r="D228">
        <v>1756</v>
      </c>
      <c r="E228" t="s">
        <v>220</v>
      </c>
      <c r="F228">
        <v>2</v>
      </c>
      <c r="G228" t="s">
        <v>450</v>
      </c>
      <c r="H228" t="s">
        <v>189</v>
      </c>
      <c r="I228" t="s">
        <v>190</v>
      </c>
      <c r="J228">
        <v>8</v>
      </c>
      <c r="K228">
        <v>16</v>
      </c>
      <c r="L228">
        <v>3</v>
      </c>
      <c r="M228" t="s">
        <v>233</v>
      </c>
      <c r="N228" t="s">
        <v>225</v>
      </c>
      <c r="O228" t="s">
        <v>192</v>
      </c>
      <c r="P228">
        <v>59</v>
      </c>
      <c r="Q228">
        <v>12</v>
      </c>
      <c r="R228" t="s">
        <v>204</v>
      </c>
      <c r="S228" t="s">
        <v>205</v>
      </c>
      <c r="T228" t="s">
        <v>206</v>
      </c>
      <c r="U228" t="s">
        <v>207</v>
      </c>
      <c r="V228" t="s">
        <v>208</v>
      </c>
      <c r="W228" t="s">
        <v>192</v>
      </c>
      <c r="X228" t="s">
        <v>198</v>
      </c>
      <c r="Y228" t="s">
        <v>192</v>
      </c>
      <c r="AA228">
        <v>4</v>
      </c>
      <c r="AB228">
        <v>3</v>
      </c>
      <c r="AC228">
        <v>5</v>
      </c>
      <c r="AD228" t="s">
        <v>317</v>
      </c>
      <c r="AE228">
        <v>0</v>
      </c>
      <c r="AF228">
        <v>0</v>
      </c>
      <c r="AG228" t="s">
        <v>192</v>
      </c>
      <c r="AH228" t="s">
        <v>189</v>
      </c>
      <c r="AI228" t="s">
        <v>487</v>
      </c>
      <c r="AJ228" s="9">
        <v>16</v>
      </c>
      <c r="AK228" s="9">
        <v>59</v>
      </c>
      <c r="AL228" s="9">
        <v>0</v>
      </c>
      <c r="AM228" s="9">
        <v>75</v>
      </c>
      <c r="AN228" t="s">
        <v>488</v>
      </c>
    </row>
    <row r="229" spans="1:40" x14ac:dyDescent="0.2">
      <c r="A229" t="s">
        <v>185</v>
      </c>
      <c r="B229" t="s">
        <v>186</v>
      </c>
      <c r="C229">
        <v>38</v>
      </c>
      <c r="D229">
        <v>4143</v>
      </c>
      <c r="E229" t="s">
        <v>220</v>
      </c>
      <c r="F229">
        <v>3</v>
      </c>
      <c r="G229" t="s">
        <v>451</v>
      </c>
      <c r="H229" t="s">
        <v>189</v>
      </c>
      <c r="I229" t="s">
        <v>212</v>
      </c>
      <c r="J229">
        <v>7</v>
      </c>
      <c r="K229">
        <v>24</v>
      </c>
      <c r="L229">
        <v>5</v>
      </c>
      <c r="M229" t="s">
        <v>233</v>
      </c>
      <c r="N229" t="s">
        <v>239</v>
      </c>
      <c r="O229" t="s">
        <v>192</v>
      </c>
      <c r="P229">
        <v>256</v>
      </c>
      <c r="Q229">
        <v>58</v>
      </c>
      <c r="R229" t="s">
        <v>204</v>
      </c>
      <c r="S229" t="s">
        <v>205</v>
      </c>
      <c r="T229" t="s">
        <v>206</v>
      </c>
      <c r="U229" t="s">
        <v>207</v>
      </c>
      <c r="V229" t="s">
        <v>208</v>
      </c>
      <c r="W229" t="s">
        <v>192</v>
      </c>
      <c r="X229" t="s">
        <v>198</v>
      </c>
      <c r="Y229" t="s">
        <v>192</v>
      </c>
      <c r="AA229">
        <v>4</v>
      </c>
      <c r="AB229">
        <v>5</v>
      </c>
      <c r="AC229">
        <v>3</v>
      </c>
      <c r="AD229" t="s">
        <v>218</v>
      </c>
      <c r="AE229">
        <v>1</v>
      </c>
      <c r="AF229">
        <v>0</v>
      </c>
      <c r="AG229" t="s">
        <v>192</v>
      </c>
      <c r="AH229" t="s">
        <v>189</v>
      </c>
      <c r="AI229" t="s">
        <v>286</v>
      </c>
      <c r="AJ229" s="9">
        <v>24</v>
      </c>
      <c r="AK229" s="9">
        <v>256</v>
      </c>
      <c r="AL229" s="9">
        <v>0</v>
      </c>
      <c r="AM229" s="9">
        <v>280</v>
      </c>
      <c r="AN229" t="s">
        <v>489</v>
      </c>
    </row>
    <row r="230" spans="1:40" x14ac:dyDescent="0.2">
      <c r="A230" t="s">
        <v>185</v>
      </c>
      <c r="B230" t="s">
        <v>186</v>
      </c>
      <c r="C230">
        <v>39</v>
      </c>
      <c r="D230">
        <v>648</v>
      </c>
      <c r="E230" t="s">
        <v>187</v>
      </c>
      <c r="F230">
        <v>1</v>
      </c>
      <c r="G230" t="s">
        <v>442</v>
      </c>
      <c r="H230" t="s">
        <v>189</v>
      </c>
      <c r="I230" t="s">
        <v>190</v>
      </c>
      <c r="J230">
        <v>8</v>
      </c>
      <c r="K230">
        <v>12</v>
      </c>
      <c r="L230">
        <v>7</v>
      </c>
      <c r="M230" t="s">
        <v>233</v>
      </c>
      <c r="N230" t="s">
        <v>225</v>
      </c>
      <c r="O230" t="s">
        <v>192</v>
      </c>
      <c r="P230">
        <v>25</v>
      </c>
      <c r="Q230">
        <v>14</v>
      </c>
      <c r="R230" t="s">
        <v>213</v>
      </c>
      <c r="S230" t="s">
        <v>194</v>
      </c>
      <c r="U230" t="s">
        <v>250</v>
      </c>
      <c r="V230" t="s">
        <v>246</v>
      </c>
      <c r="W230" t="s">
        <v>197</v>
      </c>
      <c r="X230" t="s">
        <v>198</v>
      </c>
      <c r="Y230" t="s">
        <v>192</v>
      </c>
      <c r="AA230">
        <v>2</v>
      </c>
      <c r="AB230">
        <v>2</v>
      </c>
      <c r="AC230">
        <v>2</v>
      </c>
      <c r="AE230">
        <v>0</v>
      </c>
      <c r="AF230">
        <v>0</v>
      </c>
      <c r="AG230" t="s">
        <v>192</v>
      </c>
      <c r="AH230" t="s">
        <v>198</v>
      </c>
      <c r="AI230" t="s">
        <v>260</v>
      </c>
      <c r="AJ230" s="9">
        <v>12</v>
      </c>
      <c r="AK230" s="9">
        <v>25</v>
      </c>
      <c r="AL230" s="9">
        <v>0</v>
      </c>
      <c r="AM230" s="9">
        <v>37</v>
      </c>
      <c r="AN230" t="s">
        <v>490</v>
      </c>
    </row>
    <row r="231" spans="1:40" x14ac:dyDescent="0.2">
      <c r="A231" t="s">
        <v>185</v>
      </c>
      <c r="B231" t="s">
        <v>186</v>
      </c>
      <c r="C231">
        <v>39</v>
      </c>
      <c r="D231">
        <v>2481</v>
      </c>
      <c r="E231" t="s">
        <v>187</v>
      </c>
      <c r="F231">
        <v>2</v>
      </c>
      <c r="G231" t="s">
        <v>444</v>
      </c>
      <c r="H231" t="s">
        <v>189</v>
      </c>
      <c r="I231" t="s">
        <v>190</v>
      </c>
      <c r="J231">
        <v>8</v>
      </c>
      <c r="K231">
        <v>84</v>
      </c>
      <c r="L231">
        <v>22</v>
      </c>
      <c r="M231" t="s">
        <v>233</v>
      </c>
      <c r="N231" t="s">
        <v>239</v>
      </c>
      <c r="O231" t="s">
        <v>192</v>
      </c>
      <c r="P231">
        <v>249</v>
      </c>
      <c r="Q231">
        <v>65</v>
      </c>
      <c r="R231" t="s">
        <v>204</v>
      </c>
      <c r="S231" t="s">
        <v>205</v>
      </c>
      <c r="T231" t="s">
        <v>206</v>
      </c>
      <c r="U231" t="s">
        <v>207</v>
      </c>
      <c r="V231" t="s">
        <v>208</v>
      </c>
      <c r="W231" t="s">
        <v>192</v>
      </c>
      <c r="X231" t="s">
        <v>229</v>
      </c>
      <c r="Y231" t="s">
        <v>192</v>
      </c>
      <c r="AA231">
        <v>5</v>
      </c>
      <c r="AB231">
        <v>5</v>
      </c>
      <c r="AC231">
        <v>3</v>
      </c>
      <c r="AD231" t="s">
        <v>218</v>
      </c>
      <c r="AE231">
        <v>1</v>
      </c>
      <c r="AF231">
        <v>0</v>
      </c>
      <c r="AG231" t="s">
        <v>192</v>
      </c>
      <c r="AH231" t="s">
        <v>189</v>
      </c>
      <c r="AI231" t="s">
        <v>378</v>
      </c>
      <c r="AJ231" s="9">
        <v>84</v>
      </c>
      <c r="AK231" s="9">
        <v>249</v>
      </c>
      <c r="AL231" s="9">
        <v>0</v>
      </c>
      <c r="AM231" s="9">
        <v>333</v>
      </c>
      <c r="AN231" t="s">
        <v>491</v>
      </c>
    </row>
    <row r="232" spans="1:40" x14ac:dyDescent="0.2">
      <c r="A232" t="s">
        <v>185</v>
      </c>
      <c r="B232" t="s">
        <v>186</v>
      </c>
      <c r="C232">
        <v>39</v>
      </c>
      <c r="D232">
        <v>3067</v>
      </c>
      <c r="E232" t="s">
        <v>187</v>
      </c>
      <c r="F232">
        <v>3</v>
      </c>
      <c r="G232" t="s">
        <v>446</v>
      </c>
      <c r="H232" t="s">
        <v>189</v>
      </c>
      <c r="I232" t="s">
        <v>212</v>
      </c>
      <c r="J232">
        <v>8</v>
      </c>
      <c r="K232">
        <v>4</v>
      </c>
      <c r="L232">
        <v>0</v>
      </c>
      <c r="M232" t="s">
        <v>191</v>
      </c>
      <c r="O232" t="s">
        <v>192</v>
      </c>
      <c r="P232">
        <v>52</v>
      </c>
      <c r="Q232">
        <v>6</v>
      </c>
      <c r="R232" t="s">
        <v>204</v>
      </c>
      <c r="S232" t="s">
        <v>214</v>
      </c>
      <c r="T232" t="s">
        <v>237</v>
      </c>
      <c r="U232" t="s">
        <v>216</v>
      </c>
      <c r="V232" t="s">
        <v>217</v>
      </c>
      <c r="W232" t="s">
        <v>192</v>
      </c>
      <c r="X232" t="s">
        <v>198</v>
      </c>
      <c r="Y232" t="s">
        <v>192</v>
      </c>
      <c r="AA232">
        <v>5</v>
      </c>
      <c r="AB232">
        <v>3</v>
      </c>
      <c r="AC232">
        <v>4</v>
      </c>
      <c r="AE232">
        <v>0</v>
      </c>
      <c r="AF232">
        <v>0</v>
      </c>
      <c r="AG232" t="s">
        <v>192</v>
      </c>
      <c r="AH232" t="s">
        <v>198</v>
      </c>
      <c r="AI232" t="s">
        <v>234</v>
      </c>
      <c r="AJ232" s="9">
        <v>4</v>
      </c>
      <c r="AK232" s="9">
        <v>52</v>
      </c>
      <c r="AL232" s="9">
        <v>0</v>
      </c>
      <c r="AM232" s="9">
        <v>56</v>
      </c>
      <c r="AN232" t="s">
        <v>492</v>
      </c>
    </row>
    <row r="233" spans="1:40" x14ac:dyDescent="0.2">
      <c r="A233" t="s">
        <v>185</v>
      </c>
      <c r="B233" t="s">
        <v>186</v>
      </c>
      <c r="C233">
        <v>39</v>
      </c>
      <c r="D233">
        <v>2022</v>
      </c>
      <c r="E233" t="s">
        <v>220</v>
      </c>
      <c r="F233">
        <v>1</v>
      </c>
      <c r="G233" t="s">
        <v>448</v>
      </c>
      <c r="H233" t="s">
        <v>189</v>
      </c>
      <c r="I233" t="s">
        <v>190</v>
      </c>
      <c r="J233">
        <v>8</v>
      </c>
      <c r="K233">
        <v>2</v>
      </c>
      <c r="L233">
        <v>0</v>
      </c>
      <c r="M233" t="s">
        <v>191</v>
      </c>
      <c r="O233" t="s">
        <v>192</v>
      </c>
      <c r="P233">
        <v>30</v>
      </c>
      <c r="Q233">
        <v>5</v>
      </c>
      <c r="R233" t="s">
        <v>213</v>
      </c>
      <c r="S233" t="s">
        <v>214</v>
      </c>
      <c r="T233" t="s">
        <v>215</v>
      </c>
      <c r="U233" t="s">
        <v>216</v>
      </c>
      <c r="V233" t="s">
        <v>217</v>
      </c>
      <c r="W233" t="s">
        <v>229</v>
      </c>
      <c r="X233" t="s">
        <v>198</v>
      </c>
      <c r="Y233" t="s">
        <v>192</v>
      </c>
      <c r="AA233">
        <v>3</v>
      </c>
      <c r="AB233">
        <v>2</v>
      </c>
      <c r="AC233">
        <v>4</v>
      </c>
      <c r="AE233">
        <v>0</v>
      </c>
      <c r="AF233">
        <v>0</v>
      </c>
      <c r="AG233" t="s">
        <v>192</v>
      </c>
      <c r="AH233" t="s">
        <v>189</v>
      </c>
      <c r="AJ233" s="9">
        <v>2</v>
      </c>
      <c r="AK233" s="9">
        <v>30</v>
      </c>
      <c r="AL233" s="9">
        <v>0</v>
      </c>
      <c r="AM233" s="9">
        <v>32</v>
      </c>
      <c r="AN233" t="s">
        <v>493</v>
      </c>
    </row>
    <row r="234" spans="1:40" x14ac:dyDescent="0.2">
      <c r="A234" t="s">
        <v>185</v>
      </c>
      <c r="B234" t="s">
        <v>186</v>
      </c>
      <c r="C234">
        <v>39</v>
      </c>
      <c r="D234">
        <v>6237</v>
      </c>
      <c r="E234" t="s">
        <v>220</v>
      </c>
      <c r="F234">
        <v>2</v>
      </c>
      <c r="G234" t="s">
        <v>450</v>
      </c>
      <c r="H234" t="s">
        <v>189</v>
      </c>
      <c r="I234" t="s">
        <v>203</v>
      </c>
      <c r="J234">
        <v>8</v>
      </c>
      <c r="K234">
        <v>1</v>
      </c>
      <c r="L234">
        <v>0</v>
      </c>
      <c r="M234" t="s">
        <v>191</v>
      </c>
      <c r="O234" t="s">
        <v>192</v>
      </c>
      <c r="P234">
        <v>117</v>
      </c>
      <c r="Q234">
        <v>24</v>
      </c>
      <c r="R234" t="s">
        <v>204</v>
      </c>
      <c r="S234" t="s">
        <v>205</v>
      </c>
      <c r="T234" t="s">
        <v>206</v>
      </c>
      <c r="U234" t="s">
        <v>207</v>
      </c>
      <c r="V234" t="s">
        <v>208</v>
      </c>
      <c r="W234" t="s">
        <v>192</v>
      </c>
      <c r="X234" t="s">
        <v>198</v>
      </c>
      <c r="Y234" t="s">
        <v>192</v>
      </c>
      <c r="AA234">
        <v>3</v>
      </c>
      <c r="AB234">
        <v>4</v>
      </c>
      <c r="AC234">
        <v>4</v>
      </c>
      <c r="AE234">
        <v>0</v>
      </c>
      <c r="AF234">
        <v>0</v>
      </c>
      <c r="AG234" t="s">
        <v>192</v>
      </c>
      <c r="AH234" t="s">
        <v>189</v>
      </c>
      <c r="AI234" t="s">
        <v>378</v>
      </c>
      <c r="AJ234" s="9">
        <v>1</v>
      </c>
      <c r="AK234" s="9">
        <v>117</v>
      </c>
      <c r="AL234" s="9">
        <v>0</v>
      </c>
      <c r="AM234" s="9">
        <v>118</v>
      </c>
      <c r="AN234" t="s">
        <v>494</v>
      </c>
    </row>
    <row r="235" spans="1:40" x14ac:dyDescent="0.2">
      <c r="A235" t="s">
        <v>185</v>
      </c>
      <c r="B235" t="s">
        <v>186</v>
      </c>
      <c r="C235">
        <v>39</v>
      </c>
      <c r="D235">
        <v>2861</v>
      </c>
      <c r="E235" t="s">
        <v>220</v>
      </c>
      <c r="F235">
        <v>3</v>
      </c>
      <c r="G235" t="s">
        <v>451</v>
      </c>
      <c r="H235" t="s">
        <v>189</v>
      </c>
      <c r="I235" t="s">
        <v>203</v>
      </c>
      <c r="J235">
        <v>8</v>
      </c>
      <c r="K235">
        <v>10</v>
      </c>
      <c r="L235">
        <v>2</v>
      </c>
      <c r="M235" t="s">
        <v>224</v>
      </c>
      <c r="N235" t="s">
        <v>225</v>
      </c>
      <c r="O235" t="s">
        <v>192</v>
      </c>
      <c r="P235">
        <v>47</v>
      </c>
      <c r="Q235">
        <v>9</v>
      </c>
      <c r="R235" t="s">
        <v>204</v>
      </c>
      <c r="S235" t="s">
        <v>205</v>
      </c>
      <c r="T235" t="s">
        <v>206</v>
      </c>
      <c r="U235" t="s">
        <v>207</v>
      </c>
      <c r="V235" t="s">
        <v>208</v>
      </c>
      <c r="W235" t="s">
        <v>192</v>
      </c>
      <c r="X235" t="s">
        <v>229</v>
      </c>
      <c r="Y235" t="s">
        <v>192</v>
      </c>
      <c r="AA235">
        <v>5</v>
      </c>
      <c r="AB235">
        <v>4</v>
      </c>
      <c r="AC235">
        <v>4</v>
      </c>
      <c r="AE235">
        <v>0</v>
      </c>
      <c r="AF235">
        <v>0</v>
      </c>
      <c r="AG235" t="s">
        <v>192</v>
      </c>
      <c r="AH235" t="s">
        <v>189</v>
      </c>
      <c r="AI235" t="s">
        <v>336</v>
      </c>
      <c r="AJ235" s="9">
        <v>10</v>
      </c>
      <c r="AK235" s="9">
        <v>47</v>
      </c>
      <c r="AL235" s="9">
        <v>0</v>
      </c>
      <c r="AM235" s="9">
        <v>57</v>
      </c>
      <c r="AN235" t="s">
        <v>495</v>
      </c>
    </row>
    <row r="236" spans="1:40" x14ac:dyDescent="0.2">
      <c r="A236" t="s">
        <v>185</v>
      </c>
      <c r="B236" t="s">
        <v>186</v>
      </c>
      <c r="C236">
        <v>40</v>
      </c>
      <c r="D236">
        <v>4645</v>
      </c>
      <c r="E236" t="s">
        <v>187</v>
      </c>
      <c r="F236">
        <v>1</v>
      </c>
      <c r="G236" t="s">
        <v>442</v>
      </c>
      <c r="H236" t="s">
        <v>189</v>
      </c>
      <c r="I236" t="s">
        <v>212</v>
      </c>
      <c r="J236">
        <v>8</v>
      </c>
      <c r="K236">
        <v>0</v>
      </c>
      <c r="L236">
        <v>0</v>
      </c>
      <c r="M236" t="s">
        <v>191</v>
      </c>
      <c r="O236" t="s">
        <v>192</v>
      </c>
      <c r="P236">
        <v>8</v>
      </c>
      <c r="Q236">
        <v>2</v>
      </c>
      <c r="R236" t="s">
        <v>213</v>
      </c>
      <c r="S236" t="s">
        <v>214</v>
      </c>
      <c r="T236" t="s">
        <v>215</v>
      </c>
      <c r="U236" t="s">
        <v>216</v>
      </c>
      <c r="V236" t="s">
        <v>217</v>
      </c>
      <c r="W236" t="s">
        <v>192</v>
      </c>
      <c r="X236" t="s">
        <v>198</v>
      </c>
      <c r="Y236" t="s">
        <v>192</v>
      </c>
      <c r="AA236">
        <v>3</v>
      </c>
      <c r="AB236">
        <v>3</v>
      </c>
      <c r="AC236">
        <v>4</v>
      </c>
      <c r="AE236">
        <v>0</v>
      </c>
      <c r="AF236">
        <v>0</v>
      </c>
      <c r="AG236" t="s">
        <v>192</v>
      </c>
      <c r="AH236" t="s">
        <v>199</v>
      </c>
      <c r="AI236" t="s">
        <v>244</v>
      </c>
      <c r="AJ236" s="9">
        <v>0</v>
      </c>
      <c r="AK236" s="9">
        <v>8</v>
      </c>
      <c r="AL236" s="9">
        <v>0</v>
      </c>
      <c r="AM236" s="9">
        <v>8</v>
      </c>
      <c r="AN236" t="s">
        <v>496</v>
      </c>
    </row>
    <row r="237" spans="1:40" x14ac:dyDescent="0.2">
      <c r="A237" t="s">
        <v>185</v>
      </c>
      <c r="B237" t="s">
        <v>186</v>
      </c>
      <c r="C237">
        <v>40</v>
      </c>
      <c r="D237">
        <v>4156</v>
      </c>
      <c r="E237" t="s">
        <v>187</v>
      </c>
      <c r="F237">
        <v>2</v>
      </c>
      <c r="G237" t="s">
        <v>444</v>
      </c>
      <c r="H237" t="s">
        <v>189</v>
      </c>
      <c r="I237" t="s">
        <v>190</v>
      </c>
      <c r="J237">
        <v>8</v>
      </c>
      <c r="K237">
        <v>0</v>
      </c>
      <c r="L237">
        <v>0</v>
      </c>
      <c r="O237" t="s">
        <v>192</v>
      </c>
      <c r="P237">
        <v>1</v>
      </c>
      <c r="Q237">
        <v>0</v>
      </c>
      <c r="R237" t="s">
        <v>193</v>
      </c>
      <c r="S237" t="s">
        <v>194</v>
      </c>
      <c r="U237" t="s">
        <v>195</v>
      </c>
      <c r="V237" t="s">
        <v>196</v>
      </c>
      <c r="W237" t="s">
        <v>192</v>
      </c>
      <c r="X237" t="s">
        <v>198</v>
      </c>
      <c r="Y237" t="s">
        <v>192</v>
      </c>
      <c r="AA237">
        <v>1</v>
      </c>
      <c r="AB237">
        <v>1</v>
      </c>
      <c r="AC237">
        <v>3</v>
      </c>
      <c r="AE237">
        <v>0</v>
      </c>
      <c r="AF237">
        <v>0</v>
      </c>
      <c r="AG237" t="s">
        <v>192</v>
      </c>
      <c r="AH237" t="s">
        <v>199</v>
      </c>
      <c r="AI237" t="s">
        <v>244</v>
      </c>
      <c r="AJ237" s="9">
        <v>0</v>
      </c>
      <c r="AK237" s="9">
        <v>1</v>
      </c>
      <c r="AL237" s="9">
        <v>0</v>
      </c>
      <c r="AM237" s="9">
        <v>1</v>
      </c>
      <c r="AN237" t="s">
        <v>497</v>
      </c>
    </row>
    <row r="238" spans="1:40" x14ac:dyDescent="0.2">
      <c r="A238" t="s">
        <v>185</v>
      </c>
      <c r="B238" t="s">
        <v>186</v>
      </c>
      <c r="C238">
        <v>40</v>
      </c>
      <c r="D238">
        <v>6651</v>
      </c>
      <c r="E238" t="s">
        <v>187</v>
      </c>
      <c r="F238">
        <v>3</v>
      </c>
      <c r="G238" t="s">
        <v>446</v>
      </c>
      <c r="H238" t="s">
        <v>189</v>
      </c>
      <c r="I238" t="s">
        <v>203</v>
      </c>
      <c r="J238">
        <v>8</v>
      </c>
      <c r="K238">
        <v>0</v>
      </c>
      <c r="L238">
        <v>0</v>
      </c>
      <c r="O238" t="s">
        <v>192</v>
      </c>
      <c r="P238">
        <v>13</v>
      </c>
      <c r="Q238">
        <v>6</v>
      </c>
      <c r="R238" t="s">
        <v>213</v>
      </c>
      <c r="S238" t="s">
        <v>194</v>
      </c>
      <c r="U238" t="s">
        <v>216</v>
      </c>
      <c r="V238" t="s">
        <v>246</v>
      </c>
      <c r="W238" t="s">
        <v>192</v>
      </c>
      <c r="X238" t="s">
        <v>198</v>
      </c>
      <c r="Y238" t="s">
        <v>192</v>
      </c>
      <c r="AA238">
        <v>2</v>
      </c>
      <c r="AB238">
        <v>2</v>
      </c>
      <c r="AC238">
        <v>3</v>
      </c>
      <c r="AE238">
        <v>0</v>
      </c>
      <c r="AF238">
        <v>0</v>
      </c>
      <c r="AG238" t="s">
        <v>192</v>
      </c>
      <c r="AH238" t="s">
        <v>198</v>
      </c>
      <c r="AJ238" s="9">
        <v>0</v>
      </c>
      <c r="AK238" s="9">
        <v>13</v>
      </c>
      <c r="AL238" s="9">
        <v>0</v>
      </c>
      <c r="AM238" s="9">
        <v>13</v>
      </c>
      <c r="AN238" t="s">
        <v>498</v>
      </c>
    </row>
    <row r="239" spans="1:40" x14ac:dyDescent="0.2">
      <c r="A239" t="s">
        <v>185</v>
      </c>
      <c r="B239" t="s">
        <v>186</v>
      </c>
      <c r="C239">
        <v>40</v>
      </c>
      <c r="D239">
        <v>4423</v>
      </c>
      <c r="E239" t="s">
        <v>220</v>
      </c>
      <c r="F239">
        <v>1</v>
      </c>
      <c r="G239" t="s">
        <v>448</v>
      </c>
      <c r="H239" t="s">
        <v>189</v>
      </c>
      <c r="I239" t="s">
        <v>203</v>
      </c>
      <c r="J239">
        <v>8</v>
      </c>
      <c r="K239">
        <v>1</v>
      </c>
      <c r="L239">
        <v>0</v>
      </c>
      <c r="M239" t="s">
        <v>191</v>
      </c>
      <c r="O239" t="s">
        <v>192</v>
      </c>
      <c r="P239">
        <v>36</v>
      </c>
      <c r="Q239">
        <v>6</v>
      </c>
      <c r="R239" t="s">
        <v>204</v>
      </c>
      <c r="S239" t="s">
        <v>214</v>
      </c>
      <c r="T239" t="s">
        <v>206</v>
      </c>
      <c r="U239" t="s">
        <v>207</v>
      </c>
      <c r="V239" t="s">
        <v>217</v>
      </c>
      <c r="W239" t="s">
        <v>192</v>
      </c>
      <c r="X239" t="s">
        <v>229</v>
      </c>
      <c r="Y239" t="s">
        <v>420</v>
      </c>
      <c r="Z239" t="s">
        <v>421</v>
      </c>
      <c r="AA239">
        <v>4</v>
      </c>
      <c r="AB239">
        <v>4</v>
      </c>
      <c r="AC239">
        <v>5</v>
      </c>
      <c r="AE239">
        <v>0</v>
      </c>
      <c r="AF239">
        <v>0</v>
      </c>
      <c r="AG239" t="s">
        <v>192</v>
      </c>
      <c r="AH239" t="s">
        <v>199</v>
      </c>
      <c r="AI239" t="s">
        <v>499</v>
      </c>
      <c r="AJ239" s="9">
        <v>1</v>
      </c>
      <c r="AK239" s="9">
        <v>36</v>
      </c>
      <c r="AL239" s="9">
        <v>0</v>
      </c>
      <c r="AM239" s="9">
        <v>37</v>
      </c>
      <c r="AN239" t="s">
        <v>500</v>
      </c>
    </row>
    <row r="240" spans="1:40" x14ac:dyDescent="0.2">
      <c r="A240" t="s">
        <v>185</v>
      </c>
      <c r="B240" t="s">
        <v>186</v>
      </c>
      <c r="C240">
        <v>40</v>
      </c>
      <c r="D240">
        <v>4213</v>
      </c>
      <c r="E240" t="s">
        <v>220</v>
      </c>
      <c r="F240">
        <v>2</v>
      </c>
      <c r="G240" t="s">
        <v>450</v>
      </c>
      <c r="H240" t="s">
        <v>189</v>
      </c>
      <c r="I240" t="s">
        <v>212</v>
      </c>
      <c r="J240">
        <v>8</v>
      </c>
      <c r="K240">
        <v>5</v>
      </c>
      <c r="L240">
        <v>2</v>
      </c>
      <c r="M240" t="s">
        <v>191</v>
      </c>
      <c r="O240" t="s">
        <v>192</v>
      </c>
      <c r="P240">
        <v>20</v>
      </c>
      <c r="Q240">
        <v>8</v>
      </c>
      <c r="R240" t="s">
        <v>204</v>
      </c>
      <c r="S240" t="s">
        <v>214</v>
      </c>
      <c r="T240" t="s">
        <v>237</v>
      </c>
      <c r="U240" t="s">
        <v>216</v>
      </c>
      <c r="V240" t="s">
        <v>217</v>
      </c>
      <c r="W240" t="s">
        <v>192</v>
      </c>
      <c r="X240" t="s">
        <v>198</v>
      </c>
      <c r="Y240" t="s">
        <v>192</v>
      </c>
      <c r="AA240">
        <v>2</v>
      </c>
      <c r="AB240">
        <v>3</v>
      </c>
      <c r="AC240">
        <v>5</v>
      </c>
      <c r="AE240">
        <v>0</v>
      </c>
      <c r="AF240">
        <v>0</v>
      </c>
      <c r="AG240" t="s">
        <v>192</v>
      </c>
      <c r="AH240" t="s">
        <v>198</v>
      </c>
      <c r="AJ240" s="9">
        <v>5</v>
      </c>
      <c r="AK240" s="9">
        <v>20</v>
      </c>
      <c r="AL240" s="9">
        <v>0</v>
      </c>
      <c r="AM240" s="9">
        <v>25</v>
      </c>
      <c r="AN240" t="s">
        <v>501</v>
      </c>
    </row>
    <row r="241" spans="1:40" x14ac:dyDescent="0.2">
      <c r="A241" t="s">
        <v>185</v>
      </c>
      <c r="B241" t="s">
        <v>186</v>
      </c>
      <c r="C241">
        <v>40</v>
      </c>
      <c r="D241">
        <v>8029</v>
      </c>
      <c r="E241" t="s">
        <v>220</v>
      </c>
      <c r="F241">
        <v>3</v>
      </c>
      <c r="G241" t="s">
        <v>451</v>
      </c>
      <c r="H241" t="s">
        <v>189</v>
      </c>
      <c r="I241" t="s">
        <v>190</v>
      </c>
      <c r="J241">
        <v>5</v>
      </c>
      <c r="K241">
        <v>12</v>
      </c>
      <c r="L241">
        <v>9</v>
      </c>
      <c r="M241" t="s">
        <v>233</v>
      </c>
      <c r="N241" t="s">
        <v>225</v>
      </c>
      <c r="O241" t="s">
        <v>192</v>
      </c>
      <c r="P241">
        <v>7</v>
      </c>
      <c r="Q241">
        <v>5</v>
      </c>
      <c r="R241" t="s">
        <v>193</v>
      </c>
      <c r="S241" t="s">
        <v>194</v>
      </c>
      <c r="U241" t="s">
        <v>262</v>
      </c>
      <c r="V241" t="s">
        <v>196</v>
      </c>
      <c r="W241" t="s">
        <v>197</v>
      </c>
      <c r="X241" t="s">
        <v>198</v>
      </c>
      <c r="Y241" t="s">
        <v>192</v>
      </c>
      <c r="AA241">
        <v>1</v>
      </c>
      <c r="AB241">
        <v>1</v>
      </c>
      <c r="AC241">
        <v>2</v>
      </c>
      <c r="AE241">
        <v>0</v>
      </c>
      <c r="AF241">
        <v>0</v>
      </c>
      <c r="AG241" t="s">
        <v>192</v>
      </c>
      <c r="AH241" t="s">
        <v>198</v>
      </c>
      <c r="AI241" t="s">
        <v>200</v>
      </c>
      <c r="AJ241" s="9">
        <v>12</v>
      </c>
      <c r="AK241" s="9">
        <v>7</v>
      </c>
      <c r="AL241" s="9">
        <v>0</v>
      </c>
      <c r="AM241" s="9">
        <v>19</v>
      </c>
      <c r="AN241" t="s">
        <v>502</v>
      </c>
    </row>
    <row r="242" spans="1:40" x14ac:dyDescent="0.2">
      <c r="A242" t="s">
        <v>185</v>
      </c>
      <c r="B242" t="s">
        <v>186</v>
      </c>
      <c r="C242">
        <v>41</v>
      </c>
      <c r="D242">
        <v>7848</v>
      </c>
      <c r="E242" t="s">
        <v>187</v>
      </c>
      <c r="F242">
        <v>1</v>
      </c>
      <c r="G242" t="s">
        <v>442</v>
      </c>
      <c r="H242" t="s">
        <v>189</v>
      </c>
      <c r="I242" t="s">
        <v>203</v>
      </c>
      <c r="J242">
        <v>8</v>
      </c>
      <c r="K242">
        <v>2</v>
      </c>
      <c r="L242">
        <v>0</v>
      </c>
      <c r="M242" t="s">
        <v>191</v>
      </c>
      <c r="O242" t="s">
        <v>192</v>
      </c>
      <c r="P242">
        <v>37</v>
      </c>
      <c r="Q242">
        <v>9</v>
      </c>
      <c r="R242" t="s">
        <v>204</v>
      </c>
      <c r="S242" t="s">
        <v>214</v>
      </c>
      <c r="T242" t="s">
        <v>215</v>
      </c>
      <c r="U242" t="s">
        <v>216</v>
      </c>
      <c r="V242" t="s">
        <v>217</v>
      </c>
      <c r="W242" t="s">
        <v>192</v>
      </c>
      <c r="X242" t="s">
        <v>198</v>
      </c>
      <c r="Y242" t="s">
        <v>192</v>
      </c>
      <c r="AA242">
        <v>3</v>
      </c>
      <c r="AB242">
        <v>4</v>
      </c>
      <c r="AC242">
        <v>3</v>
      </c>
      <c r="AD242" t="s">
        <v>241</v>
      </c>
      <c r="AE242">
        <v>0</v>
      </c>
      <c r="AF242">
        <v>0</v>
      </c>
      <c r="AG242" t="s">
        <v>192</v>
      </c>
      <c r="AH242" t="s">
        <v>189</v>
      </c>
      <c r="AI242" t="s">
        <v>242</v>
      </c>
      <c r="AJ242" s="9">
        <v>2</v>
      </c>
      <c r="AK242" s="9">
        <v>37</v>
      </c>
      <c r="AL242" s="9">
        <v>0</v>
      </c>
      <c r="AM242" s="9">
        <v>39</v>
      </c>
      <c r="AN242" t="s">
        <v>503</v>
      </c>
    </row>
    <row r="243" spans="1:40" x14ac:dyDescent="0.2">
      <c r="A243" t="s">
        <v>185</v>
      </c>
      <c r="B243" t="s">
        <v>186</v>
      </c>
      <c r="C243">
        <v>41</v>
      </c>
      <c r="D243">
        <v>2039</v>
      </c>
      <c r="E243" t="s">
        <v>187</v>
      </c>
      <c r="F243">
        <v>2</v>
      </c>
      <c r="G243" t="s">
        <v>444</v>
      </c>
      <c r="H243" t="s">
        <v>189</v>
      </c>
      <c r="I243" t="s">
        <v>190</v>
      </c>
      <c r="J243">
        <v>8</v>
      </c>
      <c r="K243">
        <v>1</v>
      </c>
      <c r="L243">
        <v>2</v>
      </c>
      <c r="M243" t="s">
        <v>191</v>
      </c>
      <c r="O243" t="s">
        <v>192</v>
      </c>
      <c r="P243">
        <v>11</v>
      </c>
      <c r="Q243">
        <v>17</v>
      </c>
      <c r="R243" t="s">
        <v>193</v>
      </c>
      <c r="S243" t="s">
        <v>194</v>
      </c>
      <c r="U243" t="s">
        <v>195</v>
      </c>
      <c r="V243" t="s">
        <v>196</v>
      </c>
      <c r="W243" t="s">
        <v>229</v>
      </c>
      <c r="X243" t="s">
        <v>198</v>
      </c>
      <c r="Y243" t="s">
        <v>192</v>
      </c>
      <c r="AA243">
        <v>1</v>
      </c>
      <c r="AB243">
        <v>2</v>
      </c>
      <c r="AC243">
        <v>1</v>
      </c>
      <c r="AE243">
        <v>0</v>
      </c>
      <c r="AF243">
        <v>0</v>
      </c>
      <c r="AG243" t="s">
        <v>192</v>
      </c>
      <c r="AH243" t="s">
        <v>198</v>
      </c>
      <c r="AJ243" s="9">
        <v>1</v>
      </c>
      <c r="AK243" s="9">
        <v>11</v>
      </c>
      <c r="AL243" s="9">
        <v>0</v>
      </c>
      <c r="AM243" s="9">
        <v>12</v>
      </c>
      <c r="AN243" t="s">
        <v>504</v>
      </c>
    </row>
    <row r="244" spans="1:40" x14ac:dyDescent="0.2">
      <c r="A244" t="s">
        <v>185</v>
      </c>
      <c r="B244" t="s">
        <v>186</v>
      </c>
      <c r="C244">
        <v>41</v>
      </c>
      <c r="D244">
        <v>8719</v>
      </c>
      <c r="E244" t="s">
        <v>187</v>
      </c>
      <c r="F244">
        <v>3</v>
      </c>
      <c r="G244" t="s">
        <v>446</v>
      </c>
      <c r="H244" t="s">
        <v>189</v>
      </c>
      <c r="I244" t="s">
        <v>190</v>
      </c>
      <c r="J244">
        <v>5</v>
      </c>
      <c r="K244">
        <v>8</v>
      </c>
      <c r="L244">
        <v>7</v>
      </c>
      <c r="M244" t="s">
        <v>233</v>
      </c>
      <c r="N244" t="s">
        <v>225</v>
      </c>
      <c r="O244" t="s">
        <v>192</v>
      </c>
      <c r="P244">
        <v>11</v>
      </c>
      <c r="Q244">
        <v>10</v>
      </c>
      <c r="R244" t="s">
        <v>193</v>
      </c>
      <c r="S244" t="s">
        <v>194</v>
      </c>
      <c r="U244" t="s">
        <v>250</v>
      </c>
      <c r="V244" t="s">
        <v>196</v>
      </c>
      <c r="W244" t="s">
        <v>197</v>
      </c>
      <c r="X244" t="s">
        <v>198</v>
      </c>
      <c r="Y244" t="s">
        <v>192</v>
      </c>
      <c r="AA244">
        <v>1</v>
      </c>
      <c r="AB244">
        <v>2</v>
      </c>
      <c r="AC244">
        <v>3</v>
      </c>
      <c r="AE244">
        <v>0</v>
      </c>
      <c r="AF244">
        <v>0</v>
      </c>
      <c r="AG244" t="s">
        <v>192</v>
      </c>
      <c r="AH244" t="s">
        <v>198</v>
      </c>
      <c r="AI244" t="s">
        <v>260</v>
      </c>
      <c r="AJ244" s="9">
        <v>8</v>
      </c>
      <c r="AK244" s="9">
        <v>11</v>
      </c>
      <c r="AL244" s="9">
        <v>0</v>
      </c>
      <c r="AM244" s="9">
        <v>19</v>
      </c>
      <c r="AN244" t="s">
        <v>505</v>
      </c>
    </row>
    <row r="245" spans="1:40" x14ac:dyDescent="0.2">
      <c r="A245" t="s">
        <v>185</v>
      </c>
      <c r="B245" t="s">
        <v>186</v>
      </c>
      <c r="C245">
        <v>41</v>
      </c>
      <c r="D245">
        <v>3488</v>
      </c>
      <c r="E245" t="s">
        <v>220</v>
      </c>
      <c r="F245">
        <v>1</v>
      </c>
      <c r="G245" t="s">
        <v>448</v>
      </c>
      <c r="H245" t="s">
        <v>189</v>
      </c>
      <c r="I245" t="s">
        <v>203</v>
      </c>
      <c r="J245">
        <v>8</v>
      </c>
      <c r="K245">
        <v>1</v>
      </c>
      <c r="L245">
        <v>1</v>
      </c>
      <c r="M245" t="s">
        <v>191</v>
      </c>
      <c r="O245" t="s">
        <v>192</v>
      </c>
      <c r="P245">
        <v>33</v>
      </c>
      <c r="Q245">
        <v>22</v>
      </c>
      <c r="R245" t="s">
        <v>213</v>
      </c>
      <c r="S245" t="s">
        <v>194</v>
      </c>
      <c r="T245" t="s">
        <v>237</v>
      </c>
      <c r="U245" t="s">
        <v>216</v>
      </c>
      <c r="V245" t="s">
        <v>246</v>
      </c>
      <c r="W245" t="s">
        <v>192</v>
      </c>
      <c r="X245" t="s">
        <v>198</v>
      </c>
      <c r="Y245" t="s">
        <v>192</v>
      </c>
      <c r="AA245">
        <v>3</v>
      </c>
      <c r="AB245">
        <v>2</v>
      </c>
      <c r="AC245">
        <v>2</v>
      </c>
      <c r="AE245">
        <v>0</v>
      </c>
      <c r="AF245">
        <v>0</v>
      </c>
      <c r="AG245" t="s">
        <v>192</v>
      </c>
      <c r="AH245" t="s">
        <v>199</v>
      </c>
      <c r="AJ245" s="9">
        <v>1</v>
      </c>
      <c r="AK245" s="9">
        <v>33</v>
      </c>
      <c r="AL245" s="9">
        <v>0</v>
      </c>
      <c r="AM245" s="9">
        <v>34</v>
      </c>
      <c r="AN245" t="s">
        <v>506</v>
      </c>
    </row>
    <row r="246" spans="1:40" x14ac:dyDescent="0.2">
      <c r="A246" t="s">
        <v>185</v>
      </c>
      <c r="B246" t="s">
        <v>186</v>
      </c>
      <c r="C246">
        <v>41</v>
      </c>
      <c r="D246">
        <v>4655</v>
      </c>
      <c r="E246" t="s">
        <v>220</v>
      </c>
      <c r="F246">
        <v>2</v>
      </c>
      <c r="G246" t="s">
        <v>450</v>
      </c>
      <c r="H246" t="s">
        <v>189</v>
      </c>
      <c r="I246" t="s">
        <v>190</v>
      </c>
      <c r="J246">
        <v>8</v>
      </c>
      <c r="K246">
        <v>16</v>
      </c>
      <c r="L246">
        <v>6</v>
      </c>
      <c r="M246" t="s">
        <v>233</v>
      </c>
      <c r="N246" t="s">
        <v>225</v>
      </c>
      <c r="O246" t="s">
        <v>192</v>
      </c>
      <c r="P246">
        <v>94</v>
      </c>
      <c r="Q246">
        <v>36</v>
      </c>
      <c r="R246" t="s">
        <v>204</v>
      </c>
      <c r="S246" t="s">
        <v>214</v>
      </c>
      <c r="T246" t="s">
        <v>206</v>
      </c>
      <c r="U246" t="s">
        <v>207</v>
      </c>
      <c r="V246" t="s">
        <v>217</v>
      </c>
      <c r="W246" t="s">
        <v>229</v>
      </c>
      <c r="X246" t="s">
        <v>198</v>
      </c>
      <c r="Y246" t="s">
        <v>192</v>
      </c>
      <c r="AA246">
        <v>4</v>
      </c>
      <c r="AB246">
        <v>4</v>
      </c>
      <c r="AC246">
        <v>4</v>
      </c>
      <c r="AE246">
        <v>0</v>
      </c>
      <c r="AF246">
        <v>0</v>
      </c>
      <c r="AG246" t="s">
        <v>192</v>
      </c>
      <c r="AH246" t="s">
        <v>198</v>
      </c>
      <c r="AI246" t="s">
        <v>279</v>
      </c>
      <c r="AJ246" s="9">
        <v>16</v>
      </c>
      <c r="AK246" s="9">
        <v>94</v>
      </c>
      <c r="AL246" s="9">
        <v>0</v>
      </c>
      <c r="AM246" s="9">
        <v>110</v>
      </c>
      <c r="AN246" t="s">
        <v>507</v>
      </c>
    </row>
    <row r="247" spans="1:40" x14ac:dyDescent="0.2">
      <c r="A247" t="s">
        <v>185</v>
      </c>
      <c r="B247" t="s">
        <v>186</v>
      </c>
      <c r="C247">
        <v>41</v>
      </c>
      <c r="D247">
        <v>4096</v>
      </c>
      <c r="E247" t="s">
        <v>220</v>
      </c>
      <c r="F247">
        <v>3</v>
      </c>
      <c r="G247" t="s">
        <v>451</v>
      </c>
      <c r="H247" t="s">
        <v>189</v>
      </c>
      <c r="I247" t="s">
        <v>190</v>
      </c>
      <c r="J247">
        <v>8</v>
      </c>
      <c r="K247">
        <v>11</v>
      </c>
      <c r="L247">
        <v>2</v>
      </c>
      <c r="M247" t="s">
        <v>233</v>
      </c>
      <c r="N247" t="s">
        <v>239</v>
      </c>
      <c r="O247" t="s">
        <v>192</v>
      </c>
      <c r="P247">
        <v>62</v>
      </c>
      <c r="Q247">
        <v>11</v>
      </c>
      <c r="R247" t="s">
        <v>204</v>
      </c>
      <c r="S247" t="s">
        <v>214</v>
      </c>
      <c r="T247" t="s">
        <v>206</v>
      </c>
      <c r="U247" t="s">
        <v>207</v>
      </c>
      <c r="V247" t="s">
        <v>217</v>
      </c>
      <c r="W247" t="s">
        <v>192</v>
      </c>
      <c r="X247" t="s">
        <v>240</v>
      </c>
      <c r="Y247" t="s">
        <v>192</v>
      </c>
      <c r="AA247">
        <v>4</v>
      </c>
      <c r="AB247">
        <v>3</v>
      </c>
      <c r="AC247">
        <v>4</v>
      </c>
      <c r="AE247">
        <v>0</v>
      </c>
      <c r="AF247">
        <v>0</v>
      </c>
      <c r="AG247" t="s">
        <v>192</v>
      </c>
      <c r="AH247" t="s">
        <v>199</v>
      </c>
      <c r="AI247" t="s">
        <v>234</v>
      </c>
      <c r="AJ247" s="9">
        <v>11</v>
      </c>
      <c r="AK247" s="9">
        <v>62</v>
      </c>
      <c r="AL247" s="9">
        <v>0</v>
      </c>
      <c r="AM247" s="9">
        <v>73</v>
      </c>
      <c r="AN247" t="s">
        <v>508</v>
      </c>
    </row>
    <row r="248" spans="1:40" x14ac:dyDescent="0.2">
      <c r="A248" t="s">
        <v>185</v>
      </c>
      <c r="B248" t="s">
        <v>186</v>
      </c>
      <c r="C248">
        <v>42</v>
      </c>
      <c r="D248">
        <v>648</v>
      </c>
      <c r="E248" t="s">
        <v>187</v>
      </c>
      <c r="F248">
        <v>1</v>
      </c>
      <c r="G248" t="s">
        <v>442</v>
      </c>
      <c r="H248" t="s">
        <v>189</v>
      </c>
      <c r="I248" t="s">
        <v>190</v>
      </c>
      <c r="J248">
        <v>8</v>
      </c>
      <c r="K248">
        <v>10</v>
      </c>
      <c r="L248">
        <v>6</v>
      </c>
      <c r="M248" t="s">
        <v>224</v>
      </c>
      <c r="N248" t="s">
        <v>225</v>
      </c>
      <c r="O248" t="s">
        <v>192</v>
      </c>
      <c r="P248">
        <v>12</v>
      </c>
      <c r="Q248">
        <v>8</v>
      </c>
      <c r="R248" t="s">
        <v>213</v>
      </c>
      <c r="S248" t="s">
        <v>194</v>
      </c>
      <c r="U248" t="s">
        <v>250</v>
      </c>
      <c r="V248" t="s">
        <v>246</v>
      </c>
      <c r="W248" t="s">
        <v>197</v>
      </c>
      <c r="X248" t="s">
        <v>198</v>
      </c>
      <c r="Y248" t="s">
        <v>192</v>
      </c>
      <c r="AA248">
        <v>4</v>
      </c>
      <c r="AB248">
        <v>2</v>
      </c>
      <c r="AC248">
        <v>3</v>
      </c>
      <c r="AE248">
        <v>0</v>
      </c>
      <c r="AF248">
        <v>0</v>
      </c>
      <c r="AG248" t="s">
        <v>192</v>
      </c>
      <c r="AH248" t="s">
        <v>198</v>
      </c>
      <c r="AI248" t="s">
        <v>260</v>
      </c>
      <c r="AJ248" s="9">
        <v>10</v>
      </c>
      <c r="AK248" s="9">
        <v>12</v>
      </c>
      <c r="AL248" s="9">
        <v>0</v>
      </c>
      <c r="AM248" s="9">
        <v>22</v>
      </c>
      <c r="AN248" t="s">
        <v>509</v>
      </c>
    </row>
    <row r="249" spans="1:40" x14ac:dyDescent="0.2">
      <c r="A249" t="s">
        <v>185</v>
      </c>
      <c r="B249" t="s">
        <v>186</v>
      </c>
      <c r="C249">
        <v>42</v>
      </c>
      <c r="D249">
        <v>3284</v>
      </c>
      <c r="E249" t="s">
        <v>187</v>
      </c>
      <c r="F249">
        <v>2</v>
      </c>
      <c r="G249" t="s">
        <v>444</v>
      </c>
      <c r="H249" t="s">
        <v>189</v>
      </c>
      <c r="I249" t="s">
        <v>203</v>
      </c>
      <c r="J249">
        <v>8</v>
      </c>
      <c r="K249">
        <v>11</v>
      </c>
      <c r="L249">
        <v>5</v>
      </c>
      <c r="M249" t="s">
        <v>233</v>
      </c>
      <c r="N249" t="s">
        <v>239</v>
      </c>
      <c r="O249" t="s">
        <v>192</v>
      </c>
      <c r="P249">
        <v>8</v>
      </c>
      <c r="Q249">
        <v>4</v>
      </c>
      <c r="R249" t="s">
        <v>193</v>
      </c>
      <c r="S249" t="s">
        <v>194</v>
      </c>
      <c r="U249" t="s">
        <v>195</v>
      </c>
      <c r="V249" t="s">
        <v>196</v>
      </c>
      <c r="W249" t="s">
        <v>229</v>
      </c>
      <c r="X249" t="s">
        <v>198</v>
      </c>
      <c r="Y249" t="s">
        <v>192</v>
      </c>
      <c r="AA249">
        <v>3</v>
      </c>
      <c r="AB249">
        <v>3</v>
      </c>
      <c r="AC249">
        <v>3</v>
      </c>
      <c r="AE249">
        <v>0</v>
      </c>
      <c r="AF249">
        <v>0</v>
      </c>
      <c r="AG249" t="s">
        <v>192</v>
      </c>
      <c r="AH249" t="s">
        <v>199</v>
      </c>
      <c r="AI249" t="s">
        <v>244</v>
      </c>
      <c r="AJ249" s="9">
        <v>11</v>
      </c>
      <c r="AK249" s="9">
        <v>8</v>
      </c>
      <c r="AL249" s="9">
        <v>0</v>
      </c>
      <c r="AM249" s="9">
        <v>19</v>
      </c>
      <c r="AN249" t="s">
        <v>510</v>
      </c>
    </row>
    <row r="250" spans="1:40" x14ac:dyDescent="0.2">
      <c r="A250" t="s">
        <v>185</v>
      </c>
      <c r="B250" t="s">
        <v>186</v>
      </c>
      <c r="C250">
        <v>42</v>
      </c>
      <c r="D250">
        <v>9082</v>
      </c>
      <c r="E250" t="s">
        <v>187</v>
      </c>
      <c r="F250">
        <v>3</v>
      </c>
      <c r="G250" t="s">
        <v>446</v>
      </c>
      <c r="H250" t="s">
        <v>189</v>
      </c>
      <c r="I250" t="s">
        <v>190</v>
      </c>
      <c r="J250">
        <v>8</v>
      </c>
      <c r="K250">
        <v>16</v>
      </c>
      <c r="L250">
        <v>1</v>
      </c>
      <c r="M250" t="s">
        <v>224</v>
      </c>
      <c r="N250" t="s">
        <v>239</v>
      </c>
      <c r="O250" t="s">
        <v>192</v>
      </c>
      <c r="P250">
        <v>85</v>
      </c>
      <c r="Q250">
        <v>7</v>
      </c>
      <c r="R250" t="s">
        <v>204</v>
      </c>
      <c r="S250" t="s">
        <v>205</v>
      </c>
      <c r="T250" t="s">
        <v>206</v>
      </c>
      <c r="U250" t="s">
        <v>207</v>
      </c>
      <c r="V250" t="s">
        <v>217</v>
      </c>
      <c r="W250" t="s">
        <v>192</v>
      </c>
      <c r="X250" t="s">
        <v>198</v>
      </c>
      <c r="Y250" t="s">
        <v>192</v>
      </c>
      <c r="AA250">
        <v>3</v>
      </c>
      <c r="AB250">
        <v>3</v>
      </c>
      <c r="AC250">
        <v>5</v>
      </c>
      <c r="AE250">
        <v>0</v>
      </c>
      <c r="AF250">
        <v>0</v>
      </c>
      <c r="AG250" t="s">
        <v>192</v>
      </c>
      <c r="AH250" t="s">
        <v>189</v>
      </c>
      <c r="AI250" t="s">
        <v>226</v>
      </c>
      <c r="AJ250" s="9">
        <v>16</v>
      </c>
      <c r="AK250" s="9">
        <v>85</v>
      </c>
      <c r="AL250" s="9">
        <v>0</v>
      </c>
      <c r="AM250" s="9">
        <v>101</v>
      </c>
      <c r="AN250" t="s">
        <v>511</v>
      </c>
    </row>
    <row r="251" spans="1:40" x14ac:dyDescent="0.2">
      <c r="A251" t="s">
        <v>185</v>
      </c>
      <c r="B251" t="s">
        <v>186</v>
      </c>
      <c r="C251">
        <v>42</v>
      </c>
      <c r="D251">
        <v>7472</v>
      </c>
      <c r="E251" t="s">
        <v>220</v>
      </c>
      <c r="F251">
        <v>1</v>
      </c>
      <c r="G251" t="s">
        <v>448</v>
      </c>
      <c r="H251" t="s">
        <v>189</v>
      </c>
      <c r="I251" t="s">
        <v>190</v>
      </c>
      <c r="J251">
        <v>8</v>
      </c>
      <c r="K251">
        <v>6</v>
      </c>
      <c r="L251">
        <v>5</v>
      </c>
      <c r="M251" t="s">
        <v>191</v>
      </c>
      <c r="O251" t="s">
        <v>192</v>
      </c>
      <c r="P251">
        <v>2</v>
      </c>
      <c r="Q251">
        <v>2</v>
      </c>
      <c r="R251" t="s">
        <v>193</v>
      </c>
      <c r="S251" t="s">
        <v>194</v>
      </c>
      <c r="U251" t="s">
        <v>262</v>
      </c>
      <c r="V251" t="s">
        <v>196</v>
      </c>
      <c r="W251" t="s">
        <v>192</v>
      </c>
      <c r="X251" t="s">
        <v>198</v>
      </c>
      <c r="Y251" t="s">
        <v>192</v>
      </c>
      <c r="AA251">
        <v>1</v>
      </c>
      <c r="AB251">
        <v>1</v>
      </c>
      <c r="AC251">
        <v>2</v>
      </c>
      <c r="AD251" t="s">
        <v>292</v>
      </c>
      <c r="AE251">
        <v>1</v>
      </c>
      <c r="AF251">
        <v>1</v>
      </c>
      <c r="AG251" t="s">
        <v>192</v>
      </c>
      <c r="AH251" t="s">
        <v>198</v>
      </c>
      <c r="AI251" t="s">
        <v>244</v>
      </c>
      <c r="AJ251" s="9">
        <v>6</v>
      </c>
      <c r="AK251" s="9">
        <v>2</v>
      </c>
      <c r="AL251" s="9">
        <v>0</v>
      </c>
      <c r="AM251" s="9">
        <v>8</v>
      </c>
      <c r="AN251" t="s">
        <v>512</v>
      </c>
    </row>
    <row r="252" spans="1:40" x14ac:dyDescent="0.2">
      <c r="A252" t="s">
        <v>185</v>
      </c>
      <c r="B252" t="s">
        <v>186</v>
      </c>
      <c r="C252">
        <v>42</v>
      </c>
      <c r="D252">
        <v>8020</v>
      </c>
      <c r="E252" t="s">
        <v>220</v>
      </c>
      <c r="F252">
        <v>2</v>
      </c>
      <c r="G252" t="s">
        <v>450</v>
      </c>
      <c r="H252" t="s">
        <v>189</v>
      </c>
      <c r="I252" t="s">
        <v>190</v>
      </c>
      <c r="J252">
        <v>8</v>
      </c>
      <c r="K252">
        <v>15</v>
      </c>
      <c r="L252">
        <v>2</v>
      </c>
      <c r="M252" t="s">
        <v>224</v>
      </c>
      <c r="N252" t="s">
        <v>225</v>
      </c>
      <c r="O252" t="s">
        <v>192</v>
      </c>
      <c r="P252">
        <v>48</v>
      </c>
      <c r="Q252">
        <v>5</v>
      </c>
      <c r="R252" t="s">
        <v>204</v>
      </c>
      <c r="S252" t="s">
        <v>205</v>
      </c>
      <c r="T252" t="s">
        <v>206</v>
      </c>
      <c r="U252" t="s">
        <v>207</v>
      </c>
      <c r="V252" t="s">
        <v>208</v>
      </c>
      <c r="W252" t="s">
        <v>192</v>
      </c>
      <c r="X252" t="s">
        <v>198</v>
      </c>
      <c r="Y252" t="s">
        <v>192</v>
      </c>
      <c r="AA252">
        <v>4</v>
      </c>
      <c r="AB252">
        <v>3</v>
      </c>
      <c r="AC252">
        <v>4</v>
      </c>
      <c r="AD252" t="s">
        <v>292</v>
      </c>
      <c r="AE252">
        <v>1</v>
      </c>
      <c r="AF252">
        <v>0</v>
      </c>
      <c r="AG252" t="s">
        <v>192</v>
      </c>
      <c r="AH252" t="s">
        <v>189</v>
      </c>
      <c r="AI252" t="s">
        <v>336</v>
      </c>
      <c r="AJ252" s="9">
        <v>15</v>
      </c>
      <c r="AK252" s="9">
        <v>48</v>
      </c>
      <c r="AL252" s="9">
        <v>0</v>
      </c>
      <c r="AM252" s="9">
        <v>63</v>
      </c>
      <c r="AN252" t="s">
        <v>513</v>
      </c>
    </row>
    <row r="253" spans="1:40" x14ac:dyDescent="0.2">
      <c r="A253" t="s">
        <v>185</v>
      </c>
      <c r="B253" t="s">
        <v>186</v>
      </c>
      <c r="C253">
        <v>42</v>
      </c>
      <c r="D253">
        <v>1756</v>
      </c>
      <c r="E253" t="s">
        <v>220</v>
      </c>
      <c r="F253">
        <v>3</v>
      </c>
      <c r="G253" t="s">
        <v>451</v>
      </c>
      <c r="H253" t="s">
        <v>189</v>
      </c>
      <c r="I253" t="s">
        <v>190</v>
      </c>
      <c r="J253">
        <v>8</v>
      </c>
      <c r="K253">
        <v>14</v>
      </c>
      <c r="L253">
        <v>3</v>
      </c>
      <c r="M253" t="s">
        <v>233</v>
      </c>
      <c r="N253" t="s">
        <v>239</v>
      </c>
      <c r="O253" t="s">
        <v>192</v>
      </c>
      <c r="P253">
        <v>113</v>
      </c>
      <c r="Q253">
        <v>25</v>
      </c>
      <c r="R253" t="s">
        <v>204</v>
      </c>
      <c r="S253" t="s">
        <v>205</v>
      </c>
      <c r="T253" t="s">
        <v>206</v>
      </c>
      <c r="U253" t="s">
        <v>207</v>
      </c>
      <c r="V253" t="s">
        <v>208</v>
      </c>
      <c r="W253" t="s">
        <v>192</v>
      </c>
      <c r="X253" t="s">
        <v>229</v>
      </c>
      <c r="Y253" t="s">
        <v>192</v>
      </c>
      <c r="AA253">
        <v>5</v>
      </c>
      <c r="AB253">
        <v>5</v>
      </c>
      <c r="AC253">
        <v>5</v>
      </c>
      <c r="AE253">
        <v>0</v>
      </c>
      <c r="AF253">
        <v>0</v>
      </c>
      <c r="AG253" t="s">
        <v>192</v>
      </c>
      <c r="AH253" t="s">
        <v>189</v>
      </c>
      <c r="AI253" t="s">
        <v>378</v>
      </c>
      <c r="AJ253" s="9">
        <v>14</v>
      </c>
      <c r="AK253" s="9">
        <v>113</v>
      </c>
      <c r="AL253" s="9">
        <v>0</v>
      </c>
      <c r="AM253" s="9">
        <v>127</v>
      </c>
      <c r="AN253" t="s">
        <v>514</v>
      </c>
    </row>
    <row r="254" spans="1:40" x14ac:dyDescent="0.2">
      <c r="A254" t="s">
        <v>185</v>
      </c>
      <c r="B254" t="s">
        <v>186</v>
      </c>
      <c r="C254">
        <v>43</v>
      </c>
      <c r="D254">
        <v>5442</v>
      </c>
      <c r="E254" t="s">
        <v>187</v>
      </c>
      <c r="F254">
        <v>1</v>
      </c>
      <c r="G254" t="s">
        <v>442</v>
      </c>
      <c r="H254" t="s">
        <v>189</v>
      </c>
      <c r="I254" t="s">
        <v>212</v>
      </c>
      <c r="J254">
        <v>8</v>
      </c>
      <c r="K254">
        <v>0</v>
      </c>
      <c r="L254">
        <v>0</v>
      </c>
      <c r="O254" t="s">
        <v>192</v>
      </c>
      <c r="P254">
        <v>21</v>
      </c>
      <c r="Q254">
        <v>8</v>
      </c>
      <c r="R254" t="s">
        <v>213</v>
      </c>
      <c r="S254" t="s">
        <v>214</v>
      </c>
      <c r="T254" t="s">
        <v>215</v>
      </c>
      <c r="U254" t="s">
        <v>216</v>
      </c>
      <c r="V254" t="s">
        <v>246</v>
      </c>
      <c r="W254" t="s">
        <v>192</v>
      </c>
      <c r="X254" t="s">
        <v>198</v>
      </c>
      <c r="Y254" t="s">
        <v>192</v>
      </c>
      <c r="AA254">
        <v>3</v>
      </c>
      <c r="AB254">
        <v>3</v>
      </c>
      <c r="AC254">
        <v>3</v>
      </c>
      <c r="AE254">
        <v>0</v>
      </c>
      <c r="AF254">
        <v>0</v>
      </c>
      <c r="AG254" t="s">
        <v>192</v>
      </c>
      <c r="AH254" t="s">
        <v>189</v>
      </c>
      <c r="AJ254" s="9">
        <v>0</v>
      </c>
      <c r="AK254" s="9">
        <v>21</v>
      </c>
      <c r="AL254" s="9">
        <v>0</v>
      </c>
      <c r="AM254" s="9">
        <v>21</v>
      </c>
      <c r="AN254" t="s">
        <v>515</v>
      </c>
    </row>
    <row r="255" spans="1:40" x14ac:dyDescent="0.2">
      <c r="A255" t="s">
        <v>185</v>
      </c>
      <c r="B255" t="s">
        <v>186</v>
      </c>
      <c r="C255">
        <v>43</v>
      </c>
      <c r="D255">
        <v>7417</v>
      </c>
      <c r="E255" t="s">
        <v>187</v>
      </c>
      <c r="F255">
        <v>2</v>
      </c>
      <c r="G255" t="s">
        <v>444</v>
      </c>
      <c r="H255" t="s">
        <v>189</v>
      </c>
      <c r="I255" t="s">
        <v>203</v>
      </c>
      <c r="J255">
        <v>8</v>
      </c>
      <c r="K255">
        <v>6</v>
      </c>
      <c r="L255">
        <v>3</v>
      </c>
      <c r="M255" t="s">
        <v>233</v>
      </c>
      <c r="O255" t="s">
        <v>192</v>
      </c>
      <c r="P255">
        <v>3</v>
      </c>
      <c r="Q255">
        <v>2</v>
      </c>
      <c r="R255" t="s">
        <v>193</v>
      </c>
      <c r="S255" t="s">
        <v>194</v>
      </c>
      <c r="U255" t="s">
        <v>195</v>
      </c>
      <c r="V255" t="s">
        <v>196</v>
      </c>
      <c r="W255" t="s">
        <v>192</v>
      </c>
      <c r="X255" t="s">
        <v>198</v>
      </c>
      <c r="Y255" t="s">
        <v>192</v>
      </c>
      <c r="AA255">
        <v>2</v>
      </c>
      <c r="AB255">
        <v>1</v>
      </c>
      <c r="AC255">
        <v>3</v>
      </c>
      <c r="AD255" t="s">
        <v>218</v>
      </c>
      <c r="AE255">
        <v>0</v>
      </c>
      <c r="AF255">
        <v>0</v>
      </c>
      <c r="AG255" t="s">
        <v>192</v>
      </c>
      <c r="AH255" t="s">
        <v>199</v>
      </c>
      <c r="AI255" t="s">
        <v>244</v>
      </c>
      <c r="AJ255" s="9">
        <v>6</v>
      </c>
      <c r="AK255" s="9">
        <v>3</v>
      </c>
      <c r="AL255" s="9">
        <v>0</v>
      </c>
      <c r="AM255" s="9">
        <v>9</v>
      </c>
      <c r="AN255" t="s">
        <v>516</v>
      </c>
    </row>
    <row r="256" spans="1:40" x14ac:dyDescent="0.2">
      <c r="A256" t="s">
        <v>185</v>
      </c>
      <c r="B256" t="s">
        <v>186</v>
      </c>
      <c r="C256">
        <v>43</v>
      </c>
      <c r="D256">
        <v>6237</v>
      </c>
      <c r="E256" t="s">
        <v>187</v>
      </c>
      <c r="F256">
        <v>3</v>
      </c>
      <c r="G256" t="s">
        <v>446</v>
      </c>
      <c r="H256" t="s">
        <v>189</v>
      </c>
      <c r="I256" t="s">
        <v>203</v>
      </c>
      <c r="J256">
        <v>8</v>
      </c>
      <c r="K256">
        <v>2</v>
      </c>
      <c r="L256">
        <v>1</v>
      </c>
      <c r="M256" t="s">
        <v>191</v>
      </c>
      <c r="O256" t="s">
        <v>192</v>
      </c>
      <c r="P256">
        <v>55</v>
      </c>
      <c r="Q256">
        <v>20</v>
      </c>
      <c r="R256" t="s">
        <v>204</v>
      </c>
      <c r="S256" t="s">
        <v>205</v>
      </c>
      <c r="T256" t="s">
        <v>206</v>
      </c>
      <c r="U256" t="s">
        <v>207</v>
      </c>
      <c r="V256" t="s">
        <v>208</v>
      </c>
      <c r="W256" t="s">
        <v>192</v>
      </c>
      <c r="X256" t="s">
        <v>229</v>
      </c>
      <c r="Y256" t="s">
        <v>192</v>
      </c>
      <c r="AA256">
        <v>4</v>
      </c>
      <c r="AB256">
        <v>4</v>
      </c>
      <c r="AC256">
        <v>3</v>
      </c>
      <c r="AE256">
        <v>1</v>
      </c>
      <c r="AF256">
        <v>0</v>
      </c>
      <c r="AG256" t="s">
        <v>192</v>
      </c>
      <c r="AH256" t="s">
        <v>189</v>
      </c>
      <c r="AI256" t="s">
        <v>313</v>
      </c>
      <c r="AJ256" s="9">
        <v>2</v>
      </c>
      <c r="AK256" s="9">
        <v>55</v>
      </c>
      <c r="AL256" s="9">
        <v>0</v>
      </c>
      <c r="AM256" s="9">
        <v>57</v>
      </c>
      <c r="AN256" t="s">
        <v>517</v>
      </c>
    </row>
    <row r="257" spans="1:40" x14ac:dyDescent="0.2">
      <c r="A257" t="s">
        <v>185</v>
      </c>
      <c r="B257" t="s">
        <v>186</v>
      </c>
      <c r="C257">
        <v>43</v>
      </c>
      <c r="D257">
        <v>4156</v>
      </c>
      <c r="E257" t="s">
        <v>220</v>
      </c>
      <c r="F257">
        <v>1</v>
      </c>
      <c r="G257" t="s">
        <v>448</v>
      </c>
      <c r="H257" t="s">
        <v>189</v>
      </c>
      <c r="I257" t="s">
        <v>190</v>
      </c>
      <c r="J257">
        <v>8</v>
      </c>
      <c r="K257">
        <v>3</v>
      </c>
      <c r="L257">
        <v>2</v>
      </c>
      <c r="M257" t="s">
        <v>191</v>
      </c>
      <c r="O257" t="s">
        <v>192</v>
      </c>
      <c r="P257">
        <v>7</v>
      </c>
      <c r="Q257">
        <v>4</v>
      </c>
      <c r="R257" t="s">
        <v>193</v>
      </c>
      <c r="S257" t="s">
        <v>194</v>
      </c>
      <c r="U257" t="s">
        <v>195</v>
      </c>
      <c r="V257" t="s">
        <v>196</v>
      </c>
      <c r="W257" t="s">
        <v>229</v>
      </c>
      <c r="X257" t="s">
        <v>198</v>
      </c>
      <c r="Y257" t="s">
        <v>192</v>
      </c>
      <c r="AA257">
        <v>2</v>
      </c>
      <c r="AB257">
        <v>2</v>
      </c>
      <c r="AC257">
        <v>4</v>
      </c>
      <c r="AE257">
        <v>0</v>
      </c>
      <c r="AF257">
        <v>0</v>
      </c>
      <c r="AG257" t="s">
        <v>192</v>
      </c>
      <c r="AH257" t="s">
        <v>198</v>
      </c>
      <c r="AI257" t="s">
        <v>244</v>
      </c>
      <c r="AJ257" s="9">
        <v>3</v>
      </c>
      <c r="AK257" s="9">
        <v>7</v>
      </c>
      <c r="AL257" s="9">
        <v>0</v>
      </c>
      <c r="AM257" s="9">
        <v>10</v>
      </c>
      <c r="AN257" t="s">
        <v>518</v>
      </c>
    </row>
    <row r="258" spans="1:40" x14ac:dyDescent="0.2">
      <c r="A258" t="s">
        <v>185</v>
      </c>
      <c r="B258" t="s">
        <v>186</v>
      </c>
      <c r="C258">
        <v>43</v>
      </c>
      <c r="D258">
        <v>2481</v>
      </c>
      <c r="E258" t="s">
        <v>220</v>
      </c>
      <c r="F258">
        <v>2</v>
      </c>
      <c r="G258" t="s">
        <v>450</v>
      </c>
      <c r="H258" t="s">
        <v>189</v>
      </c>
      <c r="I258" t="s">
        <v>190</v>
      </c>
      <c r="J258">
        <v>8</v>
      </c>
      <c r="K258">
        <v>79</v>
      </c>
      <c r="L258">
        <v>15</v>
      </c>
      <c r="M258" t="s">
        <v>233</v>
      </c>
      <c r="N258" t="s">
        <v>239</v>
      </c>
      <c r="O258" t="s">
        <v>192</v>
      </c>
      <c r="P258">
        <v>219</v>
      </c>
      <c r="Q258">
        <v>42</v>
      </c>
      <c r="R258" t="s">
        <v>204</v>
      </c>
      <c r="S258" t="s">
        <v>205</v>
      </c>
      <c r="T258" t="s">
        <v>206</v>
      </c>
      <c r="U258" t="s">
        <v>207</v>
      </c>
      <c r="V258" t="s">
        <v>208</v>
      </c>
      <c r="W258" t="s">
        <v>192</v>
      </c>
      <c r="X258" t="s">
        <v>240</v>
      </c>
      <c r="Y258" t="s">
        <v>192</v>
      </c>
      <c r="AA258">
        <v>5</v>
      </c>
      <c r="AB258">
        <v>5</v>
      </c>
      <c r="AC258">
        <v>4</v>
      </c>
      <c r="AE258">
        <v>0</v>
      </c>
      <c r="AF258">
        <v>0</v>
      </c>
      <c r="AG258" t="s">
        <v>192</v>
      </c>
      <c r="AH258" t="s">
        <v>189</v>
      </c>
      <c r="AI258" t="s">
        <v>378</v>
      </c>
      <c r="AJ258" s="9">
        <v>79</v>
      </c>
      <c r="AK258" s="9">
        <v>219</v>
      </c>
      <c r="AL258" s="9">
        <v>0</v>
      </c>
      <c r="AM258" s="9">
        <v>298</v>
      </c>
      <c r="AN258" t="s">
        <v>519</v>
      </c>
    </row>
    <row r="259" spans="1:40" x14ac:dyDescent="0.2">
      <c r="A259" t="s">
        <v>185</v>
      </c>
      <c r="B259" t="s">
        <v>186</v>
      </c>
      <c r="C259">
        <v>43</v>
      </c>
      <c r="D259">
        <v>1736</v>
      </c>
      <c r="E259" t="s">
        <v>220</v>
      </c>
      <c r="F259">
        <v>3</v>
      </c>
      <c r="G259" t="s">
        <v>451</v>
      </c>
      <c r="H259" t="s">
        <v>189</v>
      </c>
      <c r="I259" t="s">
        <v>203</v>
      </c>
      <c r="J259">
        <v>5</v>
      </c>
      <c r="K259">
        <v>2</v>
      </c>
      <c r="L259">
        <v>1</v>
      </c>
      <c r="M259" t="s">
        <v>191</v>
      </c>
      <c r="O259" t="s">
        <v>192</v>
      </c>
      <c r="P259">
        <v>20</v>
      </c>
      <c r="Q259">
        <v>7</v>
      </c>
      <c r="R259" t="s">
        <v>213</v>
      </c>
      <c r="S259" t="s">
        <v>194</v>
      </c>
      <c r="T259" t="s">
        <v>215</v>
      </c>
      <c r="U259" t="s">
        <v>216</v>
      </c>
      <c r="V259" t="s">
        <v>246</v>
      </c>
      <c r="W259" t="s">
        <v>192</v>
      </c>
      <c r="X259" t="s">
        <v>198</v>
      </c>
      <c r="Y259" t="s">
        <v>192</v>
      </c>
      <c r="AA259">
        <v>2</v>
      </c>
      <c r="AB259">
        <v>3</v>
      </c>
      <c r="AC259">
        <v>3</v>
      </c>
      <c r="AE259">
        <v>1</v>
      </c>
      <c r="AF259">
        <v>1</v>
      </c>
      <c r="AG259" t="s">
        <v>192</v>
      </c>
      <c r="AH259" t="s">
        <v>198</v>
      </c>
      <c r="AJ259" s="9">
        <v>2</v>
      </c>
      <c r="AK259" s="9">
        <v>20</v>
      </c>
      <c r="AL259" s="9">
        <v>0</v>
      </c>
      <c r="AM259" s="9">
        <v>22</v>
      </c>
      <c r="AN259" t="s">
        <v>520</v>
      </c>
    </row>
    <row r="260" spans="1:40" x14ac:dyDescent="0.2">
      <c r="A260" t="s">
        <v>185</v>
      </c>
      <c r="B260" t="s">
        <v>186</v>
      </c>
      <c r="C260">
        <v>44</v>
      </c>
      <c r="D260">
        <v>8719</v>
      </c>
      <c r="E260" t="s">
        <v>187</v>
      </c>
      <c r="F260">
        <v>1</v>
      </c>
      <c r="G260" t="s">
        <v>442</v>
      </c>
      <c r="H260" t="s">
        <v>189</v>
      </c>
      <c r="I260" t="s">
        <v>190</v>
      </c>
      <c r="J260">
        <v>5</v>
      </c>
      <c r="K260">
        <v>4</v>
      </c>
      <c r="L260">
        <v>3</v>
      </c>
      <c r="M260" t="s">
        <v>191</v>
      </c>
      <c r="O260" t="s">
        <v>192</v>
      </c>
      <c r="P260">
        <v>2</v>
      </c>
      <c r="Q260">
        <v>2</v>
      </c>
      <c r="R260" t="s">
        <v>193</v>
      </c>
      <c r="S260" t="s">
        <v>194</v>
      </c>
      <c r="U260" t="s">
        <v>250</v>
      </c>
      <c r="V260" t="s">
        <v>196</v>
      </c>
      <c r="W260" t="s">
        <v>197</v>
      </c>
      <c r="X260" t="s">
        <v>198</v>
      </c>
      <c r="Y260" t="s">
        <v>192</v>
      </c>
      <c r="AA260">
        <v>1</v>
      </c>
      <c r="AB260">
        <v>1</v>
      </c>
      <c r="AC260">
        <v>2</v>
      </c>
      <c r="AE260">
        <v>0</v>
      </c>
      <c r="AF260">
        <v>0</v>
      </c>
      <c r="AG260" t="s">
        <v>192</v>
      </c>
      <c r="AH260" t="s">
        <v>198</v>
      </c>
      <c r="AI260" t="s">
        <v>200</v>
      </c>
      <c r="AJ260" s="9">
        <v>4</v>
      </c>
      <c r="AK260" s="9">
        <v>2</v>
      </c>
      <c r="AL260" s="9">
        <v>0</v>
      </c>
      <c r="AM260" s="9">
        <v>6</v>
      </c>
      <c r="AN260" t="s">
        <v>521</v>
      </c>
    </row>
    <row r="261" spans="1:40" x14ac:dyDescent="0.2">
      <c r="A261" t="s">
        <v>185</v>
      </c>
      <c r="B261" t="s">
        <v>186</v>
      </c>
      <c r="C261">
        <v>44</v>
      </c>
      <c r="D261">
        <v>4787</v>
      </c>
      <c r="E261" t="s">
        <v>187</v>
      </c>
      <c r="F261">
        <v>2</v>
      </c>
      <c r="G261" t="s">
        <v>444</v>
      </c>
      <c r="H261" t="s">
        <v>189</v>
      </c>
      <c r="I261" t="s">
        <v>212</v>
      </c>
      <c r="J261">
        <v>7</v>
      </c>
      <c r="K261">
        <v>0</v>
      </c>
      <c r="L261">
        <v>0</v>
      </c>
      <c r="O261" t="s">
        <v>192</v>
      </c>
      <c r="P261">
        <v>30</v>
      </c>
      <c r="Q261">
        <v>15</v>
      </c>
      <c r="R261" t="s">
        <v>213</v>
      </c>
      <c r="S261" t="s">
        <v>214</v>
      </c>
      <c r="T261" t="s">
        <v>215</v>
      </c>
      <c r="U261" t="s">
        <v>216</v>
      </c>
      <c r="V261" t="s">
        <v>246</v>
      </c>
      <c r="W261" t="s">
        <v>192</v>
      </c>
      <c r="X261" t="s">
        <v>198</v>
      </c>
      <c r="Y261" t="s">
        <v>192</v>
      </c>
      <c r="AA261">
        <v>3</v>
      </c>
      <c r="AB261">
        <v>2</v>
      </c>
      <c r="AC261">
        <v>3</v>
      </c>
      <c r="AE261">
        <v>0</v>
      </c>
      <c r="AF261">
        <v>0</v>
      </c>
      <c r="AG261" t="s">
        <v>192</v>
      </c>
      <c r="AH261" t="s">
        <v>199</v>
      </c>
      <c r="AJ261" s="9">
        <v>0</v>
      </c>
      <c r="AK261" s="9">
        <v>30</v>
      </c>
      <c r="AL261" s="9">
        <v>0</v>
      </c>
      <c r="AM261" s="9">
        <v>30</v>
      </c>
      <c r="AN261" t="s">
        <v>522</v>
      </c>
    </row>
    <row r="262" spans="1:40" x14ac:dyDescent="0.2">
      <c r="A262" t="s">
        <v>185</v>
      </c>
      <c r="B262" t="s">
        <v>186</v>
      </c>
      <c r="C262">
        <v>44</v>
      </c>
      <c r="D262">
        <v>8029</v>
      </c>
      <c r="E262" t="s">
        <v>187</v>
      </c>
      <c r="F262">
        <v>3</v>
      </c>
      <c r="G262" t="s">
        <v>446</v>
      </c>
      <c r="H262" t="s">
        <v>189</v>
      </c>
      <c r="I262" t="s">
        <v>190</v>
      </c>
      <c r="J262">
        <v>5</v>
      </c>
      <c r="K262">
        <v>4</v>
      </c>
      <c r="L262">
        <v>4</v>
      </c>
      <c r="M262" t="s">
        <v>233</v>
      </c>
      <c r="O262" t="s">
        <v>192</v>
      </c>
      <c r="P262">
        <v>16</v>
      </c>
      <c r="Q262">
        <v>15</v>
      </c>
      <c r="R262" t="s">
        <v>193</v>
      </c>
      <c r="S262" t="s">
        <v>194</v>
      </c>
      <c r="U262" t="s">
        <v>262</v>
      </c>
      <c r="V262" t="s">
        <v>196</v>
      </c>
      <c r="W262" t="s">
        <v>229</v>
      </c>
      <c r="X262" t="s">
        <v>198</v>
      </c>
      <c r="Y262" t="s">
        <v>192</v>
      </c>
      <c r="AA262">
        <v>1</v>
      </c>
      <c r="AB262">
        <v>2</v>
      </c>
      <c r="AC262">
        <v>2</v>
      </c>
      <c r="AE262">
        <v>0</v>
      </c>
      <c r="AF262">
        <v>0</v>
      </c>
      <c r="AG262" t="s">
        <v>192</v>
      </c>
      <c r="AH262" t="s">
        <v>198</v>
      </c>
      <c r="AJ262" s="9">
        <v>4</v>
      </c>
      <c r="AK262" s="9">
        <v>16</v>
      </c>
      <c r="AL262" s="9">
        <v>0</v>
      </c>
      <c r="AM262" s="9">
        <v>20</v>
      </c>
      <c r="AN262" t="s">
        <v>523</v>
      </c>
    </row>
    <row r="263" spans="1:40" x14ac:dyDescent="0.2">
      <c r="A263" t="s">
        <v>185</v>
      </c>
      <c r="B263" t="s">
        <v>186</v>
      </c>
      <c r="C263">
        <v>44</v>
      </c>
      <c r="D263">
        <v>7848</v>
      </c>
      <c r="E263" t="s">
        <v>220</v>
      </c>
      <c r="F263">
        <v>1</v>
      </c>
      <c r="G263" t="s">
        <v>448</v>
      </c>
      <c r="H263" t="s">
        <v>189</v>
      </c>
      <c r="I263" t="s">
        <v>203</v>
      </c>
      <c r="J263">
        <v>8</v>
      </c>
      <c r="K263">
        <v>2</v>
      </c>
      <c r="L263">
        <v>0</v>
      </c>
      <c r="M263" t="s">
        <v>191</v>
      </c>
      <c r="O263" t="s">
        <v>192</v>
      </c>
      <c r="P263">
        <v>34</v>
      </c>
      <c r="Q263">
        <v>7</v>
      </c>
      <c r="R263" t="s">
        <v>204</v>
      </c>
      <c r="S263" t="s">
        <v>214</v>
      </c>
      <c r="T263" t="s">
        <v>215</v>
      </c>
      <c r="U263" t="s">
        <v>216</v>
      </c>
      <c r="V263" t="s">
        <v>217</v>
      </c>
      <c r="W263" t="s">
        <v>192</v>
      </c>
      <c r="X263" t="s">
        <v>198</v>
      </c>
      <c r="Y263" t="s">
        <v>192</v>
      </c>
      <c r="AA263">
        <v>3</v>
      </c>
      <c r="AB263">
        <v>2</v>
      </c>
      <c r="AC263">
        <v>5</v>
      </c>
      <c r="AE263">
        <v>0</v>
      </c>
      <c r="AF263">
        <v>0</v>
      </c>
      <c r="AG263" t="s">
        <v>192</v>
      </c>
      <c r="AH263" t="s">
        <v>198</v>
      </c>
      <c r="AJ263" s="9">
        <v>2</v>
      </c>
      <c r="AK263" s="9">
        <v>34</v>
      </c>
      <c r="AL263" s="9">
        <v>0</v>
      </c>
      <c r="AM263" s="9">
        <v>36</v>
      </c>
      <c r="AN263" t="s">
        <v>524</v>
      </c>
    </row>
    <row r="264" spans="1:40" x14ac:dyDescent="0.2">
      <c r="A264" t="s">
        <v>185</v>
      </c>
      <c r="B264" t="s">
        <v>186</v>
      </c>
      <c r="C264">
        <v>44</v>
      </c>
      <c r="D264">
        <v>1625</v>
      </c>
      <c r="E264" t="s">
        <v>220</v>
      </c>
      <c r="F264">
        <v>2</v>
      </c>
      <c r="G264" t="s">
        <v>450</v>
      </c>
      <c r="H264" t="s">
        <v>189</v>
      </c>
      <c r="I264" t="s">
        <v>212</v>
      </c>
      <c r="J264">
        <v>8</v>
      </c>
      <c r="K264">
        <v>28</v>
      </c>
      <c r="L264">
        <v>10</v>
      </c>
      <c r="M264" t="s">
        <v>233</v>
      </c>
      <c r="N264" t="s">
        <v>225</v>
      </c>
      <c r="O264" t="s">
        <v>192</v>
      </c>
      <c r="P264">
        <v>75</v>
      </c>
      <c r="Q264">
        <v>27</v>
      </c>
      <c r="R264" t="s">
        <v>204</v>
      </c>
      <c r="S264" t="s">
        <v>205</v>
      </c>
      <c r="T264" t="s">
        <v>206</v>
      </c>
      <c r="U264" t="s">
        <v>207</v>
      </c>
      <c r="V264" t="s">
        <v>208</v>
      </c>
      <c r="W264" t="s">
        <v>192</v>
      </c>
      <c r="X264" t="s">
        <v>229</v>
      </c>
      <c r="Y264" t="s">
        <v>192</v>
      </c>
      <c r="AA264">
        <v>4</v>
      </c>
      <c r="AB264">
        <v>4</v>
      </c>
      <c r="AC264">
        <v>3</v>
      </c>
      <c r="AE264">
        <v>0</v>
      </c>
      <c r="AF264">
        <v>0</v>
      </c>
      <c r="AG264" t="s">
        <v>192</v>
      </c>
      <c r="AH264" t="s">
        <v>189</v>
      </c>
      <c r="AI264" t="s">
        <v>234</v>
      </c>
      <c r="AJ264" s="9">
        <v>28</v>
      </c>
      <c r="AK264" s="9">
        <v>75</v>
      </c>
      <c r="AL264" s="9">
        <v>0</v>
      </c>
      <c r="AM264" s="9">
        <v>103</v>
      </c>
      <c r="AN264" t="s">
        <v>525</v>
      </c>
    </row>
    <row r="265" spans="1:40" x14ac:dyDescent="0.2">
      <c r="A265" t="s">
        <v>185</v>
      </c>
      <c r="B265" t="s">
        <v>186</v>
      </c>
      <c r="C265">
        <v>44</v>
      </c>
      <c r="D265">
        <v>2040</v>
      </c>
      <c r="E265" t="s">
        <v>220</v>
      </c>
      <c r="F265">
        <v>3</v>
      </c>
      <c r="G265" t="s">
        <v>451</v>
      </c>
      <c r="H265" t="s">
        <v>189</v>
      </c>
      <c r="I265" t="s">
        <v>203</v>
      </c>
      <c r="J265">
        <v>5</v>
      </c>
      <c r="K265">
        <v>19</v>
      </c>
      <c r="L265">
        <v>4</v>
      </c>
      <c r="M265" t="s">
        <v>224</v>
      </c>
      <c r="N265" t="s">
        <v>225</v>
      </c>
      <c r="O265" t="s">
        <v>192</v>
      </c>
      <c r="P265">
        <v>105</v>
      </c>
      <c r="Q265">
        <v>25</v>
      </c>
      <c r="R265" t="s">
        <v>204</v>
      </c>
      <c r="S265" t="s">
        <v>205</v>
      </c>
      <c r="T265" t="s">
        <v>206</v>
      </c>
      <c r="U265" t="s">
        <v>207</v>
      </c>
      <c r="V265" t="s">
        <v>208</v>
      </c>
      <c r="W265" t="s">
        <v>192</v>
      </c>
      <c r="X265" t="s">
        <v>198</v>
      </c>
      <c r="Y265" t="s">
        <v>192</v>
      </c>
      <c r="AA265">
        <v>5</v>
      </c>
      <c r="AB265">
        <v>4</v>
      </c>
      <c r="AC265">
        <v>4</v>
      </c>
      <c r="AE265">
        <v>0</v>
      </c>
      <c r="AF265">
        <v>0</v>
      </c>
      <c r="AG265" t="s">
        <v>192</v>
      </c>
      <c r="AH265" t="s">
        <v>189</v>
      </c>
      <c r="AI265" t="s">
        <v>279</v>
      </c>
      <c r="AJ265" s="9">
        <v>19</v>
      </c>
      <c r="AK265" s="9">
        <v>105</v>
      </c>
      <c r="AL265" s="9">
        <v>0</v>
      </c>
      <c r="AM265" s="9">
        <v>124</v>
      </c>
      <c r="AN265" t="s">
        <v>526</v>
      </c>
    </row>
    <row r="266" spans="1:40" x14ac:dyDescent="0.2">
      <c r="A266" t="s">
        <v>185</v>
      </c>
      <c r="B266" t="s">
        <v>186</v>
      </c>
      <c r="C266">
        <v>45</v>
      </c>
      <c r="D266">
        <v>4143</v>
      </c>
      <c r="E266" t="s">
        <v>187</v>
      </c>
      <c r="F266">
        <v>1</v>
      </c>
      <c r="G266" t="s">
        <v>442</v>
      </c>
      <c r="H266" t="s">
        <v>189</v>
      </c>
      <c r="I266" t="s">
        <v>212</v>
      </c>
      <c r="J266">
        <v>7</v>
      </c>
      <c r="K266">
        <v>59</v>
      </c>
      <c r="L266">
        <v>6</v>
      </c>
      <c r="M266" t="s">
        <v>233</v>
      </c>
      <c r="N266" t="s">
        <v>239</v>
      </c>
      <c r="O266" t="s">
        <v>192</v>
      </c>
      <c r="P266">
        <v>143</v>
      </c>
      <c r="Q266">
        <v>14</v>
      </c>
      <c r="R266" t="s">
        <v>204</v>
      </c>
      <c r="S266" t="s">
        <v>205</v>
      </c>
      <c r="T266" t="s">
        <v>206</v>
      </c>
      <c r="U266" t="s">
        <v>207</v>
      </c>
      <c r="V266" t="s">
        <v>208</v>
      </c>
      <c r="W266" t="s">
        <v>192</v>
      </c>
      <c r="X266" t="s">
        <v>240</v>
      </c>
      <c r="Y266" t="s">
        <v>192</v>
      </c>
      <c r="AA266">
        <v>4</v>
      </c>
      <c r="AB266">
        <v>5</v>
      </c>
      <c r="AC266">
        <v>4</v>
      </c>
      <c r="AE266">
        <v>0</v>
      </c>
      <c r="AF266">
        <v>0</v>
      </c>
      <c r="AG266" t="s">
        <v>192</v>
      </c>
      <c r="AH266" t="s">
        <v>189</v>
      </c>
      <c r="AI266" t="s">
        <v>286</v>
      </c>
      <c r="AJ266" s="9">
        <v>59</v>
      </c>
      <c r="AK266" s="9">
        <v>143</v>
      </c>
      <c r="AL266" s="9">
        <v>0</v>
      </c>
      <c r="AM266" s="9">
        <v>202</v>
      </c>
      <c r="AN266" t="s">
        <v>527</v>
      </c>
    </row>
    <row r="267" spans="1:40" x14ac:dyDescent="0.2">
      <c r="A267" t="s">
        <v>185</v>
      </c>
      <c r="B267" t="s">
        <v>186</v>
      </c>
      <c r="C267">
        <v>45</v>
      </c>
      <c r="D267">
        <v>4096</v>
      </c>
      <c r="E267" t="s">
        <v>187</v>
      </c>
      <c r="F267">
        <v>2</v>
      </c>
      <c r="G267" t="s">
        <v>444</v>
      </c>
      <c r="H267" t="s">
        <v>189</v>
      </c>
      <c r="I267" t="s">
        <v>190</v>
      </c>
      <c r="J267">
        <v>8</v>
      </c>
      <c r="K267">
        <v>6</v>
      </c>
      <c r="L267">
        <v>2</v>
      </c>
      <c r="M267" t="s">
        <v>191</v>
      </c>
      <c r="O267" t="s">
        <v>192</v>
      </c>
      <c r="P267">
        <v>39</v>
      </c>
      <c r="Q267">
        <v>11</v>
      </c>
      <c r="R267" t="s">
        <v>204</v>
      </c>
      <c r="S267" t="s">
        <v>214</v>
      </c>
      <c r="T267" t="s">
        <v>206</v>
      </c>
      <c r="U267" t="s">
        <v>207</v>
      </c>
      <c r="V267" t="s">
        <v>217</v>
      </c>
      <c r="W267" t="s">
        <v>192</v>
      </c>
      <c r="X267" t="s">
        <v>240</v>
      </c>
      <c r="Y267" t="s">
        <v>192</v>
      </c>
      <c r="AA267">
        <v>3</v>
      </c>
      <c r="AB267">
        <v>4</v>
      </c>
      <c r="AC267">
        <v>3</v>
      </c>
      <c r="AE267">
        <v>0</v>
      </c>
      <c r="AF267">
        <v>0</v>
      </c>
      <c r="AG267" t="s">
        <v>192</v>
      </c>
      <c r="AH267" t="s">
        <v>199</v>
      </c>
      <c r="AI267" t="s">
        <v>274</v>
      </c>
      <c r="AJ267" s="9">
        <v>6</v>
      </c>
      <c r="AK267" s="9">
        <v>39</v>
      </c>
      <c r="AL267" s="9">
        <v>0</v>
      </c>
      <c r="AM267" s="9">
        <v>45</v>
      </c>
      <c r="AN267" t="s">
        <v>528</v>
      </c>
    </row>
    <row r="268" spans="1:40" x14ac:dyDescent="0.2">
      <c r="A268" t="s">
        <v>185</v>
      </c>
      <c r="B268" t="s">
        <v>186</v>
      </c>
      <c r="C268">
        <v>45</v>
      </c>
      <c r="D268">
        <v>7472</v>
      </c>
      <c r="E268" t="s">
        <v>187</v>
      </c>
      <c r="F268">
        <v>3</v>
      </c>
      <c r="G268" t="s">
        <v>446</v>
      </c>
      <c r="H268" t="s">
        <v>189</v>
      </c>
      <c r="I268" t="s">
        <v>190</v>
      </c>
      <c r="J268">
        <v>8</v>
      </c>
      <c r="K268">
        <v>3</v>
      </c>
      <c r="L268">
        <v>3</v>
      </c>
      <c r="M268" t="s">
        <v>191</v>
      </c>
      <c r="O268" t="s">
        <v>192</v>
      </c>
      <c r="P268">
        <v>1</v>
      </c>
      <c r="Q268">
        <v>1</v>
      </c>
      <c r="R268" t="s">
        <v>193</v>
      </c>
      <c r="S268" t="s">
        <v>194</v>
      </c>
      <c r="U268" t="s">
        <v>262</v>
      </c>
      <c r="V268" t="s">
        <v>196</v>
      </c>
      <c r="W268" t="s">
        <v>192</v>
      </c>
      <c r="X268" t="s">
        <v>198</v>
      </c>
      <c r="Y268" t="s">
        <v>192</v>
      </c>
      <c r="AA268">
        <v>1</v>
      </c>
      <c r="AB268">
        <v>2</v>
      </c>
      <c r="AC268">
        <v>2</v>
      </c>
      <c r="AE268">
        <v>0</v>
      </c>
      <c r="AF268">
        <v>0</v>
      </c>
      <c r="AG268" t="s">
        <v>192</v>
      </c>
      <c r="AH268" t="s">
        <v>198</v>
      </c>
      <c r="AI268" t="s">
        <v>244</v>
      </c>
      <c r="AJ268" s="9">
        <v>3</v>
      </c>
      <c r="AK268" s="9">
        <v>1</v>
      </c>
      <c r="AL268" s="9">
        <v>0</v>
      </c>
      <c r="AM268" s="9">
        <v>4</v>
      </c>
      <c r="AN268" t="s">
        <v>529</v>
      </c>
    </row>
    <row r="269" spans="1:40" x14ac:dyDescent="0.2">
      <c r="A269" t="s">
        <v>185</v>
      </c>
      <c r="B269" t="s">
        <v>186</v>
      </c>
      <c r="C269">
        <v>45</v>
      </c>
      <c r="D269">
        <v>2861</v>
      </c>
      <c r="E269" t="s">
        <v>220</v>
      </c>
      <c r="F269">
        <v>1</v>
      </c>
      <c r="G269" t="s">
        <v>448</v>
      </c>
      <c r="H269" t="s">
        <v>189</v>
      </c>
      <c r="I269" t="s">
        <v>203</v>
      </c>
      <c r="J269">
        <v>8</v>
      </c>
      <c r="K269">
        <v>20</v>
      </c>
      <c r="L269">
        <v>5</v>
      </c>
      <c r="M269" t="s">
        <v>224</v>
      </c>
      <c r="N269" t="s">
        <v>239</v>
      </c>
      <c r="O269" t="s">
        <v>192</v>
      </c>
      <c r="P269">
        <v>40</v>
      </c>
      <c r="Q269">
        <v>10</v>
      </c>
      <c r="R269" t="s">
        <v>204</v>
      </c>
      <c r="S269" t="s">
        <v>205</v>
      </c>
      <c r="T269" t="s">
        <v>206</v>
      </c>
      <c r="U269" t="s">
        <v>207</v>
      </c>
      <c r="V269" t="s">
        <v>208</v>
      </c>
      <c r="W269" t="s">
        <v>192</v>
      </c>
      <c r="X269" t="s">
        <v>198</v>
      </c>
      <c r="Y269" t="s">
        <v>192</v>
      </c>
      <c r="AA269">
        <v>5</v>
      </c>
      <c r="AB269">
        <v>4</v>
      </c>
      <c r="AC269">
        <v>5</v>
      </c>
      <c r="AD269" t="s">
        <v>331</v>
      </c>
      <c r="AE269">
        <v>0</v>
      </c>
      <c r="AF269">
        <v>0</v>
      </c>
      <c r="AG269" t="s">
        <v>192</v>
      </c>
      <c r="AH269" t="s">
        <v>189</v>
      </c>
      <c r="AI269" t="s">
        <v>274</v>
      </c>
      <c r="AJ269" s="9">
        <v>20</v>
      </c>
      <c r="AK269" s="9">
        <v>40</v>
      </c>
      <c r="AL269" s="9">
        <v>0</v>
      </c>
      <c r="AM269" s="9">
        <v>60</v>
      </c>
      <c r="AN269" t="s">
        <v>530</v>
      </c>
    </row>
    <row r="270" spans="1:40" x14ac:dyDescent="0.2">
      <c r="A270" t="s">
        <v>185</v>
      </c>
      <c r="B270" t="s">
        <v>186</v>
      </c>
      <c r="C270">
        <v>45</v>
      </c>
      <c r="D270">
        <v>2022</v>
      </c>
      <c r="E270" t="s">
        <v>220</v>
      </c>
      <c r="F270">
        <v>2</v>
      </c>
      <c r="G270" t="s">
        <v>450</v>
      </c>
      <c r="H270" t="s">
        <v>189</v>
      </c>
      <c r="I270" t="s">
        <v>190</v>
      </c>
      <c r="J270">
        <v>8</v>
      </c>
      <c r="K270">
        <v>4</v>
      </c>
      <c r="L270">
        <v>1</v>
      </c>
      <c r="M270" t="s">
        <v>191</v>
      </c>
      <c r="O270" t="s">
        <v>192</v>
      </c>
      <c r="P270">
        <v>45</v>
      </c>
      <c r="Q270">
        <v>11</v>
      </c>
      <c r="R270" t="s">
        <v>213</v>
      </c>
      <c r="S270" t="s">
        <v>214</v>
      </c>
      <c r="T270" t="s">
        <v>215</v>
      </c>
      <c r="U270" t="s">
        <v>216</v>
      </c>
      <c r="V270" t="s">
        <v>217</v>
      </c>
      <c r="W270" t="s">
        <v>229</v>
      </c>
      <c r="X270" t="s">
        <v>198</v>
      </c>
      <c r="Y270" t="s">
        <v>192</v>
      </c>
      <c r="AA270">
        <v>3</v>
      </c>
      <c r="AB270">
        <v>4</v>
      </c>
      <c r="AC270">
        <v>3</v>
      </c>
      <c r="AE270">
        <v>0</v>
      </c>
      <c r="AF270">
        <v>0</v>
      </c>
      <c r="AG270" t="s">
        <v>192</v>
      </c>
      <c r="AH270" t="s">
        <v>199</v>
      </c>
      <c r="AJ270" s="9">
        <v>4</v>
      </c>
      <c r="AK270" s="9">
        <v>45</v>
      </c>
      <c r="AL270" s="9">
        <v>0</v>
      </c>
      <c r="AM270" s="9">
        <v>49</v>
      </c>
      <c r="AN270" t="s">
        <v>531</v>
      </c>
    </row>
    <row r="271" spans="1:40" x14ac:dyDescent="0.2">
      <c r="A271" t="s">
        <v>185</v>
      </c>
      <c r="B271" t="s">
        <v>186</v>
      </c>
      <c r="C271">
        <v>45</v>
      </c>
      <c r="D271">
        <v>3284</v>
      </c>
      <c r="E271" t="s">
        <v>220</v>
      </c>
      <c r="F271">
        <v>3</v>
      </c>
      <c r="G271" t="s">
        <v>451</v>
      </c>
      <c r="H271" t="s">
        <v>189</v>
      </c>
      <c r="I271" t="s">
        <v>203</v>
      </c>
      <c r="J271">
        <v>8</v>
      </c>
      <c r="K271">
        <v>6</v>
      </c>
      <c r="L271">
        <v>2</v>
      </c>
      <c r="M271" t="s">
        <v>224</v>
      </c>
      <c r="O271" t="s">
        <v>192</v>
      </c>
      <c r="P271">
        <v>11</v>
      </c>
      <c r="Q271">
        <v>4</v>
      </c>
      <c r="R271" t="s">
        <v>193</v>
      </c>
      <c r="S271" t="s">
        <v>194</v>
      </c>
      <c r="U271" t="s">
        <v>195</v>
      </c>
      <c r="V271" t="s">
        <v>196</v>
      </c>
      <c r="W271" t="s">
        <v>229</v>
      </c>
      <c r="X271" t="s">
        <v>198</v>
      </c>
      <c r="Y271" t="s">
        <v>192</v>
      </c>
      <c r="AA271">
        <v>2</v>
      </c>
      <c r="AB271">
        <v>2</v>
      </c>
      <c r="AC271">
        <v>4</v>
      </c>
      <c r="AE271">
        <v>0</v>
      </c>
      <c r="AF271">
        <v>0</v>
      </c>
      <c r="AG271" t="s">
        <v>192</v>
      </c>
      <c r="AH271" t="s">
        <v>199</v>
      </c>
      <c r="AJ271" s="9">
        <v>6</v>
      </c>
      <c r="AK271" s="9">
        <v>11</v>
      </c>
      <c r="AL271" s="9">
        <v>0</v>
      </c>
      <c r="AM271" s="9">
        <v>17</v>
      </c>
      <c r="AN271" t="s">
        <v>532</v>
      </c>
    </row>
    <row r="272" spans="1:40" x14ac:dyDescent="0.2">
      <c r="A272" t="s">
        <v>185</v>
      </c>
      <c r="B272" t="s">
        <v>186</v>
      </c>
      <c r="C272">
        <v>46</v>
      </c>
      <c r="D272">
        <v>2039</v>
      </c>
      <c r="E272" t="s">
        <v>187</v>
      </c>
      <c r="F272">
        <v>1</v>
      </c>
      <c r="G272" t="s">
        <v>442</v>
      </c>
      <c r="H272" t="s">
        <v>189</v>
      </c>
      <c r="I272" t="s">
        <v>190</v>
      </c>
      <c r="J272">
        <v>8</v>
      </c>
      <c r="K272">
        <v>1</v>
      </c>
      <c r="L272">
        <v>1</v>
      </c>
      <c r="M272" t="s">
        <v>191</v>
      </c>
      <c r="O272" t="s">
        <v>192</v>
      </c>
      <c r="P272">
        <v>2</v>
      </c>
      <c r="Q272">
        <v>2</v>
      </c>
      <c r="R272" t="s">
        <v>193</v>
      </c>
      <c r="S272" t="s">
        <v>194</v>
      </c>
      <c r="U272" t="s">
        <v>195</v>
      </c>
      <c r="V272" t="s">
        <v>196</v>
      </c>
      <c r="W272" t="s">
        <v>229</v>
      </c>
      <c r="X272" t="s">
        <v>198</v>
      </c>
      <c r="Y272" t="s">
        <v>420</v>
      </c>
      <c r="Z272" t="s">
        <v>421</v>
      </c>
      <c r="AA272">
        <v>2</v>
      </c>
      <c r="AB272">
        <v>1</v>
      </c>
      <c r="AC272">
        <v>2</v>
      </c>
      <c r="AE272">
        <v>0</v>
      </c>
      <c r="AF272">
        <v>0</v>
      </c>
      <c r="AG272" t="s">
        <v>192</v>
      </c>
      <c r="AH272" t="s">
        <v>199</v>
      </c>
      <c r="AI272" t="s">
        <v>422</v>
      </c>
      <c r="AJ272" s="9">
        <v>1</v>
      </c>
      <c r="AK272" s="9">
        <v>2</v>
      </c>
      <c r="AL272" s="9">
        <v>0</v>
      </c>
      <c r="AM272" s="9">
        <v>3</v>
      </c>
      <c r="AN272" t="s">
        <v>533</v>
      </c>
    </row>
    <row r="273" spans="1:40" x14ac:dyDescent="0.2">
      <c r="A273" t="s">
        <v>185</v>
      </c>
      <c r="B273" t="s">
        <v>186</v>
      </c>
      <c r="C273">
        <v>46</v>
      </c>
      <c r="D273">
        <v>8096</v>
      </c>
      <c r="E273" t="s">
        <v>187</v>
      </c>
      <c r="F273">
        <v>2</v>
      </c>
      <c r="G273" t="s">
        <v>444</v>
      </c>
      <c r="H273" t="s">
        <v>189</v>
      </c>
      <c r="I273" t="s">
        <v>203</v>
      </c>
      <c r="J273">
        <v>8</v>
      </c>
      <c r="K273">
        <v>7</v>
      </c>
      <c r="L273">
        <v>3</v>
      </c>
      <c r="M273" t="s">
        <v>191</v>
      </c>
      <c r="O273" t="s">
        <v>192</v>
      </c>
      <c r="P273">
        <v>67</v>
      </c>
      <c r="Q273">
        <v>30</v>
      </c>
      <c r="R273" t="s">
        <v>213</v>
      </c>
      <c r="S273" t="s">
        <v>214</v>
      </c>
      <c r="T273" t="s">
        <v>215</v>
      </c>
      <c r="U273" t="s">
        <v>216</v>
      </c>
      <c r="V273" t="s">
        <v>246</v>
      </c>
      <c r="W273" t="s">
        <v>192</v>
      </c>
      <c r="X273" t="s">
        <v>198</v>
      </c>
      <c r="Y273" t="s">
        <v>192</v>
      </c>
      <c r="AA273">
        <v>3</v>
      </c>
      <c r="AB273">
        <v>3</v>
      </c>
      <c r="AC273">
        <v>3</v>
      </c>
      <c r="AE273">
        <v>0</v>
      </c>
      <c r="AF273">
        <v>0</v>
      </c>
      <c r="AG273" t="s">
        <v>192</v>
      </c>
      <c r="AH273" t="s">
        <v>199</v>
      </c>
      <c r="AI273" t="s">
        <v>234</v>
      </c>
      <c r="AJ273" s="9">
        <v>7</v>
      </c>
      <c r="AK273" s="9">
        <v>67</v>
      </c>
      <c r="AL273" s="9">
        <v>0</v>
      </c>
      <c r="AM273" s="9">
        <v>74</v>
      </c>
      <c r="AN273" t="s">
        <v>534</v>
      </c>
    </row>
    <row r="274" spans="1:40" x14ac:dyDescent="0.2">
      <c r="A274" t="s">
        <v>185</v>
      </c>
      <c r="B274" t="s">
        <v>186</v>
      </c>
      <c r="C274">
        <v>46</v>
      </c>
      <c r="D274">
        <v>3067</v>
      </c>
      <c r="E274" t="s">
        <v>187</v>
      </c>
      <c r="F274">
        <v>3</v>
      </c>
      <c r="G274" t="s">
        <v>446</v>
      </c>
      <c r="H274" t="s">
        <v>189</v>
      </c>
      <c r="I274" t="s">
        <v>212</v>
      </c>
      <c r="J274">
        <v>8</v>
      </c>
      <c r="K274">
        <v>1</v>
      </c>
      <c r="L274">
        <v>0</v>
      </c>
      <c r="M274" t="s">
        <v>191</v>
      </c>
      <c r="O274" t="s">
        <v>192</v>
      </c>
      <c r="P274">
        <v>55</v>
      </c>
      <c r="Q274">
        <v>16</v>
      </c>
      <c r="R274" t="s">
        <v>204</v>
      </c>
      <c r="S274" t="s">
        <v>214</v>
      </c>
      <c r="T274" t="s">
        <v>237</v>
      </c>
      <c r="U274" t="s">
        <v>216</v>
      </c>
      <c r="V274" t="s">
        <v>217</v>
      </c>
      <c r="W274" t="s">
        <v>192</v>
      </c>
      <c r="X274" t="s">
        <v>198</v>
      </c>
      <c r="Y274" t="s">
        <v>192</v>
      </c>
      <c r="AA274">
        <v>3</v>
      </c>
      <c r="AB274">
        <v>3</v>
      </c>
      <c r="AC274">
        <v>4</v>
      </c>
      <c r="AE274">
        <v>0</v>
      </c>
      <c r="AF274">
        <v>0</v>
      </c>
      <c r="AG274" t="s">
        <v>192</v>
      </c>
      <c r="AH274" t="s">
        <v>198</v>
      </c>
      <c r="AI274" t="s">
        <v>234</v>
      </c>
      <c r="AJ274" s="9">
        <v>1</v>
      </c>
      <c r="AK274" s="9">
        <v>55</v>
      </c>
      <c r="AL274" s="9">
        <v>0</v>
      </c>
      <c r="AM274" s="9">
        <v>56</v>
      </c>
      <c r="AN274" t="s">
        <v>535</v>
      </c>
    </row>
    <row r="275" spans="1:40" x14ac:dyDescent="0.2">
      <c r="A275" t="s">
        <v>185</v>
      </c>
      <c r="B275" t="s">
        <v>186</v>
      </c>
      <c r="C275">
        <v>46</v>
      </c>
      <c r="D275">
        <v>4645</v>
      </c>
      <c r="E275" t="s">
        <v>220</v>
      </c>
      <c r="F275">
        <v>1</v>
      </c>
      <c r="G275" t="s">
        <v>448</v>
      </c>
      <c r="H275" t="s">
        <v>189</v>
      </c>
      <c r="I275" t="s">
        <v>212</v>
      </c>
      <c r="J275">
        <v>8</v>
      </c>
      <c r="K275">
        <v>3</v>
      </c>
      <c r="L275">
        <v>1</v>
      </c>
      <c r="M275" t="s">
        <v>191</v>
      </c>
      <c r="O275" t="s">
        <v>192</v>
      </c>
      <c r="P275">
        <v>28</v>
      </c>
      <c r="Q275">
        <v>14</v>
      </c>
      <c r="R275" t="s">
        <v>213</v>
      </c>
      <c r="S275" t="s">
        <v>214</v>
      </c>
      <c r="T275" t="s">
        <v>215</v>
      </c>
      <c r="U275" t="s">
        <v>216</v>
      </c>
      <c r="V275" t="s">
        <v>217</v>
      </c>
      <c r="W275" t="s">
        <v>192</v>
      </c>
      <c r="X275" t="s">
        <v>198</v>
      </c>
      <c r="Y275" t="s">
        <v>192</v>
      </c>
      <c r="AA275">
        <v>2</v>
      </c>
      <c r="AB275">
        <v>3</v>
      </c>
      <c r="AC275">
        <v>4</v>
      </c>
      <c r="AE275">
        <v>0</v>
      </c>
      <c r="AF275">
        <v>0</v>
      </c>
      <c r="AG275" t="s">
        <v>192</v>
      </c>
      <c r="AH275" t="s">
        <v>199</v>
      </c>
      <c r="AJ275" s="9">
        <v>3</v>
      </c>
      <c r="AK275" s="9">
        <v>28</v>
      </c>
      <c r="AL275" s="9">
        <v>0</v>
      </c>
      <c r="AM275" s="9">
        <v>31</v>
      </c>
      <c r="AN275" t="s">
        <v>536</v>
      </c>
    </row>
    <row r="276" spans="1:40" x14ac:dyDescent="0.2">
      <c r="A276" t="s">
        <v>185</v>
      </c>
      <c r="B276" t="s">
        <v>186</v>
      </c>
      <c r="C276">
        <v>46</v>
      </c>
      <c r="D276">
        <v>4213</v>
      </c>
      <c r="E276" t="s">
        <v>220</v>
      </c>
      <c r="F276">
        <v>2</v>
      </c>
      <c r="G276" t="s">
        <v>450</v>
      </c>
      <c r="H276" t="s">
        <v>189</v>
      </c>
      <c r="I276" t="s">
        <v>212</v>
      </c>
      <c r="J276">
        <v>8</v>
      </c>
      <c r="K276">
        <v>3</v>
      </c>
      <c r="L276">
        <v>1</v>
      </c>
      <c r="M276" t="s">
        <v>191</v>
      </c>
      <c r="O276" t="s">
        <v>192</v>
      </c>
      <c r="P276">
        <v>8</v>
      </c>
      <c r="Q276">
        <v>2</v>
      </c>
      <c r="R276" t="s">
        <v>204</v>
      </c>
      <c r="S276" t="s">
        <v>214</v>
      </c>
      <c r="T276" t="s">
        <v>237</v>
      </c>
      <c r="U276" t="s">
        <v>216</v>
      </c>
      <c r="V276" t="s">
        <v>217</v>
      </c>
      <c r="W276" t="s">
        <v>192</v>
      </c>
      <c r="X276" t="s">
        <v>198</v>
      </c>
      <c r="Y276" t="s">
        <v>192</v>
      </c>
      <c r="AA276">
        <v>3</v>
      </c>
      <c r="AB276">
        <v>3</v>
      </c>
      <c r="AC276">
        <v>4</v>
      </c>
      <c r="AD276" t="s">
        <v>317</v>
      </c>
      <c r="AE276">
        <v>0</v>
      </c>
      <c r="AF276">
        <v>0</v>
      </c>
      <c r="AG276" t="s">
        <v>192</v>
      </c>
      <c r="AH276" t="s">
        <v>198</v>
      </c>
      <c r="AI276" t="s">
        <v>242</v>
      </c>
      <c r="AJ276" s="9">
        <v>3</v>
      </c>
      <c r="AK276" s="9">
        <v>8</v>
      </c>
      <c r="AL276" s="9">
        <v>0</v>
      </c>
      <c r="AM276" s="9">
        <v>11</v>
      </c>
      <c r="AN276" t="s">
        <v>537</v>
      </c>
    </row>
    <row r="277" spans="1:40" x14ac:dyDescent="0.2">
      <c r="A277" t="s">
        <v>185</v>
      </c>
      <c r="B277" t="s">
        <v>186</v>
      </c>
      <c r="C277">
        <v>46</v>
      </c>
      <c r="D277">
        <v>3488</v>
      </c>
      <c r="E277" t="s">
        <v>220</v>
      </c>
      <c r="F277">
        <v>3</v>
      </c>
      <c r="G277" t="s">
        <v>451</v>
      </c>
      <c r="H277" t="s">
        <v>189</v>
      </c>
      <c r="I277" t="s">
        <v>203</v>
      </c>
      <c r="J277">
        <v>8</v>
      </c>
      <c r="K277">
        <v>1</v>
      </c>
      <c r="L277">
        <v>1</v>
      </c>
      <c r="M277" t="s">
        <v>191</v>
      </c>
      <c r="O277" t="s">
        <v>192</v>
      </c>
      <c r="P277">
        <v>35</v>
      </c>
      <c r="Q277">
        <v>21</v>
      </c>
      <c r="R277" t="s">
        <v>213</v>
      </c>
      <c r="S277" t="s">
        <v>194</v>
      </c>
      <c r="T277" t="s">
        <v>237</v>
      </c>
      <c r="U277" t="s">
        <v>216</v>
      </c>
      <c r="V277" t="s">
        <v>246</v>
      </c>
      <c r="W277" t="s">
        <v>192</v>
      </c>
      <c r="X277" t="s">
        <v>198</v>
      </c>
      <c r="Y277" t="s">
        <v>192</v>
      </c>
      <c r="AA277">
        <v>2</v>
      </c>
      <c r="AB277">
        <v>3</v>
      </c>
      <c r="AC277">
        <v>3</v>
      </c>
      <c r="AE277">
        <v>0</v>
      </c>
      <c r="AF277">
        <v>0</v>
      </c>
      <c r="AG277" t="s">
        <v>192</v>
      </c>
      <c r="AH277" t="s">
        <v>198</v>
      </c>
      <c r="AJ277" s="9">
        <v>1</v>
      </c>
      <c r="AK277" s="9">
        <v>35</v>
      </c>
      <c r="AL277" s="9">
        <v>0</v>
      </c>
      <c r="AM277" s="9">
        <v>36</v>
      </c>
      <c r="AN277" t="s">
        <v>538</v>
      </c>
    </row>
    <row r="278" spans="1:40" x14ac:dyDescent="0.2">
      <c r="A278" t="s">
        <v>185</v>
      </c>
      <c r="B278" t="s">
        <v>186</v>
      </c>
      <c r="C278">
        <v>47</v>
      </c>
      <c r="D278">
        <v>6651</v>
      </c>
      <c r="E278" t="s">
        <v>187</v>
      </c>
      <c r="F278">
        <v>1</v>
      </c>
      <c r="G278" t="s">
        <v>442</v>
      </c>
      <c r="H278" t="s">
        <v>189</v>
      </c>
      <c r="I278" t="s">
        <v>203</v>
      </c>
      <c r="J278">
        <v>8</v>
      </c>
      <c r="K278">
        <v>7</v>
      </c>
      <c r="L278">
        <v>2</v>
      </c>
      <c r="M278" t="s">
        <v>191</v>
      </c>
      <c r="O278" t="s">
        <v>192</v>
      </c>
      <c r="P278">
        <v>22</v>
      </c>
      <c r="Q278">
        <v>6</v>
      </c>
      <c r="R278" t="s">
        <v>213</v>
      </c>
      <c r="S278" t="s">
        <v>194</v>
      </c>
      <c r="U278" t="s">
        <v>216</v>
      </c>
      <c r="V278" t="s">
        <v>246</v>
      </c>
      <c r="W278" t="s">
        <v>192</v>
      </c>
      <c r="X278" t="s">
        <v>198</v>
      </c>
      <c r="Y278" t="s">
        <v>192</v>
      </c>
      <c r="AA278">
        <v>1</v>
      </c>
      <c r="AB278">
        <v>3</v>
      </c>
      <c r="AC278">
        <v>4</v>
      </c>
      <c r="AE278">
        <v>0</v>
      </c>
      <c r="AF278">
        <v>0</v>
      </c>
      <c r="AG278" t="s">
        <v>192</v>
      </c>
      <c r="AH278" t="s">
        <v>199</v>
      </c>
      <c r="AJ278" s="9">
        <v>7</v>
      </c>
      <c r="AK278" s="9">
        <v>22</v>
      </c>
      <c r="AL278" s="9">
        <v>0</v>
      </c>
      <c r="AM278" s="9">
        <v>29</v>
      </c>
      <c r="AN278" t="s">
        <v>539</v>
      </c>
    </row>
    <row r="279" spans="1:40" x14ac:dyDescent="0.2">
      <c r="A279" t="s">
        <v>185</v>
      </c>
      <c r="B279" t="s">
        <v>186</v>
      </c>
      <c r="C279">
        <v>47</v>
      </c>
      <c r="D279">
        <v>4423</v>
      </c>
      <c r="E279" t="s">
        <v>187</v>
      </c>
      <c r="F279">
        <v>2</v>
      </c>
      <c r="G279" t="s">
        <v>444</v>
      </c>
      <c r="H279" t="s">
        <v>189</v>
      </c>
      <c r="I279" t="s">
        <v>203</v>
      </c>
      <c r="J279">
        <v>8</v>
      </c>
      <c r="K279">
        <v>0</v>
      </c>
      <c r="L279">
        <v>0</v>
      </c>
      <c r="M279" t="s">
        <v>191</v>
      </c>
      <c r="O279" t="s">
        <v>192</v>
      </c>
      <c r="P279">
        <v>70</v>
      </c>
      <c r="Q279">
        <v>17</v>
      </c>
      <c r="R279" t="s">
        <v>204</v>
      </c>
      <c r="S279" t="s">
        <v>214</v>
      </c>
      <c r="T279" t="s">
        <v>206</v>
      </c>
      <c r="U279" t="s">
        <v>207</v>
      </c>
      <c r="V279" t="s">
        <v>217</v>
      </c>
      <c r="W279" t="s">
        <v>229</v>
      </c>
      <c r="X279" t="s">
        <v>198</v>
      </c>
      <c r="Y279" t="s">
        <v>254</v>
      </c>
      <c r="Z279" t="s">
        <v>382</v>
      </c>
      <c r="AA279">
        <v>3</v>
      </c>
      <c r="AB279">
        <v>3</v>
      </c>
      <c r="AC279">
        <v>4</v>
      </c>
      <c r="AE279">
        <v>0</v>
      </c>
      <c r="AF279">
        <v>1</v>
      </c>
      <c r="AG279" t="s">
        <v>192</v>
      </c>
      <c r="AH279" t="s">
        <v>198</v>
      </c>
      <c r="AI279" t="s">
        <v>540</v>
      </c>
      <c r="AJ279" s="9">
        <v>0</v>
      </c>
      <c r="AK279" s="9">
        <v>70</v>
      </c>
      <c r="AL279" s="9">
        <v>10</v>
      </c>
      <c r="AM279" s="9">
        <v>80</v>
      </c>
      <c r="AN279" t="s">
        <v>541</v>
      </c>
    </row>
    <row r="280" spans="1:40" x14ac:dyDescent="0.2">
      <c r="A280" t="s">
        <v>185</v>
      </c>
      <c r="B280" t="s">
        <v>186</v>
      </c>
      <c r="C280">
        <v>47</v>
      </c>
      <c r="D280">
        <v>1736</v>
      </c>
      <c r="E280" t="s">
        <v>187</v>
      </c>
      <c r="F280">
        <v>3</v>
      </c>
      <c r="G280" t="s">
        <v>446</v>
      </c>
      <c r="H280" t="s">
        <v>189</v>
      </c>
      <c r="I280" t="s">
        <v>203</v>
      </c>
      <c r="J280">
        <v>5</v>
      </c>
      <c r="K280">
        <v>3</v>
      </c>
      <c r="L280">
        <v>2</v>
      </c>
      <c r="M280" t="s">
        <v>191</v>
      </c>
      <c r="O280" t="s">
        <v>192</v>
      </c>
      <c r="P280">
        <v>37</v>
      </c>
      <c r="Q280">
        <v>20</v>
      </c>
      <c r="R280" t="s">
        <v>213</v>
      </c>
      <c r="S280" t="s">
        <v>194</v>
      </c>
      <c r="T280" t="s">
        <v>215</v>
      </c>
      <c r="U280" t="s">
        <v>216</v>
      </c>
      <c r="V280" t="s">
        <v>246</v>
      </c>
      <c r="W280" t="s">
        <v>192</v>
      </c>
      <c r="X280" t="s">
        <v>198</v>
      </c>
      <c r="Y280" t="s">
        <v>192</v>
      </c>
      <c r="AA280">
        <v>2</v>
      </c>
      <c r="AB280">
        <v>1</v>
      </c>
      <c r="AC280">
        <v>2</v>
      </c>
      <c r="AE280">
        <v>0</v>
      </c>
      <c r="AF280">
        <v>0</v>
      </c>
      <c r="AG280" t="s">
        <v>192</v>
      </c>
      <c r="AH280" t="s">
        <v>198</v>
      </c>
      <c r="AJ280" s="9">
        <v>3</v>
      </c>
      <c r="AK280" s="9">
        <v>37</v>
      </c>
      <c r="AL280" s="9">
        <v>0</v>
      </c>
      <c r="AM280" s="9">
        <v>40</v>
      </c>
      <c r="AN280" t="s">
        <v>542</v>
      </c>
    </row>
    <row r="281" spans="1:40" x14ac:dyDescent="0.2">
      <c r="A281" t="s">
        <v>185</v>
      </c>
      <c r="B281" t="s">
        <v>186</v>
      </c>
      <c r="C281">
        <v>47</v>
      </c>
      <c r="D281">
        <v>4655</v>
      </c>
      <c r="E281" t="s">
        <v>220</v>
      </c>
      <c r="F281">
        <v>1</v>
      </c>
      <c r="G281" t="s">
        <v>448</v>
      </c>
      <c r="H281" t="s">
        <v>189</v>
      </c>
      <c r="I281" t="s">
        <v>190</v>
      </c>
      <c r="J281">
        <v>8</v>
      </c>
      <c r="K281">
        <v>11</v>
      </c>
      <c r="L281">
        <v>5</v>
      </c>
      <c r="M281" t="s">
        <v>233</v>
      </c>
      <c r="N281" t="s">
        <v>225</v>
      </c>
      <c r="O281" t="s">
        <v>192</v>
      </c>
      <c r="P281">
        <v>100</v>
      </c>
      <c r="Q281">
        <v>42</v>
      </c>
      <c r="R281" t="s">
        <v>204</v>
      </c>
      <c r="S281" t="s">
        <v>214</v>
      </c>
      <c r="T281" t="s">
        <v>206</v>
      </c>
      <c r="U281" t="s">
        <v>207</v>
      </c>
      <c r="V281" t="s">
        <v>217</v>
      </c>
      <c r="W281" t="s">
        <v>192</v>
      </c>
      <c r="X281" t="s">
        <v>198</v>
      </c>
      <c r="Y281" t="s">
        <v>192</v>
      </c>
      <c r="AA281">
        <v>4</v>
      </c>
      <c r="AB281">
        <v>2</v>
      </c>
      <c r="AC281">
        <v>4</v>
      </c>
      <c r="AE281">
        <v>1</v>
      </c>
      <c r="AF281">
        <v>0</v>
      </c>
      <c r="AG281" t="s">
        <v>192</v>
      </c>
      <c r="AH281" t="s">
        <v>198</v>
      </c>
      <c r="AI281" t="s">
        <v>378</v>
      </c>
      <c r="AJ281" s="9">
        <v>11</v>
      </c>
      <c r="AK281" s="9">
        <v>100</v>
      </c>
      <c r="AL281" s="9">
        <v>0</v>
      </c>
      <c r="AM281" s="9">
        <v>111</v>
      </c>
      <c r="AN281" t="s">
        <v>543</v>
      </c>
    </row>
    <row r="282" spans="1:40" x14ac:dyDescent="0.2">
      <c r="A282" t="s">
        <v>185</v>
      </c>
      <c r="B282" t="s">
        <v>186</v>
      </c>
      <c r="C282">
        <v>47</v>
      </c>
      <c r="D282">
        <v>6237</v>
      </c>
      <c r="E282" t="s">
        <v>220</v>
      </c>
      <c r="F282">
        <v>2</v>
      </c>
      <c r="G282" t="s">
        <v>450</v>
      </c>
      <c r="H282" t="s">
        <v>189</v>
      </c>
      <c r="I282" t="s">
        <v>203</v>
      </c>
      <c r="J282">
        <v>8</v>
      </c>
      <c r="K282">
        <v>1</v>
      </c>
      <c r="L282">
        <v>0</v>
      </c>
      <c r="M282" t="s">
        <v>191</v>
      </c>
      <c r="O282" t="s">
        <v>192</v>
      </c>
      <c r="P282">
        <v>63</v>
      </c>
      <c r="Q282">
        <v>31</v>
      </c>
      <c r="R282" t="s">
        <v>204</v>
      </c>
      <c r="S282" t="s">
        <v>205</v>
      </c>
      <c r="T282" t="s">
        <v>206</v>
      </c>
      <c r="U282" t="s">
        <v>207</v>
      </c>
      <c r="V282" t="s">
        <v>208</v>
      </c>
      <c r="W282" t="s">
        <v>192</v>
      </c>
      <c r="X282" t="s">
        <v>198</v>
      </c>
      <c r="Y282" t="s">
        <v>192</v>
      </c>
      <c r="AA282">
        <v>3</v>
      </c>
      <c r="AB282">
        <v>4</v>
      </c>
      <c r="AC282">
        <v>2</v>
      </c>
      <c r="AE282">
        <v>0</v>
      </c>
      <c r="AF282">
        <v>0</v>
      </c>
      <c r="AG282" t="s">
        <v>192</v>
      </c>
      <c r="AH282" t="s">
        <v>189</v>
      </c>
      <c r="AI282" t="s">
        <v>226</v>
      </c>
      <c r="AJ282" s="9">
        <v>1</v>
      </c>
      <c r="AK282" s="9">
        <v>63</v>
      </c>
      <c r="AL282" s="9">
        <v>0</v>
      </c>
      <c r="AM282" s="9">
        <v>64</v>
      </c>
      <c r="AN282" t="s">
        <v>544</v>
      </c>
    </row>
    <row r="283" spans="1:40" x14ac:dyDescent="0.2">
      <c r="A283" t="s">
        <v>185</v>
      </c>
      <c r="B283" t="s">
        <v>186</v>
      </c>
      <c r="C283">
        <v>47</v>
      </c>
      <c r="D283">
        <v>1625</v>
      </c>
      <c r="E283" t="s">
        <v>220</v>
      </c>
      <c r="F283">
        <v>3</v>
      </c>
      <c r="G283" t="s">
        <v>451</v>
      </c>
      <c r="H283" t="s">
        <v>189</v>
      </c>
      <c r="I283" t="s">
        <v>212</v>
      </c>
      <c r="J283">
        <v>8</v>
      </c>
      <c r="K283">
        <v>46</v>
      </c>
      <c r="L283">
        <v>21</v>
      </c>
      <c r="M283" t="s">
        <v>233</v>
      </c>
      <c r="N283" t="s">
        <v>225</v>
      </c>
      <c r="O283" t="s">
        <v>192</v>
      </c>
      <c r="P283">
        <v>77</v>
      </c>
      <c r="Q283">
        <v>34</v>
      </c>
      <c r="R283" t="s">
        <v>204</v>
      </c>
      <c r="S283" t="s">
        <v>205</v>
      </c>
      <c r="T283" t="s">
        <v>206</v>
      </c>
      <c r="U283" t="s">
        <v>207</v>
      </c>
      <c r="V283" t="s">
        <v>208</v>
      </c>
      <c r="W283" t="s">
        <v>192</v>
      </c>
      <c r="X283" t="s">
        <v>240</v>
      </c>
      <c r="Y283" t="s">
        <v>192</v>
      </c>
      <c r="AA283">
        <v>5</v>
      </c>
      <c r="AB283">
        <v>5</v>
      </c>
      <c r="AC283">
        <v>3</v>
      </c>
      <c r="AE283">
        <v>0</v>
      </c>
      <c r="AF283">
        <v>0</v>
      </c>
      <c r="AG283" t="s">
        <v>192</v>
      </c>
      <c r="AH283" t="s">
        <v>189</v>
      </c>
      <c r="AI283" t="s">
        <v>226</v>
      </c>
      <c r="AJ283" s="9">
        <v>46</v>
      </c>
      <c r="AK283" s="9">
        <v>77</v>
      </c>
      <c r="AL283" s="9">
        <v>0</v>
      </c>
      <c r="AM283" s="9">
        <v>123</v>
      </c>
      <c r="AN283" t="s">
        <v>545</v>
      </c>
    </row>
    <row r="284" spans="1:40" x14ac:dyDescent="0.2">
      <c r="A284" t="s">
        <v>185</v>
      </c>
      <c r="B284" t="s">
        <v>186</v>
      </c>
      <c r="C284">
        <v>48</v>
      </c>
      <c r="D284">
        <v>8719</v>
      </c>
      <c r="E284" t="s">
        <v>187</v>
      </c>
      <c r="F284">
        <v>1</v>
      </c>
      <c r="G284" t="s">
        <v>442</v>
      </c>
      <c r="H284" t="s">
        <v>189</v>
      </c>
      <c r="I284" t="s">
        <v>190</v>
      </c>
      <c r="J284">
        <v>5</v>
      </c>
      <c r="K284">
        <v>6</v>
      </c>
      <c r="L284">
        <v>4</v>
      </c>
      <c r="M284" t="s">
        <v>233</v>
      </c>
      <c r="N284" t="s">
        <v>239</v>
      </c>
      <c r="O284" t="s">
        <v>192</v>
      </c>
      <c r="P284">
        <v>10</v>
      </c>
      <c r="Q284">
        <v>7</v>
      </c>
      <c r="R284" t="s">
        <v>193</v>
      </c>
      <c r="S284" t="s">
        <v>194</v>
      </c>
      <c r="U284" t="s">
        <v>250</v>
      </c>
      <c r="V284" t="s">
        <v>196</v>
      </c>
      <c r="W284" t="s">
        <v>197</v>
      </c>
      <c r="X284" t="s">
        <v>198</v>
      </c>
      <c r="Y284" t="s">
        <v>192</v>
      </c>
      <c r="AA284">
        <v>1</v>
      </c>
      <c r="AB284">
        <v>1</v>
      </c>
      <c r="AC284">
        <v>3</v>
      </c>
      <c r="AE284">
        <v>1</v>
      </c>
      <c r="AF284">
        <v>0</v>
      </c>
      <c r="AG284" t="s">
        <v>192</v>
      </c>
      <c r="AH284" t="s">
        <v>198</v>
      </c>
      <c r="AI284" t="s">
        <v>260</v>
      </c>
      <c r="AJ284" s="9">
        <v>6</v>
      </c>
      <c r="AK284" s="9">
        <v>10</v>
      </c>
      <c r="AL284" s="9">
        <v>0</v>
      </c>
      <c r="AM284" s="9">
        <v>16</v>
      </c>
      <c r="AN284" t="s">
        <v>546</v>
      </c>
    </row>
    <row r="285" spans="1:40" x14ac:dyDescent="0.2">
      <c r="A285" t="s">
        <v>185</v>
      </c>
      <c r="B285" t="s">
        <v>186</v>
      </c>
      <c r="C285">
        <v>48</v>
      </c>
      <c r="D285">
        <v>648</v>
      </c>
      <c r="E285" t="s">
        <v>187</v>
      </c>
      <c r="F285">
        <v>2</v>
      </c>
      <c r="G285" t="s">
        <v>444</v>
      </c>
      <c r="H285" t="s">
        <v>189</v>
      </c>
      <c r="I285" t="s">
        <v>190</v>
      </c>
      <c r="J285">
        <v>8</v>
      </c>
      <c r="K285">
        <v>5</v>
      </c>
      <c r="L285">
        <v>3</v>
      </c>
      <c r="M285" t="s">
        <v>191</v>
      </c>
      <c r="O285" t="s">
        <v>192</v>
      </c>
      <c r="P285">
        <v>16</v>
      </c>
      <c r="Q285">
        <v>9</v>
      </c>
      <c r="R285" t="s">
        <v>213</v>
      </c>
      <c r="S285" t="s">
        <v>194</v>
      </c>
      <c r="U285" t="s">
        <v>250</v>
      </c>
      <c r="V285" t="s">
        <v>246</v>
      </c>
      <c r="W285" t="s">
        <v>197</v>
      </c>
      <c r="X285" t="s">
        <v>198</v>
      </c>
      <c r="Y285" t="s">
        <v>192</v>
      </c>
      <c r="AA285">
        <v>2</v>
      </c>
      <c r="AB285">
        <v>2</v>
      </c>
      <c r="AC285">
        <v>3</v>
      </c>
      <c r="AE285">
        <v>0</v>
      </c>
      <c r="AF285">
        <v>0</v>
      </c>
      <c r="AG285" t="s">
        <v>192</v>
      </c>
      <c r="AH285" t="s">
        <v>198</v>
      </c>
      <c r="AI285" t="s">
        <v>260</v>
      </c>
      <c r="AJ285" s="9">
        <v>5</v>
      </c>
      <c r="AK285" s="9">
        <v>16</v>
      </c>
      <c r="AL285" s="9">
        <v>0</v>
      </c>
      <c r="AM285" s="9">
        <v>21</v>
      </c>
      <c r="AN285" t="s">
        <v>547</v>
      </c>
    </row>
    <row r="286" spans="1:40" x14ac:dyDescent="0.2">
      <c r="A286" t="s">
        <v>185</v>
      </c>
      <c r="B286" t="s">
        <v>186</v>
      </c>
      <c r="C286">
        <v>48</v>
      </c>
      <c r="D286">
        <v>4096</v>
      </c>
      <c r="E286" t="s">
        <v>187</v>
      </c>
      <c r="F286">
        <v>3</v>
      </c>
      <c r="G286" t="s">
        <v>446</v>
      </c>
      <c r="H286" t="s">
        <v>189</v>
      </c>
      <c r="I286" t="s">
        <v>190</v>
      </c>
      <c r="J286">
        <v>8</v>
      </c>
      <c r="K286">
        <v>5</v>
      </c>
      <c r="L286">
        <v>1</v>
      </c>
      <c r="M286" t="s">
        <v>191</v>
      </c>
      <c r="O286" t="s">
        <v>192</v>
      </c>
      <c r="P286">
        <v>90</v>
      </c>
      <c r="Q286">
        <v>11</v>
      </c>
      <c r="R286" t="s">
        <v>204</v>
      </c>
      <c r="S286" t="s">
        <v>214</v>
      </c>
      <c r="T286" t="s">
        <v>206</v>
      </c>
      <c r="U286" t="s">
        <v>207</v>
      </c>
      <c r="V286" t="s">
        <v>217</v>
      </c>
      <c r="W286" t="s">
        <v>192</v>
      </c>
      <c r="X286" t="s">
        <v>240</v>
      </c>
      <c r="Y286" t="s">
        <v>192</v>
      </c>
      <c r="AA286">
        <v>5</v>
      </c>
      <c r="AB286">
        <v>4</v>
      </c>
      <c r="AC286">
        <v>5</v>
      </c>
      <c r="AE286">
        <v>0</v>
      </c>
      <c r="AF286">
        <v>1</v>
      </c>
      <c r="AG286" t="s">
        <v>192</v>
      </c>
      <c r="AH286" t="s">
        <v>198</v>
      </c>
      <c r="AI286" t="s">
        <v>279</v>
      </c>
      <c r="AJ286" s="9">
        <v>5</v>
      </c>
      <c r="AK286" s="9">
        <v>90</v>
      </c>
      <c r="AL286" s="9">
        <v>0</v>
      </c>
      <c r="AM286" s="9">
        <v>95</v>
      </c>
      <c r="AN286" t="s">
        <v>548</v>
      </c>
    </row>
    <row r="287" spans="1:40" x14ac:dyDescent="0.2">
      <c r="A287" t="s">
        <v>185</v>
      </c>
      <c r="B287" t="s">
        <v>186</v>
      </c>
      <c r="C287">
        <v>48</v>
      </c>
      <c r="D287">
        <v>8020</v>
      </c>
      <c r="E287" t="s">
        <v>220</v>
      </c>
      <c r="F287">
        <v>1</v>
      </c>
      <c r="G287" t="s">
        <v>448</v>
      </c>
      <c r="H287" t="s">
        <v>189</v>
      </c>
      <c r="I287" t="s">
        <v>190</v>
      </c>
      <c r="J287">
        <v>8</v>
      </c>
      <c r="K287">
        <v>18</v>
      </c>
      <c r="L287">
        <v>3</v>
      </c>
      <c r="M287" t="s">
        <v>224</v>
      </c>
      <c r="N287" t="s">
        <v>239</v>
      </c>
      <c r="O287" t="s">
        <v>192</v>
      </c>
      <c r="P287">
        <v>71</v>
      </c>
      <c r="Q287">
        <v>11</v>
      </c>
      <c r="R287" t="s">
        <v>204</v>
      </c>
      <c r="S287" t="s">
        <v>205</v>
      </c>
      <c r="T287" t="s">
        <v>206</v>
      </c>
      <c r="U287" t="s">
        <v>207</v>
      </c>
      <c r="V287" t="s">
        <v>208</v>
      </c>
      <c r="W287" t="s">
        <v>192</v>
      </c>
      <c r="X287" t="s">
        <v>229</v>
      </c>
      <c r="Y287" t="s">
        <v>192</v>
      </c>
      <c r="AA287">
        <v>5</v>
      </c>
      <c r="AB287">
        <v>5</v>
      </c>
      <c r="AC287">
        <v>5</v>
      </c>
      <c r="AE287">
        <v>0</v>
      </c>
      <c r="AF287">
        <v>0</v>
      </c>
      <c r="AG287" t="s">
        <v>192</v>
      </c>
      <c r="AH287" t="s">
        <v>189</v>
      </c>
      <c r="AI287" t="s">
        <v>234</v>
      </c>
      <c r="AJ287" s="9">
        <v>18</v>
      </c>
      <c r="AK287" s="9">
        <v>71</v>
      </c>
      <c r="AL287" s="9">
        <v>0</v>
      </c>
      <c r="AM287" s="9">
        <v>89</v>
      </c>
      <c r="AN287" t="s">
        <v>549</v>
      </c>
    </row>
    <row r="288" spans="1:40" x14ac:dyDescent="0.2">
      <c r="A288" t="s">
        <v>185</v>
      </c>
      <c r="B288" t="s">
        <v>186</v>
      </c>
      <c r="C288">
        <v>48</v>
      </c>
      <c r="D288">
        <v>7848</v>
      </c>
      <c r="E288" t="s">
        <v>220</v>
      </c>
      <c r="F288">
        <v>2</v>
      </c>
      <c r="G288" t="s">
        <v>450</v>
      </c>
      <c r="H288" t="s">
        <v>189</v>
      </c>
      <c r="I288" t="s">
        <v>203</v>
      </c>
      <c r="J288">
        <v>8</v>
      </c>
      <c r="K288">
        <v>2</v>
      </c>
      <c r="L288">
        <v>1</v>
      </c>
      <c r="M288" t="s">
        <v>191</v>
      </c>
      <c r="O288" t="s">
        <v>192</v>
      </c>
      <c r="P288">
        <v>40</v>
      </c>
      <c r="Q288">
        <v>11</v>
      </c>
      <c r="R288" t="s">
        <v>204</v>
      </c>
      <c r="S288" t="s">
        <v>214</v>
      </c>
      <c r="T288" t="s">
        <v>215</v>
      </c>
      <c r="U288" t="s">
        <v>216</v>
      </c>
      <c r="V288" t="s">
        <v>217</v>
      </c>
      <c r="W288" t="s">
        <v>192</v>
      </c>
      <c r="X288" t="s">
        <v>198</v>
      </c>
      <c r="Y288" t="s">
        <v>192</v>
      </c>
      <c r="AA288">
        <v>3</v>
      </c>
      <c r="AB288">
        <v>4</v>
      </c>
      <c r="AC288">
        <v>5</v>
      </c>
      <c r="AE288">
        <v>0</v>
      </c>
      <c r="AF288">
        <v>0</v>
      </c>
      <c r="AG288" t="s">
        <v>192</v>
      </c>
      <c r="AH288" t="s">
        <v>199</v>
      </c>
      <c r="AJ288" s="9">
        <v>2</v>
      </c>
      <c r="AK288" s="9">
        <v>40</v>
      </c>
      <c r="AL288" s="9">
        <v>0</v>
      </c>
      <c r="AM288" s="9">
        <v>42</v>
      </c>
      <c r="AN288" t="s">
        <v>550</v>
      </c>
    </row>
    <row r="289" spans="1:40" x14ac:dyDescent="0.2">
      <c r="A289" t="s">
        <v>185</v>
      </c>
      <c r="B289" t="s">
        <v>186</v>
      </c>
      <c r="C289">
        <v>48</v>
      </c>
      <c r="D289">
        <v>3284</v>
      </c>
      <c r="E289" t="s">
        <v>220</v>
      </c>
      <c r="F289">
        <v>3</v>
      </c>
      <c r="G289" t="s">
        <v>451</v>
      </c>
      <c r="H289" t="s">
        <v>189</v>
      </c>
      <c r="I289" t="s">
        <v>203</v>
      </c>
      <c r="J289">
        <v>8</v>
      </c>
      <c r="K289">
        <v>11</v>
      </c>
      <c r="L289">
        <v>6</v>
      </c>
      <c r="M289" t="s">
        <v>233</v>
      </c>
      <c r="N289" t="s">
        <v>225</v>
      </c>
      <c r="O289" t="s">
        <v>192</v>
      </c>
      <c r="P289">
        <v>11</v>
      </c>
      <c r="Q289">
        <v>6</v>
      </c>
      <c r="R289" t="s">
        <v>193</v>
      </c>
      <c r="S289" t="s">
        <v>194</v>
      </c>
      <c r="U289" t="s">
        <v>195</v>
      </c>
      <c r="V289" t="s">
        <v>196</v>
      </c>
      <c r="W289" t="s">
        <v>229</v>
      </c>
      <c r="X289" t="s">
        <v>198</v>
      </c>
      <c r="Y289" t="s">
        <v>192</v>
      </c>
      <c r="AA289">
        <v>2</v>
      </c>
      <c r="AB289">
        <v>2</v>
      </c>
      <c r="AC289">
        <v>3</v>
      </c>
      <c r="AE289">
        <v>0</v>
      </c>
      <c r="AF289">
        <v>0</v>
      </c>
      <c r="AG289" t="s">
        <v>192</v>
      </c>
      <c r="AH289" t="s">
        <v>198</v>
      </c>
      <c r="AJ289" s="9">
        <v>11</v>
      </c>
      <c r="AK289" s="9">
        <v>11</v>
      </c>
      <c r="AL289" s="9">
        <v>0</v>
      </c>
      <c r="AM289" s="9">
        <v>22</v>
      </c>
      <c r="AN289" t="s">
        <v>551</v>
      </c>
    </row>
    <row r="290" spans="1:40" x14ac:dyDescent="0.2">
      <c r="A290" t="s">
        <v>185</v>
      </c>
      <c r="B290" t="s">
        <v>186</v>
      </c>
      <c r="C290">
        <v>49</v>
      </c>
      <c r="D290">
        <v>3488</v>
      </c>
      <c r="E290" t="s">
        <v>187</v>
      </c>
      <c r="F290">
        <v>1</v>
      </c>
      <c r="G290" t="s">
        <v>442</v>
      </c>
      <c r="H290" t="s">
        <v>189</v>
      </c>
      <c r="I290" t="s">
        <v>203</v>
      </c>
      <c r="J290">
        <v>8</v>
      </c>
      <c r="K290">
        <v>0</v>
      </c>
      <c r="L290">
        <v>0</v>
      </c>
      <c r="O290" t="s">
        <v>192</v>
      </c>
      <c r="P290">
        <v>16</v>
      </c>
      <c r="Q290">
        <v>8</v>
      </c>
      <c r="R290" t="s">
        <v>213</v>
      </c>
      <c r="S290" t="s">
        <v>194</v>
      </c>
      <c r="T290" t="s">
        <v>237</v>
      </c>
      <c r="U290" t="s">
        <v>216</v>
      </c>
      <c r="V290" t="s">
        <v>246</v>
      </c>
      <c r="W290" t="s">
        <v>192</v>
      </c>
      <c r="X290" t="s">
        <v>198</v>
      </c>
      <c r="Y290" t="s">
        <v>192</v>
      </c>
      <c r="AA290">
        <v>3</v>
      </c>
      <c r="AB290">
        <v>1</v>
      </c>
      <c r="AC290">
        <v>4</v>
      </c>
      <c r="AE290">
        <v>0</v>
      </c>
      <c r="AF290">
        <v>0</v>
      </c>
      <c r="AG290" t="s">
        <v>192</v>
      </c>
      <c r="AH290" t="s">
        <v>198</v>
      </c>
      <c r="AJ290" s="9">
        <v>0</v>
      </c>
      <c r="AK290" s="9">
        <v>16</v>
      </c>
      <c r="AL290" s="9">
        <v>0</v>
      </c>
      <c r="AM290" s="9">
        <v>16</v>
      </c>
      <c r="AN290" t="s">
        <v>552</v>
      </c>
    </row>
    <row r="291" spans="1:40" x14ac:dyDescent="0.2">
      <c r="A291" t="s">
        <v>185</v>
      </c>
      <c r="B291" t="s">
        <v>186</v>
      </c>
      <c r="C291">
        <v>49</v>
      </c>
      <c r="D291">
        <v>2039</v>
      </c>
      <c r="E291" t="s">
        <v>187</v>
      </c>
      <c r="F291">
        <v>2</v>
      </c>
      <c r="G291" t="s">
        <v>444</v>
      </c>
      <c r="H291" t="s">
        <v>189</v>
      </c>
      <c r="I291" t="s">
        <v>190</v>
      </c>
      <c r="J291">
        <v>8</v>
      </c>
      <c r="K291">
        <v>1</v>
      </c>
      <c r="L291">
        <v>1</v>
      </c>
      <c r="M291" t="s">
        <v>191</v>
      </c>
      <c r="O291" t="s">
        <v>192</v>
      </c>
      <c r="P291">
        <v>1</v>
      </c>
      <c r="Q291">
        <v>1</v>
      </c>
      <c r="R291" t="s">
        <v>193</v>
      </c>
      <c r="S291" t="s">
        <v>194</v>
      </c>
      <c r="U291" t="s">
        <v>195</v>
      </c>
      <c r="V291" t="s">
        <v>196</v>
      </c>
      <c r="W291" t="s">
        <v>229</v>
      </c>
      <c r="X291" t="s">
        <v>198</v>
      </c>
      <c r="Y291" t="s">
        <v>420</v>
      </c>
      <c r="Z291" t="s">
        <v>421</v>
      </c>
      <c r="AA291">
        <v>2</v>
      </c>
      <c r="AB291">
        <v>2</v>
      </c>
      <c r="AC291">
        <v>2</v>
      </c>
      <c r="AE291">
        <v>0</v>
      </c>
      <c r="AF291">
        <v>0</v>
      </c>
      <c r="AG291" t="s">
        <v>192</v>
      </c>
      <c r="AH291" t="s">
        <v>198</v>
      </c>
      <c r="AI291" t="s">
        <v>422</v>
      </c>
      <c r="AJ291" s="9">
        <v>1</v>
      </c>
      <c r="AK291" s="9">
        <v>1</v>
      </c>
      <c r="AL291" s="9">
        <v>0</v>
      </c>
      <c r="AM291" s="9">
        <v>2</v>
      </c>
      <c r="AN291" t="s">
        <v>553</v>
      </c>
    </row>
    <row r="292" spans="1:40" x14ac:dyDescent="0.2">
      <c r="A292" t="s">
        <v>185</v>
      </c>
      <c r="B292" t="s">
        <v>186</v>
      </c>
      <c r="C292">
        <v>49</v>
      </c>
      <c r="D292">
        <v>4143</v>
      </c>
      <c r="E292" t="s">
        <v>187</v>
      </c>
      <c r="F292">
        <v>3</v>
      </c>
      <c r="G292" t="s">
        <v>446</v>
      </c>
      <c r="H292" t="s">
        <v>189</v>
      </c>
      <c r="I292" t="s">
        <v>212</v>
      </c>
      <c r="J292">
        <v>7</v>
      </c>
      <c r="K292">
        <v>10</v>
      </c>
      <c r="L292">
        <v>1</v>
      </c>
      <c r="M292" t="s">
        <v>233</v>
      </c>
      <c r="N292" t="s">
        <v>239</v>
      </c>
      <c r="O292" t="s">
        <v>192</v>
      </c>
      <c r="P292">
        <v>99</v>
      </c>
      <c r="Q292">
        <v>13</v>
      </c>
      <c r="R292" t="s">
        <v>204</v>
      </c>
      <c r="S292" t="s">
        <v>205</v>
      </c>
      <c r="T292" t="s">
        <v>206</v>
      </c>
      <c r="U292" t="s">
        <v>207</v>
      </c>
      <c r="V292" t="s">
        <v>208</v>
      </c>
      <c r="W292" t="s">
        <v>192</v>
      </c>
      <c r="X292" t="s">
        <v>229</v>
      </c>
      <c r="Y292" t="s">
        <v>192</v>
      </c>
      <c r="AA292">
        <v>5</v>
      </c>
      <c r="AB292">
        <v>5</v>
      </c>
      <c r="AC292">
        <v>4</v>
      </c>
      <c r="AE292">
        <v>0</v>
      </c>
      <c r="AF292">
        <v>0</v>
      </c>
      <c r="AG292" t="s">
        <v>192</v>
      </c>
      <c r="AH292" t="s">
        <v>189</v>
      </c>
      <c r="AI292" t="s">
        <v>277</v>
      </c>
      <c r="AJ292" s="9">
        <v>10</v>
      </c>
      <c r="AK292" s="9">
        <v>99</v>
      </c>
      <c r="AL292" s="9">
        <v>0</v>
      </c>
      <c r="AM292" s="9">
        <v>109</v>
      </c>
      <c r="AN292" t="s">
        <v>554</v>
      </c>
    </row>
    <row r="293" spans="1:40" x14ac:dyDescent="0.2">
      <c r="A293" t="s">
        <v>185</v>
      </c>
      <c r="B293" t="s">
        <v>186</v>
      </c>
      <c r="C293">
        <v>49</v>
      </c>
      <c r="D293">
        <v>3067</v>
      </c>
      <c r="E293" t="s">
        <v>220</v>
      </c>
      <c r="F293">
        <v>1</v>
      </c>
      <c r="G293" t="s">
        <v>448</v>
      </c>
      <c r="H293" t="s">
        <v>189</v>
      </c>
      <c r="I293" t="s">
        <v>212</v>
      </c>
      <c r="J293">
        <v>8</v>
      </c>
      <c r="K293">
        <v>2</v>
      </c>
      <c r="L293">
        <v>0</v>
      </c>
      <c r="M293" t="s">
        <v>191</v>
      </c>
      <c r="O293" t="s">
        <v>192</v>
      </c>
      <c r="P293">
        <v>37</v>
      </c>
      <c r="Q293">
        <v>6</v>
      </c>
      <c r="R293" t="s">
        <v>204</v>
      </c>
      <c r="S293" t="s">
        <v>214</v>
      </c>
      <c r="T293" t="s">
        <v>237</v>
      </c>
      <c r="U293" t="s">
        <v>216</v>
      </c>
      <c r="V293" t="s">
        <v>217</v>
      </c>
      <c r="W293" t="s">
        <v>192</v>
      </c>
      <c r="X293" t="s">
        <v>198</v>
      </c>
      <c r="Y293" t="s">
        <v>192</v>
      </c>
      <c r="AA293">
        <v>3</v>
      </c>
      <c r="AB293">
        <v>4</v>
      </c>
      <c r="AC293">
        <v>5</v>
      </c>
      <c r="AE293">
        <v>0</v>
      </c>
      <c r="AF293">
        <v>1</v>
      </c>
      <c r="AG293" t="s">
        <v>192</v>
      </c>
      <c r="AH293" t="s">
        <v>199</v>
      </c>
      <c r="AJ293" s="9">
        <v>2</v>
      </c>
      <c r="AK293" s="9">
        <v>37</v>
      </c>
      <c r="AL293" s="9">
        <v>0</v>
      </c>
      <c r="AM293" s="9">
        <v>39</v>
      </c>
      <c r="AN293" t="s">
        <v>555</v>
      </c>
    </row>
    <row r="294" spans="1:40" x14ac:dyDescent="0.2">
      <c r="A294" t="s">
        <v>185</v>
      </c>
      <c r="B294" t="s">
        <v>186</v>
      </c>
      <c r="C294">
        <v>49</v>
      </c>
      <c r="D294">
        <v>2040</v>
      </c>
      <c r="E294" t="s">
        <v>220</v>
      </c>
      <c r="F294">
        <v>2</v>
      </c>
      <c r="G294" t="s">
        <v>450</v>
      </c>
      <c r="H294" t="s">
        <v>189</v>
      </c>
      <c r="I294" t="s">
        <v>203</v>
      </c>
      <c r="J294">
        <v>5</v>
      </c>
      <c r="K294">
        <v>29</v>
      </c>
      <c r="L294">
        <v>9</v>
      </c>
      <c r="M294" t="s">
        <v>233</v>
      </c>
      <c r="N294" t="s">
        <v>225</v>
      </c>
      <c r="O294" t="s">
        <v>192</v>
      </c>
      <c r="P294">
        <v>92</v>
      </c>
      <c r="Q294">
        <v>29</v>
      </c>
      <c r="R294" t="s">
        <v>204</v>
      </c>
      <c r="S294" t="s">
        <v>205</v>
      </c>
      <c r="T294" t="s">
        <v>206</v>
      </c>
      <c r="U294" t="s">
        <v>207</v>
      </c>
      <c r="V294" t="s">
        <v>208</v>
      </c>
      <c r="W294" t="s">
        <v>192</v>
      </c>
      <c r="X294" t="s">
        <v>198</v>
      </c>
      <c r="Y294" t="s">
        <v>192</v>
      </c>
      <c r="AA294">
        <v>5</v>
      </c>
      <c r="AB294">
        <v>5</v>
      </c>
      <c r="AC294">
        <v>3</v>
      </c>
      <c r="AD294" t="s">
        <v>331</v>
      </c>
      <c r="AE294">
        <v>1</v>
      </c>
      <c r="AF294">
        <v>0</v>
      </c>
      <c r="AG294" t="s">
        <v>192</v>
      </c>
      <c r="AH294" t="s">
        <v>189</v>
      </c>
      <c r="AI294" t="s">
        <v>286</v>
      </c>
      <c r="AJ294" s="9">
        <v>29</v>
      </c>
      <c r="AK294" s="9">
        <v>92</v>
      </c>
      <c r="AL294" s="9">
        <v>0</v>
      </c>
      <c r="AM294" s="9">
        <v>121</v>
      </c>
      <c r="AN294" t="s">
        <v>556</v>
      </c>
    </row>
    <row r="295" spans="1:40" x14ac:dyDescent="0.2">
      <c r="A295" t="s">
        <v>185</v>
      </c>
      <c r="B295" t="s">
        <v>186</v>
      </c>
      <c r="C295">
        <v>49</v>
      </c>
      <c r="D295">
        <v>4156</v>
      </c>
      <c r="E295" t="s">
        <v>220</v>
      </c>
      <c r="F295">
        <v>3</v>
      </c>
      <c r="G295" t="s">
        <v>451</v>
      </c>
      <c r="H295" t="s">
        <v>189</v>
      </c>
      <c r="I295" t="s">
        <v>190</v>
      </c>
      <c r="J295">
        <v>8</v>
      </c>
      <c r="K295">
        <v>2</v>
      </c>
      <c r="L295">
        <v>1</v>
      </c>
      <c r="M295" t="s">
        <v>191</v>
      </c>
      <c r="O295" t="s">
        <v>192</v>
      </c>
      <c r="P295">
        <v>4</v>
      </c>
      <c r="Q295">
        <v>2</v>
      </c>
      <c r="R295" t="s">
        <v>193</v>
      </c>
      <c r="S295" t="s">
        <v>194</v>
      </c>
      <c r="U295" t="s">
        <v>195</v>
      </c>
      <c r="V295" t="s">
        <v>196</v>
      </c>
      <c r="W295" t="s">
        <v>192</v>
      </c>
      <c r="X295" t="s">
        <v>198</v>
      </c>
      <c r="Y295" t="s">
        <v>192</v>
      </c>
      <c r="AA295">
        <v>1</v>
      </c>
      <c r="AB295">
        <v>2</v>
      </c>
      <c r="AC295">
        <v>3</v>
      </c>
      <c r="AD295" t="s">
        <v>218</v>
      </c>
      <c r="AE295">
        <v>0</v>
      </c>
      <c r="AF295">
        <v>1</v>
      </c>
      <c r="AG295" t="s">
        <v>192</v>
      </c>
      <c r="AH295" t="s">
        <v>199</v>
      </c>
      <c r="AI295" t="s">
        <v>244</v>
      </c>
      <c r="AJ295" s="9">
        <v>2</v>
      </c>
      <c r="AK295" s="9">
        <v>4</v>
      </c>
      <c r="AL295" s="9">
        <v>0</v>
      </c>
      <c r="AM295" s="9">
        <v>6</v>
      </c>
      <c r="AN295" t="s">
        <v>557</v>
      </c>
    </row>
    <row r="296" spans="1:40" x14ac:dyDescent="0.2">
      <c r="A296" t="s">
        <v>185</v>
      </c>
      <c r="B296" t="s">
        <v>186</v>
      </c>
      <c r="C296">
        <v>50</v>
      </c>
      <c r="D296">
        <v>4787</v>
      </c>
      <c r="E296" t="s">
        <v>187</v>
      </c>
      <c r="F296">
        <v>1</v>
      </c>
      <c r="G296" t="s">
        <v>442</v>
      </c>
      <c r="H296" t="s">
        <v>189</v>
      </c>
      <c r="I296" t="s">
        <v>212</v>
      </c>
      <c r="J296">
        <v>7</v>
      </c>
      <c r="K296">
        <v>0</v>
      </c>
      <c r="L296">
        <v>0</v>
      </c>
      <c r="O296" t="s">
        <v>192</v>
      </c>
      <c r="P296">
        <v>9</v>
      </c>
      <c r="Q296">
        <v>4</v>
      </c>
      <c r="R296" t="s">
        <v>213</v>
      </c>
      <c r="S296" t="s">
        <v>214</v>
      </c>
      <c r="T296" t="s">
        <v>215</v>
      </c>
      <c r="U296" t="s">
        <v>216</v>
      </c>
      <c r="V296" t="s">
        <v>246</v>
      </c>
      <c r="W296" t="s">
        <v>229</v>
      </c>
      <c r="X296" t="s">
        <v>198</v>
      </c>
      <c r="Y296" t="s">
        <v>192</v>
      </c>
      <c r="AA296">
        <v>2</v>
      </c>
      <c r="AB296">
        <v>2</v>
      </c>
      <c r="AC296">
        <v>3</v>
      </c>
      <c r="AE296">
        <v>0</v>
      </c>
      <c r="AF296">
        <v>0</v>
      </c>
      <c r="AG296" t="s">
        <v>192</v>
      </c>
      <c r="AH296" t="s">
        <v>189</v>
      </c>
      <c r="AI296" t="s">
        <v>244</v>
      </c>
      <c r="AJ296" s="9">
        <v>0</v>
      </c>
      <c r="AK296" s="9">
        <v>9</v>
      </c>
      <c r="AL296" s="9">
        <v>0</v>
      </c>
      <c r="AM296" s="9">
        <v>9</v>
      </c>
      <c r="AN296" t="s">
        <v>558</v>
      </c>
    </row>
    <row r="297" spans="1:40" x14ac:dyDescent="0.2">
      <c r="A297" t="s">
        <v>185</v>
      </c>
      <c r="B297" t="s">
        <v>186</v>
      </c>
      <c r="C297">
        <v>50</v>
      </c>
      <c r="D297">
        <v>4645</v>
      </c>
      <c r="E297" t="s">
        <v>187</v>
      </c>
      <c r="F297">
        <v>2</v>
      </c>
      <c r="G297" t="s">
        <v>444</v>
      </c>
      <c r="H297" t="s">
        <v>189</v>
      </c>
      <c r="I297" t="s">
        <v>212</v>
      </c>
      <c r="J297">
        <v>8</v>
      </c>
      <c r="K297">
        <v>2</v>
      </c>
      <c r="L297">
        <v>1</v>
      </c>
      <c r="M297" t="s">
        <v>191</v>
      </c>
      <c r="O297" t="s">
        <v>192</v>
      </c>
      <c r="P297">
        <v>13</v>
      </c>
      <c r="Q297">
        <v>5</v>
      </c>
      <c r="R297" t="s">
        <v>213</v>
      </c>
      <c r="S297" t="s">
        <v>214</v>
      </c>
      <c r="T297" t="s">
        <v>215</v>
      </c>
      <c r="U297" t="s">
        <v>216</v>
      </c>
      <c r="V297" t="s">
        <v>217</v>
      </c>
      <c r="W297" t="s">
        <v>192</v>
      </c>
      <c r="X297" t="s">
        <v>198</v>
      </c>
      <c r="Y297" t="s">
        <v>192</v>
      </c>
      <c r="AA297">
        <v>3</v>
      </c>
      <c r="AB297">
        <v>5</v>
      </c>
      <c r="AC297">
        <v>3</v>
      </c>
      <c r="AE297">
        <v>0</v>
      </c>
      <c r="AF297">
        <v>0</v>
      </c>
      <c r="AG297" t="s">
        <v>192</v>
      </c>
      <c r="AH297" t="s">
        <v>198</v>
      </c>
      <c r="AJ297" s="9">
        <v>2</v>
      </c>
      <c r="AK297" s="9">
        <v>13</v>
      </c>
      <c r="AL297" s="9">
        <v>0</v>
      </c>
      <c r="AM297" s="9">
        <v>15</v>
      </c>
      <c r="AN297" t="s">
        <v>559</v>
      </c>
    </row>
    <row r="298" spans="1:40" x14ac:dyDescent="0.2">
      <c r="A298" t="s">
        <v>185</v>
      </c>
      <c r="B298" t="s">
        <v>186</v>
      </c>
      <c r="C298">
        <v>50</v>
      </c>
      <c r="D298">
        <v>8096</v>
      </c>
      <c r="E298" t="s">
        <v>187</v>
      </c>
      <c r="F298">
        <v>3</v>
      </c>
      <c r="G298" t="s">
        <v>446</v>
      </c>
      <c r="H298" t="s">
        <v>189</v>
      </c>
      <c r="I298" t="s">
        <v>203</v>
      </c>
      <c r="J298">
        <v>8</v>
      </c>
      <c r="K298">
        <v>6</v>
      </c>
      <c r="L298">
        <v>4</v>
      </c>
      <c r="M298" t="s">
        <v>191</v>
      </c>
      <c r="O298" t="s">
        <v>192</v>
      </c>
      <c r="P298">
        <v>37</v>
      </c>
      <c r="Q298">
        <v>26</v>
      </c>
      <c r="R298" t="s">
        <v>213</v>
      </c>
      <c r="S298" t="s">
        <v>214</v>
      </c>
      <c r="T298" t="s">
        <v>215</v>
      </c>
      <c r="U298" t="s">
        <v>216</v>
      </c>
      <c r="V298" t="s">
        <v>246</v>
      </c>
      <c r="W298" t="s">
        <v>192</v>
      </c>
      <c r="X298" t="s">
        <v>198</v>
      </c>
      <c r="Y298" t="s">
        <v>192</v>
      </c>
      <c r="AA298">
        <v>2</v>
      </c>
      <c r="AB298">
        <v>3</v>
      </c>
      <c r="AC298">
        <v>3</v>
      </c>
      <c r="AE298">
        <v>0</v>
      </c>
      <c r="AF298">
        <v>0</v>
      </c>
      <c r="AG298" t="s">
        <v>192</v>
      </c>
      <c r="AH298" t="s">
        <v>198</v>
      </c>
      <c r="AJ298" s="9">
        <v>6</v>
      </c>
      <c r="AK298" s="9">
        <v>37</v>
      </c>
      <c r="AL298" s="9">
        <v>0</v>
      </c>
      <c r="AM298" s="9">
        <v>43</v>
      </c>
      <c r="AN298" t="s">
        <v>560</v>
      </c>
    </row>
    <row r="299" spans="1:40" x14ac:dyDescent="0.2">
      <c r="A299" t="s">
        <v>185</v>
      </c>
      <c r="B299" t="s">
        <v>186</v>
      </c>
      <c r="C299">
        <v>50</v>
      </c>
      <c r="D299">
        <v>2481</v>
      </c>
      <c r="E299" t="s">
        <v>220</v>
      </c>
      <c r="F299">
        <v>1</v>
      </c>
      <c r="G299" t="s">
        <v>448</v>
      </c>
      <c r="H299" t="s">
        <v>189</v>
      </c>
      <c r="I299" t="s">
        <v>190</v>
      </c>
      <c r="J299">
        <v>8</v>
      </c>
      <c r="K299">
        <v>71</v>
      </c>
      <c r="L299">
        <v>17</v>
      </c>
      <c r="M299" t="s">
        <v>224</v>
      </c>
      <c r="N299" t="s">
        <v>239</v>
      </c>
      <c r="O299" t="s">
        <v>192</v>
      </c>
      <c r="P299">
        <v>239</v>
      </c>
      <c r="Q299">
        <v>56</v>
      </c>
      <c r="R299" t="s">
        <v>204</v>
      </c>
      <c r="S299" t="s">
        <v>205</v>
      </c>
      <c r="T299" t="s">
        <v>206</v>
      </c>
      <c r="U299" t="s">
        <v>207</v>
      </c>
      <c r="V299" t="s">
        <v>208</v>
      </c>
      <c r="W299" t="s">
        <v>192</v>
      </c>
      <c r="X299" t="s">
        <v>198</v>
      </c>
      <c r="Y299" t="s">
        <v>192</v>
      </c>
      <c r="AA299">
        <v>5</v>
      </c>
      <c r="AB299">
        <v>5</v>
      </c>
      <c r="AC299">
        <v>5</v>
      </c>
      <c r="AE299">
        <v>0</v>
      </c>
      <c r="AF299">
        <v>0</v>
      </c>
      <c r="AG299" t="s">
        <v>192</v>
      </c>
      <c r="AH299" t="s">
        <v>189</v>
      </c>
      <c r="AI299" t="s">
        <v>279</v>
      </c>
      <c r="AJ299" s="9">
        <v>71</v>
      </c>
      <c r="AK299" s="9">
        <v>239</v>
      </c>
      <c r="AL299" s="9">
        <v>0</v>
      </c>
      <c r="AM299" s="9">
        <v>310</v>
      </c>
      <c r="AN299" t="s">
        <v>561</v>
      </c>
    </row>
    <row r="300" spans="1:40" x14ac:dyDescent="0.2">
      <c r="A300" t="s">
        <v>185</v>
      </c>
      <c r="B300" t="s">
        <v>186</v>
      </c>
      <c r="C300">
        <v>50</v>
      </c>
      <c r="D300">
        <v>6651</v>
      </c>
      <c r="E300" t="s">
        <v>220</v>
      </c>
      <c r="F300">
        <v>2</v>
      </c>
      <c r="G300" t="s">
        <v>450</v>
      </c>
      <c r="H300" t="s">
        <v>189</v>
      </c>
      <c r="I300" t="s">
        <v>203</v>
      </c>
      <c r="J300">
        <v>8</v>
      </c>
      <c r="K300">
        <v>6</v>
      </c>
      <c r="L300">
        <v>2</v>
      </c>
      <c r="M300" t="s">
        <v>191</v>
      </c>
      <c r="O300" t="s">
        <v>192</v>
      </c>
      <c r="P300">
        <v>37</v>
      </c>
      <c r="Q300">
        <v>14</v>
      </c>
      <c r="R300" t="s">
        <v>213</v>
      </c>
      <c r="S300" t="s">
        <v>194</v>
      </c>
      <c r="U300" t="s">
        <v>216</v>
      </c>
      <c r="V300" t="s">
        <v>246</v>
      </c>
      <c r="W300" t="s">
        <v>192</v>
      </c>
      <c r="X300" t="s">
        <v>198</v>
      </c>
      <c r="Y300" t="s">
        <v>192</v>
      </c>
      <c r="AA300">
        <v>3</v>
      </c>
      <c r="AB300">
        <v>1</v>
      </c>
      <c r="AC300">
        <v>4</v>
      </c>
      <c r="AE300">
        <v>3</v>
      </c>
      <c r="AF300">
        <v>0</v>
      </c>
      <c r="AG300" t="s">
        <v>192</v>
      </c>
      <c r="AH300" t="s">
        <v>198</v>
      </c>
      <c r="AJ300" s="9">
        <v>6</v>
      </c>
      <c r="AK300" s="9">
        <v>37</v>
      </c>
      <c r="AL300" s="9">
        <v>0</v>
      </c>
      <c r="AM300" s="9">
        <v>43</v>
      </c>
      <c r="AN300" t="s">
        <v>562</v>
      </c>
    </row>
    <row r="301" spans="1:40" x14ac:dyDescent="0.2">
      <c r="A301" t="s">
        <v>185</v>
      </c>
      <c r="B301" t="s">
        <v>186</v>
      </c>
      <c r="C301">
        <v>50</v>
      </c>
      <c r="D301">
        <v>7417</v>
      </c>
      <c r="E301" t="s">
        <v>220</v>
      </c>
      <c r="F301">
        <v>3</v>
      </c>
      <c r="G301" t="s">
        <v>451</v>
      </c>
      <c r="H301" t="s">
        <v>189</v>
      </c>
      <c r="I301" t="s">
        <v>203</v>
      </c>
      <c r="J301">
        <v>8</v>
      </c>
      <c r="K301">
        <v>13</v>
      </c>
      <c r="L301">
        <v>9</v>
      </c>
      <c r="M301" t="s">
        <v>224</v>
      </c>
      <c r="N301" t="s">
        <v>225</v>
      </c>
      <c r="O301" t="s">
        <v>192</v>
      </c>
      <c r="P301">
        <v>8</v>
      </c>
      <c r="Q301">
        <v>6</v>
      </c>
      <c r="R301" t="s">
        <v>193</v>
      </c>
      <c r="S301" t="s">
        <v>194</v>
      </c>
      <c r="U301" t="s">
        <v>195</v>
      </c>
      <c r="V301" t="s">
        <v>196</v>
      </c>
      <c r="W301" t="s">
        <v>192</v>
      </c>
      <c r="X301" t="s">
        <v>198</v>
      </c>
      <c r="Y301" t="s">
        <v>192</v>
      </c>
      <c r="AA301">
        <v>1</v>
      </c>
      <c r="AB301">
        <v>1</v>
      </c>
      <c r="AC301">
        <v>2</v>
      </c>
      <c r="AE301">
        <v>0</v>
      </c>
      <c r="AF301">
        <v>0</v>
      </c>
      <c r="AG301" t="s">
        <v>192</v>
      </c>
      <c r="AH301" t="s">
        <v>199</v>
      </c>
      <c r="AI301" t="s">
        <v>244</v>
      </c>
      <c r="AJ301" s="9">
        <v>13</v>
      </c>
      <c r="AK301" s="9">
        <v>8</v>
      </c>
      <c r="AL301" s="9">
        <v>0</v>
      </c>
      <c r="AM301" s="9">
        <v>21</v>
      </c>
      <c r="AN301" t="s">
        <v>563</v>
      </c>
    </row>
    <row r="302" spans="1:40" x14ac:dyDescent="0.2">
      <c r="A302" t="s">
        <v>185</v>
      </c>
      <c r="B302" t="s">
        <v>186</v>
      </c>
      <c r="C302">
        <v>51</v>
      </c>
      <c r="D302">
        <v>7472</v>
      </c>
      <c r="E302" t="s">
        <v>187</v>
      </c>
      <c r="F302">
        <v>1</v>
      </c>
      <c r="G302" t="s">
        <v>442</v>
      </c>
      <c r="H302" t="s">
        <v>189</v>
      </c>
      <c r="I302" t="s">
        <v>190</v>
      </c>
      <c r="J302">
        <v>8</v>
      </c>
      <c r="K302">
        <v>4</v>
      </c>
      <c r="L302">
        <v>3</v>
      </c>
      <c r="M302" t="s">
        <v>191</v>
      </c>
      <c r="O302" t="s">
        <v>192</v>
      </c>
      <c r="P302">
        <v>5</v>
      </c>
      <c r="Q302">
        <v>4</v>
      </c>
      <c r="R302" t="s">
        <v>193</v>
      </c>
      <c r="S302" t="s">
        <v>194</v>
      </c>
      <c r="U302" t="s">
        <v>262</v>
      </c>
      <c r="V302" t="s">
        <v>196</v>
      </c>
      <c r="W302" t="s">
        <v>192</v>
      </c>
      <c r="X302" t="s">
        <v>198</v>
      </c>
      <c r="Y302" t="s">
        <v>192</v>
      </c>
      <c r="AA302">
        <v>1</v>
      </c>
      <c r="AB302">
        <v>1</v>
      </c>
      <c r="AC302">
        <v>3</v>
      </c>
      <c r="AE302">
        <v>0</v>
      </c>
      <c r="AF302">
        <v>0</v>
      </c>
      <c r="AG302" t="s">
        <v>192</v>
      </c>
      <c r="AH302" t="s">
        <v>199</v>
      </c>
      <c r="AI302" t="s">
        <v>244</v>
      </c>
      <c r="AJ302" s="9">
        <v>4</v>
      </c>
      <c r="AK302" s="9">
        <v>5</v>
      </c>
      <c r="AL302" s="9">
        <v>0</v>
      </c>
      <c r="AM302" s="9">
        <v>9</v>
      </c>
      <c r="AN302" t="s">
        <v>564</v>
      </c>
    </row>
    <row r="303" spans="1:40" x14ac:dyDescent="0.2">
      <c r="A303" t="s">
        <v>185</v>
      </c>
      <c r="B303" t="s">
        <v>186</v>
      </c>
      <c r="C303">
        <v>51</v>
      </c>
      <c r="D303">
        <v>2022</v>
      </c>
      <c r="E303" t="s">
        <v>187</v>
      </c>
      <c r="F303">
        <v>2</v>
      </c>
      <c r="G303" t="s">
        <v>444</v>
      </c>
      <c r="H303" t="s">
        <v>189</v>
      </c>
      <c r="I303" t="s">
        <v>190</v>
      </c>
      <c r="J303">
        <v>8</v>
      </c>
      <c r="K303">
        <v>2</v>
      </c>
      <c r="L303">
        <v>0</v>
      </c>
      <c r="M303" t="s">
        <v>191</v>
      </c>
      <c r="O303" t="s">
        <v>192</v>
      </c>
      <c r="P303">
        <v>57</v>
      </c>
      <c r="Q303">
        <v>8</v>
      </c>
      <c r="R303" t="s">
        <v>213</v>
      </c>
      <c r="S303" t="s">
        <v>214</v>
      </c>
      <c r="T303" t="s">
        <v>215</v>
      </c>
      <c r="U303" t="s">
        <v>216</v>
      </c>
      <c r="V303" t="s">
        <v>217</v>
      </c>
      <c r="W303" t="s">
        <v>192</v>
      </c>
      <c r="X303" t="s">
        <v>198</v>
      </c>
      <c r="Y303" t="s">
        <v>192</v>
      </c>
      <c r="AA303">
        <v>3</v>
      </c>
      <c r="AB303">
        <v>3</v>
      </c>
      <c r="AC303">
        <v>4</v>
      </c>
      <c r="AE303">
        <v>3</v>
      </c>
      <c r="AF303">
        <v>0</v>
      </c>
      <c r="AG303" t="s">
        <v>192</v>
      </c>
      <c r="AH303" t="s">
        <v>198</v>
      </c>
      <c r="AI303" t="s">
        <v>234</v>
      </c>
      <c r="AJ303" s="9">
        <v>2</v>
      </c>
      <c r="AK303" s="9">
        <v>57</v>
      </c>
      <c r="AL303" s="9">
        <v>0</v>
      </c>
      <c r="AM303" s="9">
        <v>59</v>
      </c>
      <c r="AN303" t="s">
        <v>565</v>
      </c>
    </row>
    <row r="304" spans="1:40" x14ac:dyDescent="0.2">
      <c r="A304" t="s">
        <v>185</v>
      </c>
      <c r="B304" t="s">
        <v>186</v>
      </c>
      <c r="C304">
        <v>51</v>
      </c>
      <c r="D304">
        <v>4655</v>
      </c>
      <c r="E304" t="s">
        <v>187</v>
      </c>
      <c r="F304">
        <v>3</v>
      </c>
      <c r="G304" t="s">
        <v>446</v>
      </c>
      <c r="H304" t="s">
        <v>189</v>
      </c>
      <c r="I304" t="s">
        <v>190</v>
      </c>
      <c r="J304">
        <v>8</v>
      </c>
      <c r="K304">
        <v>9</v>
      </c>
      <c r="L304">
        <v>3</v>
      </c>
      <c r="M304" t="s">
        <v>233</v>
      </c>
      <c r="N304" t="s">
        <v>239</v>
      </c>
      <c r="O304" t="s">
        <v>192</v>
      </c>
      <c r="P304">
        <v>19</v>
      </c>
      <c r="Q304">
        <v>7</v>
      </c>
      <c r="R304" t="s">
        <v>204</v>
      </c>
      <c r="S304" t="s">
        <v>214</v>
      </c>
      <c r="T304" t="s">
        <v>206</v>
      </c>
      <c r="U304" t="s">
        <v>207</v>
      </c>
      <c r="V304" t="s">
        <v>217</v>
      </c>
      <c r="W304" t="s">
        <v>192</v>
      </c>
      <c r="X304" t="s">
        <v>198</v>
      </c>
      <c r="Y304" t="s">
        <v>192</v>
      </c>
      <c r="AA304">
        <v>4</v>
      </c>
      <c r="AB304">
        <v>4</v>
      </c>
      <c r="AC304">
        <v>4</v>
      </c>
      <c r="AD304" t="s">
        <v>241</v>
      </c>
      <c r="AE304">
        <v>0</v>
      </c>
      <c r="AF304">
        <v>0</v>
      </c>
      <c r="AG304" t="s">
        <v>192</v>
      </c>
      <c r="AH304" t="s">
        <v>199</v>
      </c>
      <c r="AI304" t="s">
        <v>242</v>
      </c>
      <c r="AJ304" s="9">
        <v>9</v>
      </c>
      <c r="AK304" s="9">
        <v>19</v>
      </c>
      <c r="AL304" s="9">
        <v>0</v>
      </c>
      <c r="AM304" s="9">
        <v>28</v>
      </c>
      <c r="AN304" t="s">
        <v>566</v>
      </c>
    </row>
    <row r="305" spans="1:40" x14ac:dyDescent="0.2">
      <c r="A305" t="s">
        <v>185</v>
      </c>
      <c r="B305" t="s">
        <v>186</v>
      </c>
      <c r="C305">
        <v>51</v>
      </c>
      <c r="D305">
        <v>1756</v>
      </c>
      <c r="E305" t="s">
        <v>220</v>
      </c>
      <c r="F305">
        <v>1</v>
      </c>
      <c r="G305" t="s">
        <v>448</v>
      </c>
      <c r="H305" t="s">
        <v>189</v>
      </c>
      <c r="I305" t="s">
        <v>190</v>
      </c>
      <c r="J305">
        <v>8</v>
      </c>
      <c r="K305">
        <v>20</v>
      </c>
      <c r="L305">
        <v>3</v>
      </c>
      <c r="M305" t="s">
        <v>233</v>
      </c>
      <c r="N305" t="s">
        <v>225</v>
      </c>
      <c r="O305" t="s">
        <v>192</v>
      </c>
      <c r="P305">
        <v>196</v>
      </c>
      <c r="Q305">
        <v>34</v>
      </c>
      <c r="R305" t="s">
        <v>204</v>
      </c>
      <c r="S305" t="s">
        <v>205</v>
      </c>
      <c r="T305" t="s">
        <v>206</v>
      </c>
      <c r="U305" t="s">
        <v>207</v>
      </c>
      <c r="V305" t="s">
        <v>208</v>
      </c>
      <c r="W305" t="s">
        <v>192</v>
      </c>
      <c r="X305" t="s">
        <v>198</v>
      </c>
      <c r="Y305" t="s">
        <v>192</v>
      </c>
      <c r="AA305">
        <v>4</v>
      </c>
      <c r="AB305">
        <v>4</v>
      </c>
      <c r="AC305">
        <v>4</v>
      </c>
      <c r="AE305">
        <v>1</v>
      </c>
      <c r="AF305">
        <v>1</v>
      </c>
      <c r="AG305" t="s">
        <v>192</v>
      </c>
      <c r="AH305" t="s">
        <v>189</v>
      </c>
      <c r="AI305" t="s">
        <v>277</v>
      </c>
      <c r="AJ305" s="9">
        <v>20</v>
      </c>
      <c r="AK305" s="9">
        <v>196</v>
      </c>
      <c r="AL305" s="9">
        <v>0</v>
      </c>
      <c r="AM305" s="9">
        <v>216</v>
      </c>
      <c r="AN305" t="s">
        <v>567</v>
      </c>
    </row>
    <row r="306" spans="1:40" x14ac:dyDescent="0.2">
      <c r="A306" t="s">
        <v>185</v>
      </c>
      <c r="B306" t="s">
        <v>186</v>
      </c>
      <c r="C306">
        <v>51</v>
      </c>
      <c r="D306">
        <v>8029</v>
      </c>
      <c r="E306" t="s">
        <v>220</v>
      </c>
      <c r="F306">
        <v>2</v>
      </c>
      <c r="G306" t="s">
        <v>450</v>
      </c>
      <c r="H306" t="s">
        <v>189</v>
      </c>
      <c r="I306" t="s">
        <v>190</v>
      </c>
      <c r="J306">
        <v>5</v>
      </c>
      <c r="K306">
        <v>17</v>
      </c>
      <c r="L306">
        <v>15</v>
      </c>
      <c r="M306" t="s">
        <v>224</v>
      </c>
      <c r="N306" t="s">
        <v>225</v>
      </c>
      <c r="O306" t="s">
        <v>192</v>
      </c>
      <c r="P306">
        <v>6</v>
      </c>
      <c r="Q306">
        <v>5</v>
      </c>
      <c r="R306" t="s">
        <v>193</v>
      </c>
      <c r="S306" t="s">
        <v>194</v>
      </c>
      <c r="U306" t="s">
        <v>262</v>
      </c>
      <c r="V306" t="s">
        <v>196</v>
      </c>
      <c r="W306" t="s">
        <v>229</v>
      </c>
      <c r="X306" t="s">
        <v>198</v>
      </c>
      <c r="Y306" t="s">
        <v>192</v>
      </c>
      <c r="AA306">
        <v>1</v>
      </c>
      <c r="AB306">
        <v>1</v>
      </c>
      <c r="AC306">
        <v>2</v>
      </c>
      <c r="AE306">
        <v>0</v>
      </c>
      <c r="AF306">
        <v>0</v>
      </c>
      <c r="AG306" t="s">
        <v>192</v>
      </c>
      <c r="AH306" t="s">
        <v>198</v>
      </c>
      <c r="AI306" t="s">
        <v>244</v>
      </c>
      <c r="AJ306" s="9">
        <v>17</v>
      </c>
      <c r="AK306" s="9">
        <v>6</v>
      </c>
      <c r="AL306" s="9">
        <v>0</v>
      </c>
      <c r="AM306" s="9">
        <v>23</v>
      </c>
      <c r="AN306" t="s">
        <v>568</v>
      </c>
    </row>
    <row r="307" spans="1:40" x14ac:dyDescent="0.2">
      <c r="A307" t="s">
        <v>185</v>
      </c>
      <c r="B307" t="s">
        <v>186</v>
      </c>
      <c r="C307">
        <v>51</v>
      </c>
      <c r="D307">
        <v>5442</v>
      </c>
      <c r="E307" t="s">
        <v>220</v>
      </c>
      <c r="F307">
        <v>3</v>
      </c>
      <c r="G307" t="s">
        <v>451</v>
      </c>
      <c r="H307" t="s">
        <v>189</v>
      </c>
      <c r="I307" t="s">
        <v>212</v>
      </c>
      <c r="J307">
        <v>8</v>
      </c>
      <c r="K307">
        <v>1</v>
      </c>
      <c r="L307">
        <v>1</v>
      </c>
      <c r="M307" t="s">
        <v>191</v>
      </c>
      <c r="O307" t="s">
        <v>192</v>
      </c>
      <c r="P307">
        <v>37</v>
      </c>
      <c r="Q307">
        <v>22</v>
      </c>
      <c r="R307" t="s">
        <v>213</v>
      </c>
      <c r="S307" t="s">
        <v>214</v>
      </c>
      <c r="T307" t="s">
        <v>215</v>
      </c>
      <c r="U307" t="s">
        <v>216</v>
      </c>
      <c r="V307" t="s">
        <v>246</v>
      </c>
      <c r="W307" t="s">
        <v>192</v>
      </c>
      <c r="X307" t="s">
        <v>198</v>
      </c>
      <c r="Y307" t="s">
        <v>192</v>
      </c>
      <c r="AA307">
        <v>3</v>
      </c>
      <c r="AB307">
        <v>1</v>
      </c>
      <c r="AC307">
        <v>3</v>
      </c>
      <c r="AE307">
        <v>1</v>
      </c>
      <c r="AF307">
        <v>0</v>
      </c>
      <c r="AG307" t="s">
        <v>192</v>
      </c>
      <c r="AH307" t="s">
        <v>189</v>
      </c>
      <c r="AJ307" s="9">
        <v>1</v>
      </c>
      <c r="AK307" s="9">
        <v>37</v>
      </c>
      <c r="AL307" s="9">
        <v>0</v>
      </c>
      <c r="AM307" s="9">
        <v>38</v>
      </c>
      <c r="AN307" t="s">
        <v>569</v>
      </c>
    </row>
    <row r="308" spans="1:40" x14ac:dyDescent="0.2">
      <c r="A308" t="s">
        <v>185</v>
      </c>
      <c r="B308" t="s">
        <v>186</v>
      </c>
      <c r="C308">
        <v>52</v>
      </c>
      <c r="D308">
        <v>4423</v>
      </c>
      <c r="E308" t="s">
        <v>187</v>
      </c>
      <c r="F308">
        <v>1</v>
      </c>
      <c r="G308" t="s">
        <v>442</v>
      </c>
      <c r="H308" t="s">
        <v>189</v>
      </c>
      <c r="I308" t="s">
        <v>203</v>
      </c>
      <c r="J308">
        <v>8</v>
      </c>
      <c r="K308">
        <v>1</v>
      </c>
      <c r="L308">
        <v>0</v>
      </c>
      <c r="M308" t="s">
        <v>191</v>
      </c>
      <c r="O308" t="s">
        <v>192</v>
      </c>
      <c r="P308">
        <v>40</v>
      </c>
      <c r="Q308">
        <v>13</v>
      </c>
      <c r="R308" t="s">
        <v>204</v>
      </c>
      <c r="S308" t="s">
        <v>214</v>
      </c>
      <c r="T308" t="s">
        <v>206</v>
      </c>
      <c r="U308" t="s">
        <v>207</v>
      </c>
      <c r="V308" t="s">
        <v>217</v>
      </c>
      <c r="W308" t="s">
        <v>229</v>
      </c>
      <c r="X308" t="s">
        <v>229</v>
      </c>
      <c r="Y308" t="s">
        <v>254</v>
      </c>
      <c r="Z308" t="s">
        <v>255</v>
      </c>
      <c r="AA308">
        <v>2</v>
      </c>
      <c r="AB308">
        <v>4</v>
      </c>
      <c r="AC308">
        <v>3</v>
      </c>
      <c r="AE308">
        <v>0</v>
      </c>
      <c r="AF308">
        <v>0</v>
      </c>
      <c r="AG308" t="s">
        <v>192</v>
      </c>
      <c r="AH308" t="s">
        <v>199</v>
      </c>
      <c r="AI308" t="s">
        <v>303</v>
      </c>
      <c r="AJ308" s="9">
        <v>1</v>
      </c>
      <c r="AK308" s="9">
        <v>40</v>
      </c>
      <c r="AL308" s="9">
        <v>10</v>
      </c>
      <c r="AM308" s="9">
        <v>51</v>
      </c>
      <c r="AN308" t="s">
        <v>570</v>
      </c>
    </row>
    <row r="309" spans="1:40" x14ac:dyDescent="0.2">
      <c r="A309" t="s">
        <v>185</v>
      </c>
      <c r="B309" t="s">
        <v>186</v>
      </c>
      <c r="C309">
        <v>52</v>
      </c>
      <c r="D309">
        <v>2861</v>
      </c>
      <c r="E309" t="s">
        <v>187</v>
      </c>
      <c r="F309">
        <v>2</v>
      </c>
      <c r="G309" t="s">
        <v>444</v>
      </c>
      <c r="H309" t="s">
        <v>189</v>
      </c>
      <c r="I309" t="s">
        <v>203</v>
      </c>
      <c r="J309">
        <v>8</v>
      </c>
      <c r="K309">
        <v>11</v>
      </c>
      <c r="L309">
        <v>1</v>
      </c>
      <c r="M309" t="s">
        <v>224</v>
      </c>
      <c r="N309" t="s">
        <v>225</v>
      </c>
      <c r="O309" t="s">
        <v>192</v>
      </c>
      <c r="P309">
        <v>62</v>
      </c>
      <c r="Q309">
        <v>7</v>
      </c>
      <c r="R309" t="s">
        <v>204</v>
      </c>
      <c r="S309" t="s">
        <v>205</v>
      </c>
      <c r="T309" t="s">
        <v>206</v>
      </c>
      <c r="U309" t="s">
        <v>207</v>
      </c>
      <c r="V309" t="s">
        <v>208</v>
      </c>
      <c r="W309" t="s">
        <v>192</v>
      </c>
      <c r="X309" t="s">
        <v>198</v>
      </c>
      <c r="Y309" t="s">
        <v>192</v>
      </c>
      <c r="AA309">
        <v>4</v>
      </c>
      <c r="AB309">
        <v>3</v>
      </c>
      <c r="AC309">
        <v>5</v>
      </c>
      <c r="AE309">
        <v>0</v>
      </c>
      <c r="AF309">
        <v>0</v>
      </c>
      <c r="AG309" t="s">
        <v>192</v>
      </c>
      <c r="AH309" t="s">
        <v>189</v>
      </c>
      <c r="AI309" t="s">
        <v>226</v>
      </c>
      <c r="AJ309" s="9">
        <v>11</v>
      </c>
      <c r="AK309" s="9">
        <v>62</v>
      </c>
      <c r="AL309" s="9">
        <v>0</v>
      </c>
      <c r="AM309" s="9">
        <v>73</v>
      </c>
      <c r="AN309" t="s">
        <v>571</v>
      </c>
    </row>
    <row r="310" spans="1:40" x14ac:dyDescent="0.2">
      <c r="A310" t="s">
        <v>185</v>
      </c>
      <c r="B310" t="s">
        <v>186</v>
      </c>
      <c r="C310">
        <v>52</v>
      </c>
      <c r="D310">
        <v>2040</v>
      </c>
      <c r="E310" t="s">
        <v>187</v>
      </c>
      <c r="F310">
        <v>3</v>
      </c>
      <c r="G310" t="s">
        <v>446</v>
      </c>
      <c r="H310" t="s">
        <v>189</v>
      </c>
      <c r="I310" t="s">
        <v>203</v>
      </c>
      <c r="J310">
        <v>5</v>
      </c>
      <c r="K310">
        <v>23</v>
      </c>
      <c r="L310">
        <v>6</v>
      </c>
      <c r="M310" t="s">
        <v>224</v>
      </c>
      <c r="N310" t="s">
        <v>239</v>
      </c>
      <c r="O310" t="s">
        <v>192</v>
      </c>
      <c r="P310">
        <v>68</v>
      </c>
      <c r="Q310">
        <v>18</v>
      </c>
      <c r="R310" t="s">
        <v>204</v>
      </c>
      <c r="S310" t="s">
        <v>205</v>
      </c>
      <c r="T310" t="s">
        <v>206</v>
      </c>
      <c r="U310" t="s">
        <v>207</v>
      </c>
      <c r="V310" t="s">
        <v>208</v>
      </c>
      <c r="W310" t="s">
        <v>192</v>
      </c>
      <c r="X310" t="s">
        <v>198</v>
      </c>
      <c r="Y310" t="s">
        <v>192</v>
      </c>
      <c r="AA310">
        <v>5</v>
      </c>
      <c r="AB310">
        <v>5</v>
      </c>
      <c r="AC310">
        <v>4</v>
      </c>
      <c r="AE310">
        <v>0</v>
      </c>
      <c r="AF310">
        <v>0</v>
      </c>
      <c r="AG310" t="s">
        <v>192</v>
      </c>
      <c r="AH310" t="s">
        <v>189</v>
      </c>
      <c r="AI310" t="s">
        <v>234</v>
      </c>
      <c r="AJ310" s="9">
        <v>23</v>
      </c>
      <c r="AK310" s="9">
        <v>68</v>
      </c>
      <c r="AL310" s="9">
        <v>0</v>
      </c>
      <c r="AM310" s="9">
        <v>91</v>
      </c>
      <c r="AN310" t="s">
        <v>572</v>
      </c>
    </row>
    <row r="311" spans="1:40" x14ac:dyDescent="0.2">
      <c r="A311" t="s">
        <v>185</v>
      </c>
      <c r="B311" t="s">
        <v>186</v>
      </c>
      <c r="C311">
        <v>52</v>
      </c>
      <c r="D311">
        <v>9082</v>
      </c>
      <c r="E311" t="s">
        <v>220</v>
      </c>
      <c r="F311">
        <v>1</v>
      </c>
      <c r="G311" t="s">
        <v>448</v>
      </c>
      <c r="H311" t="s">
        <v>189</v>
      </c>
      <c r="I311" t="s">
        <v>190</v>
      </c>
      <c r="J311">
        <v>8</v>
      </c>
      <c r="K311">
        <v>10</v>
      </c>
      <c r="L311">
        <v>0</v>
      </c>
      <c r="M311" t="s">
        <v>224</v>
      </c>
      <c r="N311" t="s">
        <v>225</v>
      </c>
      <c r="O311" t="s">
        <v>192</v>
      </c>
      <c r="P311">
        <v>77</v>
      </c>
      <c r="Q311">
        <v>2</v>
      </c>
      <c r="R311" t="s">
        <v>204</v>
      </c>
      <c r="S311" t="s">
        <v>205</v>
      </c>
      <c r="T311" t="s">
        <v>206</v>
      </c>
      <c r="U311" t="s">
        <v>207</v>
      </c>
      <c r="V311" t="s">
        <v>217</v>
      </c>
      <c r="W311" t="s">
        <v>192</v>
      </c>
      <c r="X311" t="s">
        <v>198</v>
      </c>
      <c r="Y311" t="s">
        <v>192</v>
      </c>
      <c r="AA311">
        <v>5</v>
      </c>
      <c r="AB311">
        <v>4</v>
      </c>
      <c r="AC311">
        <v>5</v>
      </c>
      <c r="AE311">
        <v>0</v>
      </c>
      <c r="AF311">
        <v>0</v>
      </c>
      <c r="AG311" t="s">
        <v>192</v>
      </c>
      <c r="AH311" t="s">
        <v>189</v>
      </c>
      <c r="AI311" t="s">
        <v>234</v>
      </c>
      <c r="AJ311" s="9">
        <v>10</v>
      </c>
      <c r="AK311" s="9">
        <v>77</v>
      </c>
      <c r="AL311" s="9">
        <v>0</v>
      </c>
      <c r="AM311" s="9">
        <v>87</v>
      </c>
      <c r="AN311" t="s">
        <v>573</v>
      </c>
    </row>
    <row r="312" spans="1:40" x14ac:dyDescent="0.2">
      <c r="A312" t="s">
        <v>185</v>
      </c>
      <c r="B312" t="s">
        <v>186</v>
      </c>
      <c r="C312">
        <v>52</v>
      </c>
      <c r="D312">
        <v>4213</v>
      </c>
      <c r="E312" t="s">
        <v>220</v>
      </c>
      <c r="F312">
        <v>2</v>
      </c>
      <c r="G312" t="s">
        <v>450</v>
      </c>
      <c r="H312" t="s">
        <v>189</v>
      </c>
      <c r="I312" t="s">
        <v>212</v>
      </c>
      <c r="J312">
        <v>8</v>
      </c>
      <c r="K312">
        <v>6</v>
      </c>
      <c r="L312">
        <v>2</v>
      </c>
      <c r="M312" t="s">
        <v>191</v>
      </c>
      <c r="O312" t="s">
        <v>192</v>
      </c>
      <c r="P312">
        <v>39</v>
      </c>
      <c r="Q312">
        <v>10</v>
      </c>
      <c r="R312" t="s">
        <v>204</v>
      </c>
      <c r="S312" t="s">
        <v>214</v>
      </c>
      <c r="T312" t="s">
        <v>237</v>
      </c>
      <c r="U312" t="s">
        <v>216</v>
      </c>
      <c r="V312" t="s">
        <v>217</v>
      </c>
      <c r="W312" t="s">
        <v>192</v>
      </c>
      <c r="X312" t="s">
        <v>198</v>
      </c>
      <c r="Y312" t="s">
        <v>192</v>
      </c>
      <c r="AA312">
        <v>3</v>
      </c>
      <c r="AB312">
        <v>3</v>
      </c>
      <c r="AC312">
        <v>5</v>
      </c>
      <c r="AE312">
        <v>0</v>
      </c>
      <c r="AF312">
        <v>0</v>
      </c>
      <c r="AG312" t="s">
        <v>192</v>
      </c>
      <c r="AH312" t="s">
        <v>199</v>
      </c>
      <c r="AJ312" s="9">
        <v>6</v>
      </c>
      <c r="AK312" s="9">
        <v>39</v>
      </c>
      <c r="AL312" s="9">
        <v>0</v>
      </c>
      <c r="AM312" s="9">
        <v>45</v>
      </c>
      <c r="AN312" t="s">
        <v>574</v>
      </c>
    </row>
    <row r="313" spans="1:40" x14ac:dyDescent="0.2">
      <c r="A313" t="s">
        <v>185</v>
      </c>
      <c r="B313" t="s">
        <v>186</v>
      </c>
      <c r="C313">
        <v>52</v>
      </c>
      <c r="D313">
        <v>7848</v>
      </c>
      <c r="E313" t="s">
        <v>220</v>
      </c>
      <c r="F313">
        <v>3</v>
      </c>
      <c r="G313" t="s">
        <v>451</v>
      </c>
      <c r="H313" t="s">
        <v>189</v>
      </c>
      <c r="I313" t="s">
        <v>203</v>
      </c>
      <c r="J313">
        <v>8</v>
      </c>
      <c r="K313">
        <v>2</v>
      </c>
      <c r="L313">
        <v>1</v>
      </c>
      <c r="M313" t="s">
        <v>191</v>
      </c>
      <c r="O313" t="s">
        <v>192</v>
      </c>
      <c r="P313">
        <v>41</v>
      </c>
      <c r="Q313">
        <v>11</v>
      </c>
      <c r="R313" t="s">
        <v>204</v>
      </c>
      <c r="S313" t="s">
        <v>214</v>
      </c>
      <c r="T313" t="s">
        <v>215</v>
      </c>
      <c r="U313" t="s">
        <v>216</v>
      </c>
      <c r="V313" t="s">
        <v>217</v>
      </c>
      <c r="W313" t="s">
        <v>192</v>
      </c>
      <c r="X313" t="s">
        <v>198</v>
      </c>
      <c r="Y313" t="s">
        <v>192</v>
      </c>
      <c r="AA313">
        <v>4</v>
      </c>
      <c r="AB313">
        <v>3</v>
      </c>
      <c r="AC313">
        <v>3</v>
      </c>
      <c r="AE313">
        <v>0</v>
      </c>
      <c r="AF313">
        <v>0</v>
      </c>
      <c r="AG313" t="s">
        <v>192</v>
      </c>
      <c r="AH313" t="s">
        <v>198</v>
      </c>
      <c r="AJ313" s="9">
        <v>2</v>
      </c>
      <c r="AK313" s="9">
        <v>41</v>
      </c>
      <c r="AL313" s="9">
        <v>0</v>
      </c>
      <c r="AM313" s="9">
        <v>43</v>
      </c>
      <c r="AN313" t="s">
        <v>575</v>
      </c>
    </row>
    <row r="314" spans="1:40" x14ac:dyDescent="0.2">
      <c r="A314" t="s">
        <v>185</v>
      </c>
      <c r="B314" t="s">
        <v>186</v>
      </c>
      <c r="C314">
        <v>53</v>
      </c>
      <c r="D314">
        <v>4645</v>
      </c>
      <c r="E314" t="s">
        <v>187</v>
      </c>
      <c r="F314">
        <v>1</v>
      </c>
      <c r="G314" t="s">
        <v>442</v>
      </c>
      <c r="H314" t="s">
        <v>189</v>
      </c>
      <c r="I314" t="s">
        <v>212</v>
      </c>
      <c r="J314">
        <v>8</v>
      </c>
      <c r="K314">
        <v>5</v>
      </c>
      <c r="L314">
        <v>2</v>
      </c>
      <c r="M314" t="s">
        <v>191</v>
      </c>
      <c r="O314" t="s">
        <v>192</v>
      </c>
      <c r="P314">
        <v>27</v>
      </c>
      <c r="Q314">
        <v>10</v>
      </c>
      <c r="R314" t="s">
        <v>213</v>
      </c>
      <c r="S314" t="s">
        <v>214</v>
      </c>
      <c r="T314" t="s">
        <v>215</v>
      </c>
      <c r="U314" t="s">
        <v>216</v>
      </c>
      <c r="V314" t="s">
        <v>217</v>
      </c>
      <c r="W314" t="s">
        <v>229</v>
      </c>
      <c r="X314" t="s">
        <v>198</v>
      </c>
      <c r="Y314" t="s">
        <v>192</v>
      </c>
      <c r="AA314">
        <v>3</v>
      </c>
      <c r="AB314">
        <v>2</v>
      </c>
      <c r="AC314">
        <v>4</v>
      </c>
      <c r="AD314" t="s">
        <v>218</v>
      </c>
      <c r="AE314">
        <v>0</v>
      </c>
      <c r="AF314">
        <v>0</v>
      </c>
      <c r="AG314" t="s">
        <v>192</v>
      </c>
      <c r="AH314" t="s">
        <v>189</v>
      </c>
      <c r="AJ314" s="9">
        <v>5</v>
      </c>
      <c r="AK314" s="9">
        <v>27</v>
      </c>
      <c r="AL314" s="9">
        <v>0</v>
      </c>
      <c r="AM314" s="9">
        <v>32</v>
      </c>
      <c r="AN314" t="s">
        <v>576</v>
      </c>
    </row>
    <row r="315" spans="1:40" x14ac:dyDescent="0.2">
      <c r="A315" t="s">
        <v>185</v>
      </c>
      <c r="B315" t="s">
        <v>186</v>
      </c>
      <c r="C315">
        <v>53</v>
      </c>
      <c r="D315">
        <v>3067</v>
      </c>
      <c r="E315" t="s">
        <v>187</v>
      </c>
      <c r="F315">
        <v>2</v>
      </c>
      <c r="G315" t="s">
        <v>444</v>
      </c>
      <c r="H315" t="s">
        <v>189</v>
      </c>
      <c r="I315" t="s">
        <v>212</v>
      </c>
      <c r="J315">
        <v>8</v>
      </c>
      <c r="K315">
        <v>4</v>
      </c>
      <c r="L315">
        <v>1</v>
      </c>
      <c r="M315" t="s">
        <v>191</v>
      </c>
      <c r="O315" t="s">
        <v>192</v>
      </c>
      <c r="P315">
        <v>34</v>
      </c>
      <c r="Q315">
        <v>6</v>
      </c>
      <c r="R315" t="s">
        <v>204</v>
      </c>
      <c r="S315" t="s">
        <v>214</v>
      </c>
      <c r="T315" t="s">
        <v>237</v>
      </c>
      <c r="U315" t="s">
        <v>216</v>
      </c>
      <c r="V315" t="s">
        <v>217</v>
      </c>
      <c r="W315" t="s">
        <v>192</v>
      </c>
      <c r="X315" t="s">
        <v>198</v>
      </c>
      <c r="Y315" t="s">
        <v>192</v>
      </c>
      <c r="AA315">
        <v>3</v>
      </c>
      <c r="AB315">
        <v>3</v>
      </c>
      <c r="AC315">
        <v>4</v>
      </c>
      <c r="AE315">
        <v>0</v>
      </c>
      <c r="AF315">
        <v>0</v>
      </c>
      <c r="AG315" t="s">
        <v>192</v>
      </c>
      <c r="AH315" t="s">
        <v>199</v>
      </c>
      <c r="AJ315" s="9">
        <v>4</v>
      </c>
      <c r="AK315" s="9">
        <v>34</v>
      </c>
      <c r="AL315" s="9">
        <v>0</v>
      </c>
      <c r="AM315" s="9">
        <v>38</v>
      </c>
      <c r="AN315" t="s">
        <v>577</v>
      </c>
    </row>
    <row r="316" spans="1:40" x14ac:dyDescent="0.2">
      <c r="A316" t="s">
        <v>185</v>
      </c>
      <c r="B316" t="s">
        <v>186</v>
      </c>
      <c r="C316">
        <v>53</v>
      </c>
      <c r="D316">
        <v>8020</v>
      </c>
      <c r="E316" t="s">
        <v>187</v>
      </c>
      <c r="F316">
        <v>3</v>
      </c>
      <c r="G316" t="s">
        <v>446</v>
      </c>
      <c r="H316" t="s">
        <v>189</v>
      </c>
      <c r="I316" t="s">
        <v>190</v>
      </c>
      <c r="J316">
        <v>8</v>
      </c>
      <c r="K316">
        <v>16</v>
      </c>
      <c r="L316">
        <v>2</v>
      </c>
      <c r="M316" t="s">
        <v>233</v>
      </c>
      <c r="N316" t="s">
        <v>225</v>
      </c>
      <c r="O316" t="s">
        <v>192</v>
      </c>
      <c r="P316">
        <v>67</v>
      </c>
      <c r="Q316">
        <v>8</v>
      </c>
      <c r="R316" t="s">
        <v>204</v>
      </c>
      <c r="S316" t="s">
        <v>205</v>
      </c>
      <c r="T316" t="s">
        <v>206</v>
      </c>
      <c r="U316" t="s">
        <v>207</v>
      </c>
      <c r="V316" t="s">
        <v>208</v>
      </c>
      <c r="W316" t="s">
        <v>192</v>
      </c>
      <c r="X316" t="s">
        <v>198</v>
      </c>
      <c r="Y316" t="s">
        <v>192</v>
      </c>
      <c r="AA316">
        <v>4</v>
      </c>
      <c r="AB316">
        <v>5</v>
      </c>
      <c r="AC316">
        <v>4</v>
      </c>
      <c r="AE316">
        <v>0</v>
      </c>
      <c r="AF316">
        <v>0</v>
      </c>
      <c r="AG316" t="s">
        <v>192</v>
      </c>
      <c r="AH316" t="s">
        <v>189</v>
      </c>
      <c r="AI316" t="s">
        <v>234</v>
      </c>
      <c r="AJ316" s="9">
        <v>16</v>
      </c>
      <c r="AK316" s="9">
        <v>67</v>
      </c>
      <c r="AL316" s="9">
        <v>0</v>
      </c>
      <c r="AM316" s="9">
        <v>83</v>
      </c>
      <c r="AN316" t="s">
        <v>578</v>
      </c>
    </row>
    <row r="317" spans="1:40" x14ac:dyDescent="0.2">
      <c r="A317" t="s">
        <v>185</v>
      </c>
      <c r="B317" t="s">
        <v>186</v>
      </c>
      <c r="C317">
        <v>53</v>
      </c>
      <c r="D317">
        <v>4096</v>
      </c>
      <c r="E317" t="s">
        <v>220</v>
      </c>
      <c r="F317">
        <v>1</v>
      </c>
      <c r="G317" t="s">
        <v>448</v>
      </c>
      <c r="H317" t="s">
        <v>189</v>
      </c>
      <c r="I317" t="s">
        <v>190</v>
      </c>
      <c r="J317">
        <v>8</v>
      </c>
      <c r="K317">
        <v>17</v>
      </c>
      <c r="L317">
        <v>2</v>
      </c>
      <c r="M317" t="s">
        <v>233</v>
      </c>
      <c r="N317" t="s">
        <v>239</v>
      </c>
      <c r="O317" t="s">
        <v>192</v>
      </c>
      <c r="P317">
        <v>100</v>
      </c>
      <c r="Q317">
        <v>13</v>
      </c>
      <c r="R317" t="s">
        <v>204</v>
      </c>
      <c r="S317" t="s">
        <v>214</v>
      </c>
      <c r="T317" t="s">
        <v>206</v>
      </c>
      <c r="U317" t="s">
        <v>207</v>
      </c>
      <c r="V317" t="s">
        <v>217</v>
      </c>
      <c r="W317" t="s">
        <v>192</v>
      </c>
      <c r="X317" t="s">
        <v>198</v>
      </c>
      <c r="Y317" t="s">
        <v>192</v>
      </c>
      <c r="AA317">
        <v>3</v>
      </c>
      <c r="AB317">
        <v>5</v>
      </c>
      <c r="AC317">
        <v>4</v>
      </c>
      <c r="AE317">
        <v>0</v>
      </c>
      <c r="AF317">
        <v>0</v>
      </c>
      <c r="AG317" t="s">
        <v>192</v>
      </c>
      <c r="AH317" t="s">
        <v>199</v>
      </c>
      <c r="AI317" t="s">
        <v>279</v>
      </c>
      <c r="AJ317" s="9">
        <v>17</v>
      </c>
      <c r="AK317" s="9">
        <v>100</v>
      </c>
      <c r="AL317" s="9">
        <v>0</v>
      </c>
      <c r="AM317" s="9">
        <v>117</v>
      </c>
      <c r="AN317" t="s">
        <v>579</v>
      </c>
    </row>
    <row r="318" spans="1:40" x14ac:dyDescent="0.2">
      <c r="A318" t="s">
        <v>185</v>
      </c>
      <c r="B318" t="s">
        <v>186</v>
      </c>
      <c r="C318">
        <v>53</v>
      </c>
      <c r="D318">
        <v>8719</v>
      </c>
      <c r="E318" t="s">
        <v>220</v>
      </c>
      <c r="F318">
        <v>2</v>
      </c>
      <c r="G318" t="s">
        <v>450</v>
      </c>
      <c r="H318" t="s">
        <v>189</v>
      </c>
      <c r="I318" t="s">
        <v>190</v>
      </c>
      <c r="J318">
        <v>5</v>
      </c>
      <c r="K318">
        <v>8</v>
      </c>
      <c r="L318">
        <v>6</v>
      </c>
      <c r="M318" t="s">
        <v>233</v>
      </c>
      <c r="N318" t="s">
        <v>225</v>
      </c>
      <c r="O318" t="s">
        <v>192</v>
      </c>
      <c r="P318">
        <v>11</v>
      </c>
      <c r="Q318">
        <v>9</v>
      </c>
      <c r="R318" t="s">
        <v>193</v>
      </c>
      <c r="S318" t="s">
        <v>194</v>
      </c>
      <c r="U318" t="s">
        <v>250</v>
      </c>
      <c r="V318" t="s">
        <v>196</v>
      </c>
      <c r="W318" t="s">
        <v>197</v>
      </c>
      <c r="X318" t="s">
        <v>198</v>
      </c>
      <c r="Y318" t="s">
        <v>192</v>
      </c>
      <c r="AA318">
        <v>2</v>
      </c>
      <c r="AB318">
        <v>2</v>
      </c>
      <c r="AC318">
        <v>3</v>
      </c>
      <c r="AE318">
        <v>0</v>
      </c>
      <c r="AF318">
        <v>0</v>
      </c>
      <c r="AG318" t="s">
        <v>192</v>
      </c>
      <c r="AH318" t="s">
        <v>198</v>
      </c>
      <c r="AI318" t="s">
        <v>260</v>
      </c>
      <c r="AJ318" s="9">
        <v>8</v>
      </c>
      <c r="AK318" s="9">
        <v>11</v>
      </c>
      <c r="AL318" s="9">
        <v>0</v>
      </c>
      <c r="AM318" s="9">
        <v>19</v>
      </c>
      <c r="AN318" t="s">
        <v>580</v>
      </c>
    </row>
    <row r="319" spans="1:40" x14ac:dyDescent="0.2">
      <c r="A319" t="s">
        <v>185</v>
      </c>
      <c r="B319" t="s">
        <v>186</v>
      </c>
      <c r="C319">
        <v>53</v>
      </c>
      <c r="D319">
        <v>3284</v>
      </c>
      <c r="E319" t="s">
        <v>220</v>
      </c>
      <c r="F319">
        <v>3</v>
      </c>
      <c r="G319" t="s">
        <v>451</v>
      </c>
      <c r="H319" t="s">
        <v>189</v>
      </c>
      <c r="I319" t="s">
        <v>203</v>
      </c>
      <c r="J319">
        <v>8</v>
      </c>
      <c r="K319">
        <v>15</v>
      </c>
      <c r="L319">
        <v>6</v>
      </c>
      <c r="M319" t="s">
        <v>224</v>
      </c>
      <c r="N319" t="s">
        <v>239</v>
      </c>
      <c r="O319" t="s">
        <v>192</v>
      </c>
      <c r="P319">
        <v>31</v>
      </c>
      <c r="Q319">
        <v>13</v>
      </c>
      <c r="R319" t="s">
        <v>193</v>
      </c>
      <c r="S319" t="s">
        <v>194</v>
      </c>
      <c r="U319" t="s">
        <v>195</v>
      </c>
      <c r="V319" t="s">
        <v>196</v>
      </c>
      <c r="W319" t="s">
        <v>197</v>
      </c>
      <c r="X319" t="s">
        <v>198</v>
      </c>
      <c r="Y319" t="s">
        <v>192</v>
      </c>
      <c r="AA319">
        <v>1</v>
      </c>
      <c r="AB319">
        <v>2</v>
      </c>
      <c r="AC319">
        <v>4</v>
      </c>
      <c r="AE319">
        <v>1</v>
      </c>
      <c r="AF319">
        <v>0</v>
      </c>
      <c r="AG319" t="s">
        <v>192</v>
      </c>
      <c r="AH319" t="s">
        <v>198</v>
      </c>
      <c r="AI319" t="s">
        <v>260</v>
      </c>
      <c r="AJ319" s="9">
        <v>15</v>
      </c>
      <c r="AK319" s="9">
        <v>31</v>
      </c>
      <c r="AL319" s="9">
        <v>0</v>
      </c>
      <c r="AM319" s="9">
        <v>46</v>
      </c>
      <c r="AN319" t="s">
        <v>581</v>
      </c>
    </row>
    <row r="320" spans="1:40" x14ac:dyDescent="0.2">
      <c r="A320" t="s">
        <v>185</v>
      </c>
      <c r="B320" t="s">
        <v>186</v>
      </c>
      <c r="C320">
        <v>54</v>
      </c>
      <c r="D320">
        <v>3488</v>
      </c>
      <c r="E320" t="s">
        <v>187</v>
      </c>
      <c r="F320">
        <v>1</v>
      </c>
      <c r="G320" t="s">
        <v>442</v>
      </c>
      <c r="H320" t="s">
        <v>189</v>
      </c>
      <c r="I320" t="s">
        <v>203</v>
      </c>
      <c r="J320">
        <v>8</v>
      </c>
      <c r="K320">
        <v>1</v>
      </c>
      <c r="L320">
        <v>0</v>
      </c>
      <c r="M320" t="s">
        <v>191</v>
      </c>
      <c r="O320" t="s">
        <v>192</v>
      </c>
      <c r="P320">
        <v>24</v>
      </c>
      <c r="Q320">
        <v>9</v>
      </c>
      <c r="R320" t="s">
        <v>213</v>
      </c>
      <c r="S320" t="s">
        <v>194</v>
      </c>
      <c r="T320" t="s">
        <v>237</v>
      </c>
      <c r="U320" t="s">
        <v>216</v>
      </c>
      <c r="V320" t="s">
        <v>246</v>
      </c>
      <c r="W320" t="s">
        <v>229</v>
      </c>
      <c r="X320" t="s">
        <v>198</v>
      </c>
      <c r="Y320" t="s">
        <v>192</v>
      </c>
      <c r="AA320">
        <v>2</v>
      </c>
      <c r="AB320">
        <v>2</v>
      </c>
      <c r="AC320">
        <v>4</v>
      </c>
      <c r="AE320">
        <v>0</v>
      </c>
      <c r="AF320">
        <v>0</v>
      </c>
      <c r="AG320" t="s">
        <v>192</v>
      </c>
      <c r="AH320" t="s">
        <v>198</v>
      </c>
      <c r="AJ320" s="9">
        <v>1</v>
      </c>
      <c r="AK320" s="9">
        <v>24</v>
      </c>
      <c r="AL320" s="9">
        <v>0</v>
      </c>
      <c r="AM320" s="9">
        <v>25</v>
      </c>
      <c r="AN320" t="s">
        <v>582</v>
      </c>
    </row>
    <row r="321" spans="1:40" x14ac:dyDescent="0.2">
      <c r="A321" t="s">
        <v>185</v>
      </c>
      <c r="B321" t="s">
        <v>186</v>
      </c>
      <c r="C321">
        <v>54</v>
      </c>
      <c r="D321">
        <v>8096</v>
      </c>
      <c r="E321" t="s">
        <v>187</v>
      </c>
      <c r="F321">
        <v>2</v>
      </c>
      <c r="G321" t="s">
        <v>444</v>
      </c>
      <c r="H321" t="s">
        <v>189</v>
      </c>
      <c r="I321" t="s">
        <v>203</v>
      </c>
      <c r="J321">
        <v>8</v>
      </c>
      <c r="K321">
        <v>12</v>
      </c>
      <c r="L321">
        <v>5</v>
      </c>
      <c r="M321" t="s">
        <v>233</v>
      </c>
      <c r="N321" t="s">
        <v>225</v>
      </c>
      <c r="O321" t="s">
        <v>192</v>
      </c>
      <c r="P321">
        <v>43</v>
      </c>
      <c r="Q321">
        <v>19</v>
      </c>
      <c r="R321" t="s">
        <v>213</v>
      </c>
      <c r="S321" t="s">
        <v>214</v>
      </c>
      <c r="T321" t="s">
        <v>215</v>
      </c>
      <c r="U321" t="s">
        <v>216</v>
      </c>
      <c r="V321" t="s">
        <v>246</v>
      </c>
      <c r="W321" t="s">
        <v>192</v>
      </c>
      <c r="X321" t="s">
        <v>198</v>
      </c>
      <c r="Y321" t="s">
        <v>192</v>
      </c>
      <c r="AA321">
        <v>3</v>
      </c>
      <c r="AB321">
        <v>3</v>
      </c>
      <c r="AC321">
        <v>5</v>
      </c>
      <c r="AE321">
        <v>0</v>
      </c>
      <c r="AF321">
        <v>0</v>
      </c>
      <c r="AG321" t="s">
        <v>192</v>
      </c>
      <c r="AH321" t="s">
        <v>199</v>
      </c>
      <c r="AJ321" s="9">
        <v>12</v>
      </c>
      <c r="AK321" s="9">
        <v>43</v>
      </c>
      <c r="AL321" s="9">
        <v>0</v>
      </c>
      <c r="AM321" s="9">
        <v>55</v>
      </c>
      <c r="AN321" t="s">
        <v>583</v>
      </c>
    </row>
    <row r="322" spans="1:40" x14ac:dyDescent="0.2">
      <c r="A322" t="s">
        <v>185</v>
      </c>
      <c r="B322" t="s">
        <v>186</v>
      </c>
      <c r="C322">
        <v>54</v>
      </c>
      <c r="D322">
        <v>4156</v>
      </c>
      <c r="E322" t="s">
        <v>187</v>
      </c>
      <c r="F322">
        <v>3</v>
      </c>
      <c r="G322" t="s">
        <v>446</v>
      </c>
      <c r="H322" t="s">
        <v>189</v>
      </c>
      <c r="I322" t="s">
        <v>190</v>
      </c>
      <c r="J322">
        <v>8</v>
      </c>
      <c r="K322">
        <v>5</v>
      </c>
      <c r="L322">
        <v>3</v>
      </c>
      <c r="M322" t="s">
        <v>191</v>
      </c>
      <c r="O322" t="s">
        <v>192</v>
      </c>
      <c r="P322">
        <v>4</v>
      </c>
      <c r="Q322">
        <v>2</v>
      </c>
      <c r="R322" t="s">
        <v>193</v>
      </c>
      <c r="S322" t="s">
        <v>194</v>
      </c>
      <c r="U322" t="s">
        <v>195</v>
      </c>
      <c r="V322" t="s">
        <v>196</v>
      </c>
      <c r="W322" t="s">
        <v>192</v>
      </c>
      <c r="X322" t="s">
        <v>198</v>
      </c>
      <c r="Y322" t="s">
        <v>192</v>
      </c>
      <c r="AA322">
        <v>1</v>
      </c>
      <c r="AB322">
        <v>1</v>
      </c>
      <c r="AC322">
        <v>2</v>
      </c>
      <c r="AE322">
        <v>0</v>
      </c>
      <c r="AF322">
        <v>0</v>
      </c>
      <c r="AG322" t="s">
        <v>192</v>
      </c>
      <c r="AH322" t="s">
        <v>198</v>
      </c>
      <c r="AI322" t="s">
        <v>244</v>
      </c>
      <c r="AJ322" s="9">
        <v>5</v>
      </c>
      <c r="AK322" s="9">
        <v>4</v>
      </c>
      <c r="AL322" s="9">
        <v>0</v>
      </c>
      <c r="AM322" s="9">
        <v>9</v>
      </c>
      <c r="AN322" t="s">
        <v>584</v>
      </c>
    </row>
    <row r="323" spans="1:40" x14ac:dyDescent="0.2">
      <c r="A323" t="s">
        <v>185</v>
      </c>
      <c r="B323" t="s">
        <v>186</v>
      </c>
      <c r="C323">
        <v>54</v>
      </c>
      <c r="D323">
        <v>1756</v>
      </c>
      <c r="E323" t="s">
        <v>220</v>
      </c>
      <c r="F323">
        <v>1</v>
      </c>
      <c r="G323" t="s">
        <v>448</v>
      </c>
      <c r="H323" t="s">
        <v>189</v>
      </c>
      <c r="I323" t="s">
        <v>190</v>
      </c>
      <c r="J323">
        <v>8</v>
      </c>
      <c r="K323">
        <v>16</v>
      </c>
      <c r="L323">
        <v>2</v>
      </c>
      <c r="M323" t="s">
        <v>233</v>
      </c>
      <c r="N323" t="s">
        <v>239</v>
      </c>
      <c r="O323" t="s">
        <v>192</v>
      </c>
      <c r="P323">
        <v>125</v>
      </c>
      <c r="Q323">
        <v>12</v>
      </c>
      <c r="R323" t="s">
        <v>204</v>
      </c>
      <c r="S323" t="s">
        <v>205</v>
      </c>
      <c r="T323" t="s">
        <v>206</v>
      </c>
      <c r="U323" t="s">
        <v>207</v>
      </c>
      <c r="V323" t="s">
        <v>208</v>
      </c>
      <c r="W323" t="s">
        <v>192</v>
      </c>
      <c r="X323" t="s">
        <v>198</v>
      </c>
      <c r="Y323" t="s">
        <v>192</v>
      </c>
      <c r="AA323">
        <v>5</v>
      </c>
      <c r="AB323">
        <v>5</v>
      </c>
      <c r="AC323">
        <v>4</v>
      </c>
      <c r="AE323">
        <v>1</v>
      </c>
      <c r="AF323">
        <v>0</v>
      </c>
      <c r="AG323" t="s">
        <v>192</v>
      </c>
      <c r="AH323" t="s">
        <v>189</v>
      </c>
      <c r="AI323" t="s">
        <v>277</v>
      </c>
      <c r="AJ323" s="9">
        <v>16</v>
      </c>
      <c r="AK323" s="9">
        <v>125</v>
      </c>
      <c r="AL323" s="9">
        <v>0</v>
      </c>
      <c r="AM323" s="9">
        <v>141</v>
      </c>
      <c r="AN323" t="s">
        <v>585</v>
      </c>
    </row>
    <row r="324" spans="1:40" x14ac:dyDescent="0.2">
      <c r="A324" t="s">
        <v>185</v>
      </c>
      <c r="B324" t="s">
        <v>186</v>
      </c>
      <c r="C324">
        <v>54</v>
      </c>
      <c r="D324">
        <v>2022</v>
      </c>
      <c r="E324" t="s">
        <v>220</v>
      </c>
      <c r="F324">
        <v>2</v>
      </c>
      <c r="G324" t="s">
        <v>450</v>
      </c>
      <c r="H324" t="s">
        <v>189</v>
      </c>
      <c r="I324" t="s">
        <v>190</v>
      </c>
      <c r="J324">
        <v>8</v>
      </c>
      <c r="K324">
        <v>2</v>
      </c>
      <c r="L324">
        <v>1</v>
      </c>
      <c r="M324" t="s">
        <v>191</v>
      </c>
      <c r="O324" t="s">
        <v>192</v>
      </c>
      <c r="P324">
        <v>31</v>
      </c>
      <c r="Q324">
        <v>8</v>
      </c>
      <c r="R324" t="s">
        <v>213</v>
      </c>
      <c r="S324" t="s">
        <v>214</v>
      </c>
      <c r="T324" t="s">
        <v>215</v>
      </c>
      <c r="U324" t="s">
        <v>216</v>
      </c>
      <c r="V324" t="s">
        <v>217</v>
      </c>
      <c r="W324" t="s">
        <v>192</v>
      </c>
      <c r="X324" t="s">
        <v>198</v>
      </c>
      <c r="Y324" t="s">
        <v>192</v>
      </c>
      <c r="AA324">
        <v>3</v>
      </c>
      <c r="AB324">
        <v>2</v>
      </c>
      <c r="AC324">
        <v>4</v>
      </c>
      <c r="AE324">
        <v>0</v>
      </c>
      <c r="AF324">
        <v>0</v>
      </c>
      <c r="AG324" t="s">
        <v>192</v>
      </c>
      <c r="AH324" t="s">
        <v>199</v>
      </c>
      <c r="AJ324" s="9">
        <v>2</v>
      </c>
      <c r="AK324" s="9">
        <v>31</v>
      </c>
      <c r="AL324" s="9">
        <v>0</v>
      </c>
      <c r="AM324" s="9">
        <v>33</v>
      </c>
      <c r="AN324" t="s">
        <v>586</v>
      </c>
    </row>
    <row r="325" spans="1:40" x14ac:dyDescent="0.2">
      <c r="A325" t="s">
        <v>185</v>
      </c>
      <c r="B325" t="s">
        <v>186</v>
      </c>
      <c r="C325">
        <v>54</v>
      </c>
      <c r="D325">
        <v>1625</v>
      </c>
      <c r="E325" t="s">
        <v>220</v>
      </c>
      <c r="F325">
        <v>3</v>
      </c>
      <c r="G325" t="s">
        <v>451</v>
      </c>
      <c r="H325" t="s">
        <v>189</v>
      </c>
      <c r="I325" t="s">
        <v>212</v>
      </c>
      <c r="J325">
        <v>8</v>
      </c>
      <c r="K325">
        <v>37</v>
      </c>
      <c r="L325">
        <v>9</v>
      </c>
      <c r="M325" t="s">
        <v>233</v>
      </c>
      <c r="N325" t="s">
        <v>239</v>
      </c>
      <c r="O325" t="s">
        <v>192</v>
      </c>
      <c r="P325">
        <v>100</v>
      </c>
      <c r="Q325">
        <v>24</v>
      </c>
      <c r="R325" t="s">
        <v>204</v>
      </c>
      <c r="S325" t="s">
        <v>205</v>
      </c>
      <c r="T325" t="s">
        <v>206</v>
      </c>
      <c r="U325" t="s">
        <v>207</v>
      </c>
      <c r="V325" t="s">
        <v>208</v>
      </c>
      <c r="W325" t="s">
        <v>192</v>
      </c>
      <c r="X325" t="s">
        <v>198</v>
      </c>
      <c r="Y325" t="s">
        <v>192</v>
      </c>
      <c r="AA325">
        <v>4</v>
      </c>
      <c r="AB325">
        <v>4</v>
      </c>
      <c r="AC325">
        <v>4</v>
      </c>
      <c r="AE325">
        <v>1</v>
      </c>
      <c r="AF325">
        <v>0</v>
      </c>
      <c r="AG325" t="s">
        <v>192</v>
      </c>
      <c r="AH325" t="s">
        <v>189</v>
      </c>
      <c r="AI325" t="s">
        <v>277</v>
      </c>
      <c r="AJ325" s="9">
        <v>37</v>
      </c>
      <c r="AK325" s="9">
        <v>100</v>
      </c>
      <c r="AL325" s="9">
        <v>0</v>
      </c>
      <c r="AM325" s="9">
        <v>137</v>
      </c>
      <c r="AN325" t="s">
        <v>587</v>
      </c>
    </row>
    <row r="326" spans="1:40" x14ac:dyDescent="0.2">
      <c r="A326" t="s">
        <v>185</v>
      </c>
      <c r="B326" t="s">
        <v>186</v>
      </c>
      <c r="C326">
        <v>55</v>
      </c>
      <c r="D326">
        <v>6237</v>
      </c>
      <c r="E326" t="s">
        <v>187</v>
      </c>
      <c r="F326">
        <v>1</v>
      </c>
      <c r="G326" t="s">
        <v>442</v>
      </c>
      <c r="H326" t="s">
        <v>189</v>
      </c>
      <c r="I326" t="s">
        <v>203</v>
      </c>
      <c r="J326">
        <v>8</v>
      </c>
      <c r="K326">
        <v>8</v>
      </c>
      <c r="L326">
        <v>2</v>
      </c>
      <c r="M326" t="s">
        <v>191</v>
      </c>
      <c r="O326" t="s">
        <v>192</v>
      </c>
      <c r="P326">
        <v>47</v>
      </c>
      <c r="Q326">
        <v>12</v>
      </c>
      <c r="R326" t="s">
        <v>204</v>
      </c>
      <c r="S326" t="s">
        <v>205</v>
      </c>
      <c r="T326" t="s">
        <v>206</v>
      </c>
      <c r="U326" t="s">
        <v>207</v>
      </c>
      <c r="V326" t="s">
        <v>208</v>
      </c>
      <c r="W326" t="s">
        <v>229</v>
      </c>
      <c r="X326" t="s">
        <v>229</v>
      </c>
      <c r="Y326" t="s">
        <v>192</v>
      </c>
      <c r="AA326">
        <v>5</v>
      </c>
      <c r="AB326">
        <v>3</v>
      </c>
      <c r="AC326">
        <v>4</v>
      </c>
      <c r="AE326">
        <v>1</v>
      </c>
      <c r="AF326">
        <v>2</v>
      </c>
      <c r="AG326" t="s">
        <v>192</v>
      </c>
      <c r="AH326" t="s">
        <v>189</v>
      </c>
      <c r="AI326" t="s">
        <v>209</v>
      </c>
      <c r="AJ326" s="9">
        <v>8</v>
      </c>
      <c r="AK326" s="9">
        <v>47</v>
      </c>
      <c r="AL326" s="9">
        <v>0</v>
      </c>
      <c r="AM326" s="9">
        <v>55</v>
      </c>
      <c r="AN326" t="s">
        <v>588</v>
      </c>
    </row>
    <row r="327" spans="1:40" x14ac:dyDescent="0.2">
      <c r="A327" t="s">
        <v>185</v>
      </c>
      <c r="B327" t="s">
        <v>186</v>
      </c>
      <c r="C327">
        <v>55</v>
      </c>
      <c r="D327">
        <v>1736</v>
      </c>
      <c r="E327" t="s">
        <v>187</v>
      </c>
      <c r="F327">
        <v>2</v>
      </c>
      <c r="G327" t="s">
        <v>444</v>
      </c>
      <c r="H327" t="s">
        <v>189</v>
      </c>
      <c r="I327" t="s">
        <v>203</v>
      </c>
      <c r="J327">
        <v>5</v>
      </c>
      <c r="K327">
        <v>6</v>
      </c>
      <c r="L327">
        <v>4</v>
      </c>
      <c r="M327" t="s">
        <v>233</v>
      </c>
      <c r="N327" t="s">
        <v>239</v>
      </c>
      <c r="O327" t="s">
        <v>192</v>
      </c>
      <c r="P327">
        <v>21</v>
      </c>
      <c r="Q327">
        <v>12</v>
      </c>
      <c r="R327" t="s">
        <v>213</v>
      </c>
      <c r="S327" t="s">
        <v>194</v>
      </c>
      <c r="T327" t="s">
        <v>215</v>
      </c>
      <c r="U327" t="s">
        <v>216</v>
      </c>
      <c r="V327" t="s">
        <v>246</v>
      </c>
      <c r="W327" t="s">
        <v>192</v>
      </c>
      <c r="X327" t="s">
        <v>198</v>
      </c>
      <c r="Y327" t="s">
        <v>192</v>
      </c>
      <c r="AA327">
        <v>3</v>
      </c>
      <c r="AB327">
        <v>2</v>
      </c>
      <c r="AC327">
        <v>3</v>
      </c>
      <c r="AE327">
        <v>0</v>
      </c>
      <c r="AF327">
        <v>0</v>
      </c>
      <c r="AG327" t="s">
        <v>192</v>
      </c>
      <c r="AH327" t="s">
        <v>199</v>
      </c>
      <c r="AJ327" s="9">
        <v>6</v>
      </c>
      <c r="AK327" s="9">
        <v>21</v>
      </c>
      <c r="AL327" s="9">
        <v>0</v>
      </c>
      <c r="AM327" s="9">
        <v>27</v>
      </c>
      <c r="AN327" t="s">
        <v>589</v>
      </c>
    </row>
    <row r="328" spans="1:40" x14ac:dyDescent="0.2">
      <c r="A328" t="s">
        <v>185</v>
      </c>
      <c r="B328" t="s">
        <v>186</v>
      </c>
      <c r="C328">
        <v>55</v>
      </c>
      <c r="D328">
        <v>8029</v>
      </c>
      <c r="E328" t="s">
        <v>187</v>
      </c>
      <c r="F328">
        <v>3</v>
      </c>
      <c r="G328" t="s">
        <v>446</v>
      </c>
      <c r="H328" t="s">
        <v>189</v>
      </c>
      <c r="I328" t="s">
        <v>190</v>
      </c>
      <c r="J328">
        <v>5</v>
      </c>
      <c r="K328">
        <v>16</v>
      </c>
      <c r="L328">
        <v>17</v>
      </c>
      <c r="M328" t="s">
        <v>224</v>
      </c>
      <c r="N328" t="s">
        <v>239</v>
      </c>
      <c r="O328" t="s">
        <v>192</v>
      </c>
      <c r="P328">
        <v>6</v>
      </c>
      <c r="Q328">
        <v>6</v>
      </c>
      <c r="R328" t="s">
        <v>193</v>
      </c>
      <c r="S328" t="s">
        <v>194</v>
      </c>
      <c r="U328" t="s">
        <v>262</v>
      </c>
      <c r="V328" t="s">
        <v>196</v>
      </c>
      <c r="W328" t="s">
        <v>229</v>
      </c>
      <c r="X328" t="s">
        <v>198</v>
      </c>
      <c r="Y328" t="s">
        <v>192</v>
      </c>
      <c r="AA328">
        <v>2</v>
      </c>
      <c r="AB328">
        <v>2</v>
      </c>
      <c r="AC328">
        <v>2</v>
      </c>
      <c r="AE328">
        <v>0</v>
      </c>
      <c r="AF328">
        <v>0</v>
      </c>
      <c r="AG328" t="s">
        <v>192</v>
      </c>
      <c r="AH328" t="s">
        <v>198</v>
      </c>
      <c r="AI328" t="s">
        <v>244</v>
      </c>
      <c r="AJ328" s="9">
        <v>16</v>
      </c>
      <c r="AK328" s="9">
        <v>6</v>
      </c>
      <c r="AL328" s="9">
        <v>0</v>
      </c>
      <c r="AM328" s="9">
        <v>22</v>
      </c>
      <c r="AN328" t="s">
        <v>590</v>
      </c>
    </row>
    <row r="329" spans="1:40" x14ac:dyDescent="0.2">
      <c r="A329" t="s">
        <v>185</v>
      </c>
      <c r="B329" t="s">
        <v>186</v>
      </c>
      <c r="C329">
        <v>55</v>
      </c>
      <c r="D329">
        <v>648</v>
      </c>
      <c r="E329" t="s">
        <v>220</v>
      </c>
      <c r="F329">
        <v>1</v>
      </c>
      <c r="G329" t="s">
        <v>448</v>
      </c>
      <c r="H329" t="s">
        <v>189</v>
      </c>
      <c r="I329" t="s">
        <v>190</v>
      </c>
      <c r="J329">
        <v>8</v>
      </c>
      <c r="K329">
        <v>9</v>
      </c>
      <c r="L329">
        <v>4</v>
      </c>
      <c r="M329" t="s">
        <v>224</v>
      </c>
      <c r="N329" t="s">
        <v>225</v>
      </c>
      <c r="O329" t="s">
        <v>192</v>
      </c>
      <c r="P329">
        <v>13</v>
      </c>
      <c r="Q329">
        <v>5</v>
      </c>
      <c r="R329" t="s">
        <v>213</v>
      </c>
      <c r="S329" t="s">
        <v>194</v>
      </c>
      <c r="U329" t="s">
        <v>250</v>
      </c>
      <c r="V329" t="s">
        <v>246</v>
      </c>
      <c r="W329" t="s">
        <v>229</v>
      </c>
      <c r="X329" t="s">
        <v>198</v>
      </c>
      <c r="Y329" t="s">
        <v>192</v>
      </c>
      <c r="AA329">
        <v>2</v>
      </c>
      <c r="AB329">
        <v>1</v>
      </c>
      <c r="AC329">
        <v>3</v>
      </c>
      <c r="AE329">
        <v>0</v>
      </c>
      <c r="AF329">
        <v>0</v>
      </c>
      <c r="AG329" t="s">
        <v>192</v>
      </c>
      <c r="AH329" t="s">
        <v>199</v>
      </c>
      <c r="AJ329" s="9">
        <v>9</v>
      </c>
      <c r="AK329" s="9">
        <v>13</v>
      </c>
      <c r="AL329" s="9">
        <v>0</v>
      </c>
      <c r="AM329" s="9">
        <v>22</v>
      </c>
      <c r="AN329" t="s">
        <v>591</v>
      </c>
    </row>
    <row r="330" spans="1:40" x14ac:dyDescent="0.2">
      <c r="A330" t="s">
        <v>185</v>
      </c>
      <c r="B330" t="s">
        <v>186</v>
      </c>
      <c r="C330">
        <v>55</v>
      </c>
      <c r="D330">
        <v>5442</v>
      </c>
      <c r="E330" t="s">
        <v>220</v>
      </c>
      <c r="F330">
        <v>2</v>
      </c>
      <c r="G330" t="s">
        <v>450</v>
      </c>
      <c r="H330" t="s">
        <v>189</v>
      </c>
      <c r="I330" t="s">
        <v>212</v>
      </c>
      <c r="J330">
        <v>8</v>
      </c>
      <c r="K330">
        <v>1</v>
      </c>
      <c r="L330">
        <v>0</v>
      </c>
      <c r="M330" t="s">
        <v>191</v>
      </c>
      <c r="O330" t="s">
        <v>192</v>
      </c>
      <c r="P330">
        <v>20</v>
      </c>
      <c r="Q330">
        <v>7</v>
      </c>
      <c r="R330" t="s">
        <v>213</v>
      </c>
      <c r="S330" t="s">
        <v>214</v>
      </c>
      <c r="T330" t="s">
        <v>215</v>
      </c>
      <c r="U330" t="s">
        <v>216</v>
      </c>
      <c r="V330" t="s">
        <v>246</v>
      </c>
      <c r="W330" t="s">
        <v>192</v>
      </c>
      <c r="X330" t="s">
        <v>198</v>
      </c>
      <c r="Y330" t="s">
        <v>192</v>
      </c>
      <c r="AA330">
        <v>3</v>
      </c>
      <c r="AB330">
        <v>3</v>
      </c>
      <c r="AC330">
        <v>3</v>
      </c>
      <c r="AE330">
        <v>0</v>
      </c>
      <c r="AF330">
        <v>0</v>
      </c>
      <c r="AG330" t="s">
        <v>192</v>
      </c>
      <c r="AH330" t="s">
        <v>199</v>
      </c>
      <c r="AJ330" s="9">
        <v>1</v>
      </c>
      <c r="AK330" s="9">
        <v>20</v>
      </c>
      <c r="AL330" s="9">
        <v>0</v>
      </c>
      <c r="AM330" s="9">
        <v>21</v>
      </c>
      <c r="AN330" t="s">
        <v>592</v>
      </c>
    </row>
    <row r="331" spans="1:40" x14ac:dyDescent="0.2">
      <c r="A331" t="s">
        <v>185</v>
      </c>
      <c r="B331" t="s">
        <v>186</v>
      </c>
      <c r="C331">
        <v>55</v>
      </c>
      <c r="D331">
        <v>4213</v>
      </c>
      <c r="E331" t="s">
        <v>220</v>
      </c>
      <c r="F331">
        <v>3</v>
      </c>
      <c r="G331" t="s">
        <v>451</v>
      </c>
      <c r="H331" t="s">
        <v>189</v>
      </c>
      <c r="I331" t="s">
        <v>212</v>
      </c>
      <c r="J331">
        <v>8</v>
      </c>
      <c r="K331">
        <v>4</v>
      </c>
      <c r="L331">
        <v>1</v>
      </c>
      <c r="M331" t="s">
        <v>191</v>
      </c>
      <c r="O331" t="s">
        <v>192</v>
      </c>
      <c r="P331">
        <v>30</v>
      </c>
      <c r="Q331">
        <v>7</v>
      </c>
      <c r="R331" t="s">
        <v>204</v>
      </c>
      <c r="S331" t="s">
        <v>214</v>
      </c>
      <c r="T331" t="s">
        <v>237</v>
      </c>
      <c r="U331" t="s">
        <v>216</v>
      </c>
      <c r="V331" t="s">
        <v>217</v>
      </c>
      <c r="W331" t="s">
        <v>192</v>
      </c>
      <c r="X331" t="s">
        <v>198</v>
      </c>
      <c r="Y331" t="s">
        <v>192</v>
      </c>
      <c r="AA331">
        <v>4</v>
      </c>
      <c r="AB331">
        <v>4</v>
      </c>
      <c r="AC331">
        <v>4</v>
      </c>
      <c r="AE331">
        <v>0</v>
      </c>
      <c r="AF331">
        <v>0</v>
      </c>
      <c r="AG331" t="s">
        <v>192</v>
      </c>
      <c r="AH331" t="s">
        <v>198</v>
      </c>
      <c r="AJ331" s="9">
        <v>4</v>
      </c>
      <c r="AK331" s="9">
        <v>30</v>
      </c>
      <c r="AL331" s="9">
        <v>0</v>
      </c>
      <c r="AM331" s="9">
        <v>34</v>
      </c>
      <c r="AN331" t="s">
        <v>588</v>
      </c>
    </row>
    <row r="332" spans="1:40" x14ac:dyDescent="0.2">
      <c r="A332" t="s">
        <v>185</v>
      </c>
      <c r="B332" t="s">
        <v>186</v>
      </c>
      <c r="C332">
        <v>56</v>
      </c>
      <c r="D332">
        <v>4787</v>
      </c>
      <c r="E332" t="s">
        <v>187</v>
      </c>
      <c r="F332">
        <v>1</v>
      </c>
      <c r="G332" t="s">
        <v>442</v>
      </c>
      <c r="H332" t="s">
        <v>189</v>
      </c>
      <c r="I332" t="s">
        <v>212</v>
      </c>
      <c r="J332">
        <v>7</v>
      </c>
      <c r="K332">
        <v>1</v>
      </c>
      <c r="L332">
        <v>1</v>
      </c>
      <c r="M332" t="s">
        <v>191</v>
      </c>
      <c r="O332" t="s">
        <v>192</v>
      </c>
      <c r="P332">
        <v>18</v>
      </c>
      <c r="Q332">
        <v>9</v>
      </c>
      <c r="R332" t="s">
        <v>213</v>
      </c>
      <c r="S332" t="s">
        <v>214</v>
      </c>
      <c r="T332" t="s">
        <v>215</v>
      </c>
      <c r="U332" t="s">
        <v>216</v>
      </c>
      <c r="V332" t="s">
        <v>246</v>
      </c>
      <c r="W332" t="s">
        <v>192</v>
      </c>
      <c r="X332" t="s">
        <v>198</v>
      </c>
      <c r="Y332" t="s">
        <v>192</v>
      </c>
      <c r="AA332">
        <v>2</v>
      </c>
      <c r="AB332">
        <v>4</v>
      </c>
      <c r="AC332">
        <v>2</v>
      </c>
      <c r="AD332" t="s">
        <v>292</v>
      </c>
      <c r="AE332">
        <v>0</v>
      </c>
      <c r="AF332">
        <v>0</v>
      </c>
      <c r="AG332" t="s">
        <v>192</v>
      </c>
      <c r="AH332" t="s">
        <v>199</v>
      </c>
      <c r="AJ332" s="9">
        <v>1</v>
      </c>
      <c r="AK332" s="9">
        <v>18</v>
      </c>
      <c r="AL332" s="9">
        <v>0</v>
      </c>
      <c r="AM332" s="9">
        <v>19</v>
      </c>
      <c r="AN332" t="s">
        <v>593</v>
      </c>
    </row>
    <row r="333" spans="1:40" x14ac:dyDescent="0.2">
      <c r="A333" t="s">
        <v>185</v>
      </c>
      <c r="B333" t="s">
        <v>186</v>
      </c>
      <c r="C333">
        <v>56</v>
      </c>
      <c r="D333">
        <v>4423</v>
      </c>
      <c r="E333" t="s">
        <v>187</v>
      </c>
      <c r="F333">
        <v>2</v>
      </c>
      <c r="G333" t="s">
        <v>444</v>
      </c>
      <c r="H333" t="s">
        <v>189</v>
      </c>
      <c r="I333" t="s">
        <v>203</v>
      </c>
      <c r="J333">
        <v>8</v>
      </c>
      <c r="K333">
        <v>1</v>
      </c>
      <c r="L333">
        <v>0</v>
      </c>
      <c r="M333" t="s">
        <v>191</v>
      </c>
      <c r="O333" t="s">
        <v>192</v>
      </c>
      <c r="P333">
        <v>73</v>
      </c>
      <c r="Q333">
        <v>15</v>
      </c>
      <c r="R333" t="s">
        <v>204</v>
      </c>
      <c r="S333" t="s">
        <v>214</v>
      </c>
      <c r="T333" t="s">
        <v>206</v>
      </c>
      <c r="U333" t="s">
        <v>207</v>
      </c>
      <c r="V333" t="s">
        <v>217</v>
      </c>
      <c r="W333" t="s">
        <v>192</v>
      </c>
      <c r="X333" t="s">
        <v>229</v>
      </c>
      <c r="Y333" t="s">
        <v>254</v>
      </c>
      <c r="Z333" t="s">
        <v>382</v>
      </c>
      <c r="AA333">
        <v>4</v>
      </c>
      <c r="AB333">
        <v>4</v>
      </c>
      <c r="AC333">
        <v>4</v>
      </c>
      <c r="AD333" t="s">
        <v>331</v>
      </c>
      <c r="AE333">
        <v>0</v>
      </c>
      <c r="AF333">
        <v>0</v>
      </c>
      <c r="AG333" t="s">
        <v>192</v>
      </c>
      <c r="AH333" t="s">
        <v>189</v>
      </c>
      <c r="AI333" t="s">
        <v>466</v>
      </c>
      <c r="AJ333" s="9">
        <v>1</v>
      </c>
      <c r="AK333" s="9">
        <v>73</v>
      </c>
      <c r="AL333" s="9">
        <v>10</v>
      </c>
      <c r="AM333" s="9">
        <v>84</v>
      </c>
      <c r="AN333" t="s">
        <v>594</v>
      </c>
    </row>
    <row r="334" spans="1:40" x14ac:dyDescent="0.2">
      <c r="A334" t="s">
        <v>185</v>
      </c>
      <c r="B334" t="s">
        <v>186</v>
      </c>
      <c r="C334">
        <v>56</v>
      </c>
      <c r="D334">
        <v>7472</v>
      </c>
      <c r="E334" t="s">
        <v>187</v>
      </c>
      <c r="F334">
        <v>3</v>
      </c>
      <c r="G334" t="s">
        <v>446</v>
      </c>
      <c r="H334" t="s">
        <v>189</v>
      </c>
      <c r="I334" t="s">
        <v>190</v>
      </c>
      <c r="J334">
        <v>8</v>
      </c>
      <c r="K334">
        <v>18</v>
      </c>
      <c r="L334">
        <v>15</v>
      </c>
      <c r="M334" t="s">
        <v>233</v>
      </c>
      <c r="N334" t="s">
        <v>239</v>
      </c>
      <c r="O334" t="s">
        <v>192</v>
      </c>
      <c r="P334">
        <v>4</v>
      </c>
      <c r="Q334">
        <v>3</v>
      </c>
      <c r="R334" t="s">
        <v>193</v>
      </c>
      <c r="S334" t="s">
        <v>194</v>
      </c>
      <c r="U334" t="s">
        <v>262</v>
      </c>
      <c r="V334" t="s">
        <v>196</v>
      </c>
      <c r="W334" t="s">
        <v>192</v>
      </c>
      <c r="X334" t="s">
        <v>198</v>
      </c>
      <c r="Y334" t="s">
        <v>192</v>
      </c>
      <c r="AA334">
        <v>1</v>
      </c>
      <c r="AB334">
        <v>1</v>
      </c>
      <c r="AC334">
        <v>3</v>
      </c>
      <c r="AE334">
        <v>0</v>
      </c>
      <c r="AF334">
        <v>0</v>
      </c>
      <c r="AG334" t="s">
        <v>192</v>
      </c>
      <c r="AH334" t="s">
        <v>198</v>
      </c>
      <c r="AI334" t="s">
        <v>244</v>
      </c>
      <c r="AJ334" s="9">
        <v>18</v>
      </c>
      <c r="AK334" s="9">
        <v>4</v>
      </c>
      <c r="AL334" s="9">
        <v>0</v>
      </c>
      <c r="AM334" s="9">
        <v>22</v>
      </c>
      <c r="AN334" t="s">
        <v>595</v>
      </c>
    </row>
    <row r="335" spans="1:40" x14ac:dyDescent="0.2">
      <c r="A335" t="s">
        <v>185</v>
      </c>
      <c r="B335" t="s">
        <v>186</v>
      </c>
      <c r="C335">
        <v>56</v>
      </c>
      <c r="D335">
        <v>2861</v>
      </c>
      <c r="E335" t="s">
        <v>220</v>
      </c>
      <c r="F335">
        <v>1</v>
      </c>
      <c r="G335" t="s">
        <v>448</v>
      </c>
      <c r="H335" t="s">
        <v>189</v>
      </c>
      <c r="I335" t="s">
        <v>203</v>
      </c>
      <c r="J335">
        <v>8</v>
      </c>
      <c r="K335">
        <v>11</v>
      </c>
      <c r="L335">
        <v>1</v>
      </c>
      <c r="M335" t="s">
        <v>233</v>
      </c>
      <c r="N335" t="s">
        <v>239</v>
      </c>
      <c r="O335" t="s">
        <v>192</v>
      </c>
      <c r="P335">
        <v>118</v>
      </c>
      <c r="Q335">
        <v>13</v>
      </c>
      <c r="R335" t="s">
        <v>204</v>
      </c>
      <c r="S335" t="s">
        <v>205</v>
      </c>
      <c r="T335" t="s">
        <v>206</v>
      </c>
      <c r="U335" t="s">
        <v>207</v>
      </c>
      <c r="V335" t="s">
        <v>208</v>
      </c>
      <c r="W335" t="s">
        <v>192</v>
      </c>
      <c r="X335" t="s">
        <v>198</v>
      </c>
      <c r="Y335" t="s">
        <v>192</v>
      </c>
      <c r="AA335">
        <v>5</v>
      </c>
      <c r="AB335">
        <v>3</v>
      </c>
      <c r="AC335">
        <v>4</v>
      </c>
      <c r="AE335">
        <v>0</v>
      </c>
      <c r="AF335">
        <v>0</v>
      </c>
      <c r="AG335" t="s">
        <v>192</v>
      </c>
      <c r="AH335" t="s">
        <v>189</v>
      </c>
      <c r="AI335" t="s">
        <v>277</v>
      </c>
      <c r="AJ335" s="9">
        <v>11</v>
      </c>
      <c r="AK335" s="9">
        <v>118</v>
      </c>
      <c r="AL335" s="9">
        <v>0</v>
      </c>
      <c r="AM335" s="9">
        <v>129</v>
      </c>
      <c r="AN335" t="s">
        <v>596</v>
      </c>
    </row>
    <row r="336" spans="1:40" x14ac:dyDescent="0.2">
      <c r="A336" t="s">
        <v>185</v>
      </c>
      <c r="B336" t="s">
        <v>186</v>
      </c>
      <c r="C336">
        <v>56</v>
      </c>
      <c r="D336">
        <v>2039</v>
      </c>
      <c r="E336" t="s">
        <v>220</v>
      </c>
      <c r="F336">
        <v>2</v>
      </c>
      <c r="G336" t="s">
        <v>450</v>
      </c>
      <c r="H336" t="s">
        <v>189</v>
      </c>
      <c r="I336" t="s">
        <v>190</v>
      </c>
      <c r="J336">
        <v>8</v>
      </c>
      <c r="K336">
        <v>1</v>
      </c>
      <c r="L336">
        <v>1</v>
      </c>
      <c r="M336" t="s">
        <v>191</v>
      </c>
      <c r="O336" t="s">
        <v>192</v>
      </c>
      <c r="P336">
        <v>5</v>
      </c>
      <c r="Q336">
        <v>5</v>
      </c>
      <c r="R336" t="s">
        <v>193</v>
      </c>
      <c r="S336" t="s">
        <v>194</v>
      </c>
      <c r="U336" t="s">
        <v>195</v>
      </c>
      <c r="V336" t="s">
        <v>196</v>
      </c>
      <c r="W336" t="s">
        <v>229</v>
      </c>
      <c r="X336" t="s">
        <v>198</v>
      </c>
      <c r="Y336" t="s">
        <v>192</v>
      </c>
      <c r="AA336">
        <v>3</v>
      </c>
      <c r="AB336">
        <v>1</v>
      </c>
      <c r="AC336">
        <v>1</v>
      </c>
      <c r="AE336">
        <v>0</v>
      </c>
      <c r="AF336">
        <v>0</v>
      </c>
      <c r="AG336" t="s">
        <v>192</v>
      </c>
      <c r="AH336" t="s">
        <v>198</v>
      </c>
      <c r="AI336" t="s">
        <v>244</v>
      </c>
      <c r="AJ336" s="9">
        <v>1</v>
      </c>
      <c r="AK336" s="9">
        <v>5</v>
      </c>
      <c r="AL336" s="9">
        <v>0</v>
      </c>
      <c r="AM336" s="9">
        <v>6</v>
      </c>
      <c r="AN336" t="s">
        <v>597</v>
      </c>
    </row>
    <row r="337" spans="1:40" x14ac:dyDescent="0.2">
      <c r="A337" t="s">
        <v>185</v>
      </c>
      <c r="B337" t="s">
        <v>186</v>
      </c>
      <c r="C337">
        <v>56</v>
      </c>
      <c r="D337">
        <v>2481</v>
      </c>
      <c r="E337" t="s">
        <v>220</v>
      </c>
      <c r="F337">
        <v>3</v>
      </c>
      <c r="G337" t="s">
        <v>451</v>
      </c>
      <c r="H337" t="s">
        <v>189</v>
      </c>
      <c r="I337" t="s">
        <v>190</v>
      </c>
      <c r="J337">
        <v>8</v>
      </c>
      <c r="K337">
        <v>92</v>
      </c>
      <c r="L337">
        <v>18</v>
      </c>
      <c r="M337" t="s">
        <v>224</v>
      </c>
      <c r="N337" t="s">
        <v>225</v>
      </c>
      <c r="O337" t="s">
        <v>192</v>
      </c>
      <c r="P337">
        <v>161</v>
      </c>
      <c r="Q337">
        <v>32</v>
      </c>
      <c r="R337" t="s">
        <v>204</v>
      </c>
      <c r="S337" t="s">
        <v>205</v>
      </c>
      <c r="T337" t="s">
        <v>206</v>
      </c>
      <c r="U337" t="s">
        <v>207</v>
      </c>
      <c r="V337" t="s">
        <v>208</v>
      </c>
      <c r="W337" t="s">
        <v>192</v>
      </c>
      <c r="X337" t="s">
        <v>198</v>
      </c>
      <c r="Y337" t="s">
        <v>192</v>
      </c>
      <c r="AA337">
        <v>4</v>
      </c>
      <c r="AB337">
        <v>5</v>
      </c>
      <c r="AC337">
        <v>5</v>
      </c>
      <c r="AE337">
        <v>0</v>
      </c>
      <c r="AF337">
        <v>0</v>
      </c>
      <c r="AG337" t="s">
        <v>192</v>
      </c>
      <c r="AH337" t="s">
        <v>189</v>
      </c>
      <c r="AI337" t="s">
        <v>378</v>
      </c>
      <c r="AJ337" s="9">
        <v>92</v>
      </c>
      <c r="AK337" s="9">
        <v>161</v>
      </c>
      <c r="AL337" s="9">
        <v>0</v>
      </c>
      <c r="AM337" s="9">
        <v>253</v>
      </c>
      <c r="AN337" t="s">
        <v>598</v>
      </c>
    </row>
    <row r="338" spans="1:40" x14ac:dyDescent="0.2">
      <c r="A338" t="s">
        <v>185</v>
      </c>
      <c r="B338" t="s">
        <v>186</v>
      </c>
      <c r="C338">
        <v>57</v>
      </c>
      <c r="D338">
        <v>4655</v>
      </c>
      <c r="E338" t="s">
        <v>187</v>
      </c>
      <c r="F338">
        <v>1</v>
      </c>
      <c r="G338" t="s">
        <v>442</v>
      </c>
      <c r="H338" t="s">
        <v>189</v>
      </c>
      <c r="I338" t="s">
        <v>190</v>
      </c>
      <c r="J338">
        <v>8</v>
      </c>
      <c r="K338">
        <v>19</v>
      </c>
      <c r="L338">
        <v>8</v>
      </c>
      <c r="M338" t="s">
        <v>224</v>
      </c>
      <c r="N338" t="s">
        <v>225</v>
      </c>
      <c r="O338" t="s">
        <v>192</v>
      </c>
      <c r="P338">
        <v>42</v>
      </c>
      <c r="Q338">
        <v>17</v>
      </c>
      <c r="R338" t="s">
        <v>204</v>
      </c>
      <c r="S338" t="s">
        <v>214</v>
      </c>
      <c r="T338" t="s">
        <v>206</v>
      </c>
      <c r="U338" t="s">
        <v>207</v>
      </c>
      <c r="V338" t="s">
        <v>217</v>
      </c>
      <c r="W338" t="s">
        <v>192</v>
      </c>
      <c r="X338" t="s">
        <v>198</v>
      </c>
      <c r="Y338" t="s">
        <v>192</v>
      </c>
      <c r="AA338">
        <v>5</v>
      </c>
      <c r="AB338">
        <v>3</v>
      </c>
      <c r="AC338">
        <v>3</v>
      </c>
      <c r="AE338">
        <v>1</v>
      </c>
      <c r="AF338">
        <v>0</v>
      </c>
      <c r="AG338" t="s">
        <v>192</v>
      </c>
      <c r="AH338" t="s">
        <v>199</v>
      </c>
      <c r="AJ338" s="9">
        <v>19</v>
      </c>
      <c r="AK338" s="9">
        <v>42</v>
      </c>
      <c r="AL338" s="9">
        <v>0</v>
      </c>
      <c r="AM338" s="9">
        <v>61</v>
      </c>
      <c r="AN338" t="s">
        <v>599</v>
      </c>
    </row>
    <row r="339" spans="1:40" x14ac:dyDescent="0.2">
      <c r="A339" t="s">
        <v>185</v>
      </c>
      <c r="B339" t="s">
        <v>186</v>
      </c>
      <c r="C339">
        <v>57</v>
      </c>
      <c r="D339">
        <v>6651</v>
      </c>
      <c r="E339" t="s">
        <v>187</v>
      </c>
      <c r="F339">
        <v>2</v>
      </c>
      <c r="G339" t="s">
        <v>444</v>
      </c>
      <c r="H339" t="s">
        <v>189</v>
      </c>
      <c r="I339" t="s">
        <v>203</v>
      </c>
      <c r="J339">
        <v>8</v>
      </c>
      <c r="K339">
        <v>14</v>
      </c>
      <c r="L339">
        <v>5</v>
      </c>
      <c r="M339" t="s">
        <v>233</v>
      </c>
      <c r="N339" t="s">
        <v>239</v>
      </c>
      <c r="O339" t="s">
        <v>192</v>
      </c>
      <c r="P339">
        <v>21</v>
      </c>
      <c r="Q339">
        <v>7</v>
      </c>
      <c r="R339" t="s">
        <v>213</v>
      </c>
      <c r="S339" t="s">
        <v>194</v>
      </c>
      <c r="U339" t="s">
        <v>216</v>
      </c>
      <c r="V339" t="s">
        <v>246</v>
      </c>
      <c r="W339" t="s">
        <v>192</v>
      </c>
      <c r="X339" t="s">
        <v>198</v>
      </c>
      <c r="Y339" t="s">
        <v>192</v>
      </c>
      <c r="AA339">
        <v>2</v>
      </c>
      <c r="AB339">
        <v>3</v>
      </c>
      <c r="AC339">
        <v>4</v>
      </c>
      <c r="AD339" t="s">
        <v>292</v>
      </c>
      <c r="AE339">
        <v>0</v>
      </c>
      <c r="AF339">
        <v>0</v>
      </c>
      <c r="AG339" t="s">
        <v>192</v>
      </c>
      <c r="AH339" t="s">
        <v>198</v>
      </c>
      <c r="AJ339" s="9">
        <v>14</v>
      </c>
      <c r="AK339" s="9">
        <v>21</v>
      </c>
      <c r="AL339" s="9">
        <v>0</v>
      </c>
      <c r="AM339" s="9">
        <v>35</v>
      </c>
      <c r="AN339" t="s">
        <v>600</v>
      </c>
    </row>
    <row r="340" spans="1:40" x14ac:dyDescent="0.2">
      <c r="A340" t="s">
        <v>185</v>
      </c>
      <c r="B340" t="s">
        <v>186</v>
      </c>
      <c r="C340">
        <v>57</v>
      </c>
      <c r="D340">
        <v>4143</v>
      </c>
      <c r="E340" t="s">
        <v>187</v>
      </c>
      <c r="F340">
        <v>3</v>
      </c>
      <c r="G340" t="s">
        <v>446</v>
      </c>
      <c r="H340" t="s">
        <v>189</v>
      </c>
      <c r="I340" t="s">
        <v>212</v>
      </c>
      <c r="J340">
        <v>7</v>
      </c>
      <c r="K340">
        <v>46</v>
      </c>
      <c r="L340">
        <v>6</v>
      </c>
      <c r="M340" t="s">
        <v>224</v>
      </c>
      <c r="N340" t="s">
        <v>225</v>
      </c>
      <c r="O340" t="s">
        <v>192</v>
      </c>
      <c r="P340">
        <v>99</v>
      </c>
      <c r="Q340">
        <v>13</v>
      </c>
      <c r="R340" t="s">
        <v>204</v>
      </c>
      <c r="S340" t="s">
        <v>205</v>
      </c>
      <c r="T340" t="s">
        <v>206</v>
      </c>
      <c r="U340" t="s">
        <v>207</v>
      </c>
      <c r="V340" t="s">
        <v>208</v>
      </c>
      <c r="W340" t="s">
        <v>192</v>
      </c>
      <c r="X340" t="s">
        <v>240</v>
      </c>
      <c r="Y340" t="s">
        <v>192</v>
      </c>
      <c r="AA340">
        <v>4</v>
      </c>
      <c r="AB340">
        <v>5</v>
      </c>
      <c r="AC340">
        <v>5</v>
      </c>
      <c r="AE340">
        <v>1</v>
      </c>
      <c r="AF340">
        <v>0</v>
      </c>
      <c r="AG340" t="s">
        <v>192</v>
      </c>
      <c r="AH340" t="s">
        <v>189</v>
      </c>
      <c r="AI340" t="s">
        <v>378</v>
      </c>
      <c r="AJ340" s="9">
        <v>46</v>
      </c>
      <c r="AK340" s="9">
        <v>99</v>
      </c>
      <c r="AL340" s="9">
        <v>0</v>
      </c>
      <c r="AM340" s="9">
        <v>145</v>
      </c>
      <c r="AN340" t="s">
        <v>601</v>
      </c>
    </row>
    <row r="341" spans="1:40" x14ac:dyDescent="0.2">
      <c r="A341" t="s">
        <v>185</v>
      </c>
      <c r="B341" t="s">
        <v>186</v>
      </c>
      <c r="C341">
        <v>57</v>
      </c>
      <c r="D341">
        <v>9082</v>
      </c>
      <c r="E341" t="s">
        <v>220</v>
      </c>
      <c r="F341">
        <v>1</v>
      </c>
      <c r="G341" t="s">
        <v>448</v>
      </c>
      <c r="H341" t="s">
        <v>189</v>
      </c>
      <c r="I341" t="s">
        <v>190</v>
      </c>
      <c r="J341">
        <v>8</v>
      </c>
      <c r="K341">
        <v>4</v>
      </c>
      <c r="L341">
        <v>0</v>
      </c>
      <c r="M341" t="s">
        <v>191</v>
      </c>
      <c r="O341" t="s">
        <v>192</v>
      </c>
      <c r="P341">
        <v>38</v>
      </c>
      <c r="Q341">
        <v>1</v>
      </c>
      <c r="R341" t="s">
        <v>204</v>
      </c>
      <c r="S341" t="s">
        <v>205</v>
      </c>
      <c r="T341" t="s">
        <v>206</v>
      </c>
      <c r="U341" t="s">
        <v>207</v>
      </c>
      <c r="V341" t="s">
        <v>217</v>
      </c>
      <c r="W341" t="s">
        <v>192</v>
      </c>
      <c r="X341" t="s">
        <v>198</v>
      </c>
      <c r="Y341" t="s">
        <v>192</v>
      </c>
      <c r="AA341">
        <v>4</v>
      </c>
      <c r="AB341">
        <v>5</v>
      </c>
      <c r="AC341">
        <v>5</v>
      </c>
      <c r="AD341" t="s">
        <v>317</v>
      </c>
      <c r="AE341">
        <v>1</v>
      </c>
      <c r="AF341">
        <v>0</v>
      </c>
      <c r="AG341" t="s">
        <v>192</v>
      </c>
      <c r="AH341" t="s">
        <v>189</v>
      </c>
      <c r="AI341" t="s">
        <v>399</v>
      </c>
      <c r="AJ341" s="9">
        <v>4</v>
      </c>
      <c r="AK341" s="9">
        <v>38</v>
      </c>
      <c r="AL341" s="9">
        <v>0</v>
      </c>
      <c r="AM341" s="9">
        <v>42</v>
      </c>
      <c r="AN341" t="s">
        <v>602</v>
      </c>
    </row>
    <row r="342" spans="1:40" x14ac:dyDescent="0.2">
      <c r="A342" t="s">
        <v>185</v>
      </c>
      <c r="B342" t="s">
        <v>186</v>
      </c>
      <c r="C342">
        <v>57</v>
      </c>
      <c r="D342">
        <v>7417</v>
      </c>
      <c r="E342" t="s">
        <v>220</v>
      </c>
      <c r="F342">
        <v>2</v>
      </c>
      <c r="G342" t="s">
        <v>450</v>
      </c>
      <c r="H342" t="s">
        <v>189</v>
      </c>
      <c r="I342" t="s">
        <v>203</v>
      </c>
      <c r="J342">
        <v>8</v>
      </c>
      <c r="K342">
        <v>9</v>
      </c>
      <c r="L342">
        <v>8</v>
      </c>
      <c r="M342" t="s">
        <v>224</v>
      </c>
      <c r="N342" t="s">
        <v>239</v>
      </c>
      <c r="O342" t="s">
        <v>192</v>
      </c>
      <c r="P342">
        <v>10</v>
      </c>
      <c r="Q342">
        <v>9</v>
      </c>
      <c r="R342" t="s">
        <v>193</v>
      </c>
      <c r="S342" t="s">
        <v>194</v>
      </c>
      <c r="U342" t="s">
        <v>195</v>
      </c>
      <c r="V342" t="s">
        <v>196</v>
      </c>
      <c r="W342" t="s">
        <v>192</v>
      </c>
      <c r="X342" t="s">
        <v>198</v>
      </c>
      <c r="Y342" t="s">
        <v>192</v>
      </c>
      <c r="AA342">
        <v>2</v>
      </c>
      <c r="AB342">
        <v>3</v>
      </c>
      <c r="AC342">
        <v>2</v>
      </c>
      <c r="AE342">
        <v>0</v>
      </c>
      <c r="AF342">
        <v>0</v>
      </c>
      <c r="AG342" t="s">
        <v>192</v>
      </c>
      <c r="AH342" t="s">
        <v>198</v>
      </c>
      <c r="AJ342" s="9">
        <v>9</v>
      </c>
      <c r="AK342" s="9">
        <v>10</v>
      </c>
      <c r="AL342" s="9">
        <v>0</v>
      </c>
      <c r="AM342" s="9">
        <v>19</v>
      </c>
      <c r="AN342" t="s">
        <v>603</v>
      </c>
    </row>
    <row r="343" spans="1:40" x14ac:dyDescent="0.2">
      <c r="A343" t="s">
        <v>185</v>
      </c>
      <c r="B343" t="s">
        <v>186</v>
      </c>
      <c r="C343">
        <v>57</v>
      </c>
      <c r="D343">
        <v>2022</v>
      </c>
      <c r="E343" t="s">
        <v>220</v>
      </c>
      <c r="F343">
        <v>3</v>
      </c>
      <c r="G343" t="s">
        <v>451</v>
      </c>
      <c r="H343" t="s">
        <v>189</v>
      </c>
      <c r="I343" t="s">
        <v>190</v>
      </c>
      <c r="J343">
        <v>8</v>
      </c>
      <c r="K343">
        <v>3</v>
      </c>
      <c r="L343">
        <v>0</v>
      </c>
      <c r="M343" t="s">
        <v>191</v>
      </c>
      <c r="O343" t="s">
        <v>192</v>
      </c>
      <c r="P343">
        <v>54</v>
      </c>
      <c r="Q343">
        <v>5</v>
      </c>
      <c r="R343" t="s">
        <v>213</v>
      </c>
      <c r="S343" t="s">
        <v>214</v>
      </c>
      <c r="T343" t="s">
        <v>215</v>
      </c>
      <c r="U343" t="s">
        <v>216</v>
      </c>
      <c r="V343" t="s">
        <v>217</v>
      </c>
      <c r="W343" t="s">
        <v>192</v>
      </c>
      <c r="X343" t="s">
        <v>198</v>
      </c>
      <c r="Y343" t="s">
        <v>192</v>
      </c>
      <c r="AA343">
        <v>3</v>
      </c>
      <c r="AB343">
        <v>3</v>
      </c>
      <c r="AC343">
        <v>4</v>
      </c>
      <c r="AE343">
        <v>0</v>
      </c>
      <c r="AF343">
        <v>0</v>
      </c>
      <c r="AG343" t="s">
        <v>192</v>
      </c>
      <c r="AH343" t="s">
        <v>199</v>
      </c>
      <c r="AI343" t="s">
        <v>234</v>
      </c>
      <c r="AJ343" s="9">
        <v>3</v>
      </c>
      <c r="AK343" s="9">
        <v>54</v>
      </c>
      <c r="AL343" s="9">
        <v>0</v>
      </c>
      <c r="AM343" s="9">
        <v>57</v>
      </c>
      <c r="AN343" t="s">
        <v>604</v>
      </c>
    </row>
    <row r="344" spans="1:40" x14ac:dyDescent="0.2">
      <c r="A344" t="s">
        <v>185</v>
      </c>
      <c r="B344" t="s">
        <v>186</v>
      </c>
      <c r="C344">
        <v>58</v>
      </c>
      <c r="D344">
        <v>8029</v>
      </c>
      <c r="E344" t="s">
        <v>187</v>
      </c>
      <c r="F344">
        <v>1</v>
      </c>
      <c r="G344" t="s">
        <v>442</v>
      </c>
      <c r="H344" t="s">
        <v>189</v>
      </c>
      <c r="I344" t="s">
        <v>190</v>
      </c>
      <c r="J344">
        <v>5</v>
      </c>
      <c r="K344">
        <v>13</v>
      </c>
      <c r="L344">
        <v>12</v>
      </c>
      <c r="M344" t="s">
        <v>233</v>
      </c>
      <c r="N344" t="s">
        <v>225</v>
      </c>
      <c r="O344" t="s">
        <v>192</v>
      </c>
      <c r="P344">
        <v>9</v>
      </c>
      <c r="Q344">
        <v>8</v>
      </c>
      <c r="R344" t="s">
        <v>193</v>
      </c>
      <c r="S344" t="s">
        <v>194</v>
      </c>
      <c r="U344" t="s">
        <v>262</v>
      </c>
      <c r="V344" t="s">
        <v>196</v>
      </c>
      <c r="W344" t="s">
        <v>229</v>
      </c>
      <c r="X344" t="s">
        <v>198</v>
      </c>
      <c r="Y344" t="s">
        <v>192</v>
      </c>
      <c r="AA344">
        <v>2</v>
      </c>
      <c r="AB344">
        <v>1</v>
      </c>
      <c r="AC344">
        <v>2</v>
      </c>
      <c r="AE344">
        <v>0</v>
      </c>
      <c r="AF344">
        <v>0</v>
      </c>
      <c r="AG344" t="s">
        <v>192</v>
      </c>
      <c r="AH344" t="s">
        <v>199</v>
      </c>
      <c r="AI344" t="s">
        <v>244</v>
      </c>
      <c r="AJ344" s="9">
        <v>13</v>
      </c>
      <c r="AK344" s="9">
        <v>9</v>
      </c>
      <c r="AL344" s="9">
        <v>0</v>
      </c>
      <c r="AM344" s="9">
        <v>22</v>
      </c>
      <c r="AN344" t="s">
        <v>605</v>
      </c>
    </row>
    <row r="345" spans="1:40" x14ac:dyDescent="0.2">
      <c r="A345" t="s">
        <v>185</v>
      </c>
      <c r="B345" t="s">
        <v>186</v>
      </c>
      <c r="C345">
        <v>58</v>
      </c>
      <c r="D345">
        <v>8020</v>
      </c>
      <c r="E345" t="s">
        <v>187</v>
      </c>
      <c r="F345">
        <v>2</v>
      </c>
      <c r="G345" t="s">
        <v>444</v>
      </c>
      <c r="H345" t="s">
        <v>189</v>
      </c>
      <c r="I345" t="s">
        <v>190</v>
      </c>
      <c r="J345">
        <v>8</v>
      </c>
      <c r="K345">
        <v>17</v>
      </c>
      <c r="L345">
        <v>2</v>
      </c>
      <c r="M345" t="s">
        <v>224</v>
      </c>
      <c r="N345" t="s">
        <v>225</v>
      </c>
      <c r="O345" t="s">
        <v>192</v>
      </c>
      <c r="P345">
        <v>121</v>
      </c>
      <c r="Q345">
        <v>14</v>
      </c>
      <c r="R345" t="s">
        <v>204</v>
      </c>
      <c r="S345" t="s">
        <v>205</v>
      </c>
      <c r="T345" t="s">
        <v>206</v>
      </c>
      <c r="U345" t="s">
        <v>207</v>
      </c>
      <c r="V345" t="s">
        <v>208</v>
      </c>
      <c r="W345" t="s">
        <v>192</v>
      </c>
      <c r="X345" t="s">
        <v>229</v>
      </c>
      <c r="Y345" t="s">
        <v>192</v>
      </c>
      <c r="AA345">
        <v>4</v>
      </c>
      <c r="AB345">
        <v>4</v>
      </c>
      <c r="AC345">
        <v>4</v>
      </c>
      <c r="AD345" t="s">
        <v>331</v>
      </c>
      <c r="AE345">
        <v>1</v>
      </c>
      <c r="AF345">
        <v>0</v>
      </c>
      <c r="AG345" t="s">
        <v>192</v>
      </c>
      <c r="AH345" t="s">
        <v>189</v>
      </c>
      <c r="AI345" t="s">
        <v>286</v>
      </c>
      <c r="AJ345" s="9">
        <v>17</v>
      </c>
      <c r="AK345" s="9">
        <v>121</v>
      </c>
      <c r="AL345" s="9">
        <v>0</v>
      </c>
      <c r="AM345" s="9">
        <v>138</v>
      </c>
      <c r="AN345" t="s">
        <v>606</v>
      </c>
    </row>
    <row r="346" spans="1:40" x14ac:dyDescent="0.2">
      <c r="A346" t="s">
        <v>185</v>
      </c>
      <c r="B346" t="s">
        <v>186</v>
      </c>
      <c r="C346">
        <v>58</v>
      </c>
      <c r="D346">
        <v>2040</v>
      </c>
      <c r="E346" t="s">
        <v>187</v>
      </c>
      <c r="F346">
        <v>3</v>
      </c>
      <c r="G346" t="s">
        <v>446</v>
      </c>
      <c r="H346" t="s">
        <v>189</v>
      </c>
      <c r="I346" t="s">
        <v>203</v>
      </c>
      <c r="J346">
        <v>5</v>
      </c>
      <c r="K346">
        <v>27</v>
      </c>
      <c r="L346">
        <v>7</v>
      </c>
      <c r="M346" t="s">
        <v>224</v>
      </c>
      <c r="N346" t="s">
        <v>239</v>
      </c>
      <c r="O346" t="s">
        <v>192</v>
      </c>
      <c r="P346">
        <v>97</v>
      </c>
      <c r="Q346">
        <v>27</v>
      </c>
      <c r="R346" t="s">
        <v>204</v>
      </c>
      <c r="S346" t="s">
        <v>205</v>
      </c>
      <c r="T346" t="s">
        <v>206</v>
      </c>
      <c r="U346" t="s">
        <v>207</v>
      </c>
      <c r="V346" t="s">
        <v>208</v>
      </c>
      <c r="W346" t="s">
        <v>192</v>
      </c>
      <c r="X346" t="s">
        <v>198</v>
      </c>
      <c r="Y346" t="s">
        <v>192</v>
      </c>
      <c r="AA346">
        <v>4</v>
      </c>
      <c r="AB346">
        <v>5</v>
      </c>
      <c r="AC346">
        <v>4</v>
      </c>
      <c r="AE346">
        <v>0</v>
      </c>
      <c r="AF346">
        <v>0</v>
      </c>
      <c r="AG346" t="s">
        <v>192</v>
      </c>
      <c r="AH346" t="s">
        <v>189</v>
      </c>
      <c r="AI346" t="s">
        <v>378</v>
      </c>
      <c r="AJ346" s="9">
        <v>27</v>
      </c>
      <c r="AK346" s="9">
        <v>97</v>
      </c>
      <c r="AL346" s="9">
        <v>0</v>
      </c>
      <c r="AM346" s="9">
        <v>124</v>
      </c>
      <c r="AN346" t="s">
        <v>607</v>
      </c>
    </row>
    <row r="347" spans="1:40" x14ac:dyDescent="0.2">
      <c r="A347" t="s">
        <v>185</v>
      </c>
      <c r="B347" t="s">
        <v>186</v>
      </c>
      <c r="C347">
        <v>58</v>
      </c>
      <c r="D347">
        <v>6237</v>
      </c>
      <c r="E347" t="s">
        <v>220</v>
      </c>
      <c r="F347">
        <v>1</v>
      </c>
      <c r="G347" t="s">
        <v>448</v>
      </c>
      <c r="H347" t="s">
        <v>189</v>
      </c>
      <c r="I347" t="s">
        <v>203</v>
      </c>
      <c r="J347">
        <v>8</v>
      </c>
      <c r="K347">
        <v>3</v>
      </c>
      <c r="L347">
        <v>1</v>
      </c>
      <c r="M347" t="s">
        <v>191</v>
      </c>
      <c r="O347" t="s">
        <v>192</v>
      </c>
      <c r="P347">
        <v>50</v>
      </c>
      <c r="Q347">
        <v>14</v>
      </c>
      <c r="R347" t="s">
        <v>204</v>
      </c>
      <c r="S347" t="s">
        <v>205</v>
      </c>
      <c r="T347" t="s">
        <v>206</v>
      </c>
      <c r="U347" t="s">
        <v>207</v>
      </c>
      <c r="V347" t="s">
        <v>208</v>
      </c>
      <c r="W347" t="s">
        <v>192</v>
      </c>
      <c r="X347" t="s">
        <v>198</v>
      </c>
      <c r="Y347" t="s">
        <v>192</v>
      </c>
      <c r="AA347">
        <v>3</v>
      </c>
      <c r="AB347">
        <v>3</v>
      </c>
      <c r="AC347">
        <v>4</v>
      </c>
      <c r="AE347">
        <v>0</v>
      </c>
      <c r="AF347">
        <v>0</v>
      </c>
      <c r="AG347" t="s">
        <v>192</v>
      </c>
      <c r="AH347" t="s">
        <v>189</v>
      </c>
      <c r="AI347" t="s">
        <v>313</v>
      </c>
      <c r="AJ347" s="9">
        <v>3</v>
      </c>
      <c r="AK347" s="9">
        <v>50</v>
      </c>
      <c r="AL347" s="9">
        <v>0</v>
      </c>
      <c r="AM347" s="9">
        <v>53</v>
      </c>
      <c r="AN347" t="s">
        <v>608</v>
      </c>
    </row>
    <row r="348" spans="1:40" x14ac:dyDescent="0.2">
      <c r="A348" t="s">
        <v>185</v>
      </c>
      <c r="B348" t="s">
        <v>186</v>
      </c>
      <c r="C348">
        <v>58</v>
      </c>
      <c r="D348">
        <v>3067</v>
      </c>
      <c r="E348" t="s">
        <v>220</v>
      </c>
      <c r="F348">
        <v>2</v>
      </c>
      <c r="G348" t="s">
        <v>450</v>
      </c>
      <c r="H348" t="s">
        <v>189</v>
      </c>
      <c r="I348" t="s">
        <v>212</v>
      </c>
      <c r="J348">
        <v>8</v>
      </c>
      <c r="K348">
        <v>3</v>
      </c>
      <c r="L348">
        <v>0</v>
      </c>
      <c r="M348" t="s">
        <v>191</v>
      </c>
      <c r="O348" t="s">
        <v>192</v>
      </c>
      <c r="P348">
        <v>21</v>
      </c>
      <c r="Q348">
        <v>3</v>
      </c>
      <c r="R348" t="s">
        <v>204</v>
      </c>
      <c r="S348" t="s">
        <v>214</v>
      </c>
      <c r="T348" t="s">
        <v>237</v>
      </c>
      <c r="U348" t="s">
        <v>216</v>
      </c>
      <c r="V348" t="s">
        <v>217</v>
      </c>
      <c r="W348" t="s">
        <v>192</v>
      </c>
      <c r="X348" t="s">
        <v>198</v>
      </c>
      <c r="Y348" t="s">
        <v>192</v>
      </c>
      <c r="AA348">
        <v>4</v>
      </c>
      <c r="AB348">
        <v>3</v>
      </c>
      <c r="AC348">
        <v>5</v>
      </c>
      <c r="AE348">
        <v>0</v>
      </c>
      <c r="AF348">
        <v>0</v>
      </c>
      <c r="AG348" t="s">
        <v>192</v>
      </c>
      <c r="AH348" t="s">
        <v>199</v>
      </c>
      <c r="AJ348" s="9">
        <v>3</v>
      </c>
      <c r="AK348" s="9">
        <v>21</v>
      </c>
      <c r="AL348" s="9">
        <v>0</v>
      </c>
      <c r="AM348" s="9">
        <v>24</v>
      </c>
      <c r="AN348" t="s">
        <v>609</v>
      </c>
    </row>
    <row r="349" spans="1:40" x14ac:dyDescent="0.2">
      <c r="A349" t="s">
        <v>185</v>
      </c>
      <c r="B349" t="s">
        <v>186</v>
      </c>
      <c r="C349">
        <v>58</v>
      </c>
      <c r="D349">
        <v>4096</v>
      </c>
      <c r="E349" t="s">
        <v>220</v>
      </c>
      <c r="F349">
        <v>3</v>
      </c>
      <c r="G349" t="s">
        <v>451</v>
      </c>
      <c r="H349" t="s">
        <v>189</v>
      </c>
      <c r="I349" t="s">
        <v>190</v>
      </c>
      <c r="J349">
        <v>8</v>
      </c>
      <c r="K349">
        <v>10</v>
      </c>
      <c r="L349">
        <v>2</v>
      </c>
      <c r="M349" t="s">
        <v>224</v>
      </c>
      <c r="N349" t="s">
        <v>239</v>
      </c>
      <c r="O349" t="s">
        <v>192</v>
      </c>
      <c r="P349">
        <v>65</v>
      </c>
      <c r="Q349">
        <v>16</v>
      </c>
      <c r="R349" t="s">
        <v>204</v>
      </c>
      <c r="S349" t="s">
        <v>214</v>
      </c>
      <c r="T349" t="s">
        <v>206</v>
      </c>
      <c r="U349" t="s">
        <v>207</v>
      </c>
      <c r="V349" t="s">
        <v>217</v>
      </c>
      <c r="W349" t="s">
        <v>192</v>
      </c>
      <c r="X349" t="s">
        <v>240</v>
      </c>
      <c r="Y349" t="s">
        <v>192</v>
      </c>
      <c r="AA349">
        <v>4</v>
      </c>
      <c r="AB349">
        <v>3</v>
      </c>
      <c r="AC349">
        <v>5</v>
      </c>
      <c r="AE349">
        <v>0</v>
      </c>
      <c r="AF349">
        <v>0</v>
      </c>
      <c r="AG349" t="s">
        <v>192</v>
      </c>
      <c r="AH349" t="s">
        <v>199</v>
      </c>
      <c r="AI349" t="s">
        <v>234</v>
      </c>
      <c r="AJ349" s="9">
        <v>10</v>
      </c>
      <c r="AK349" s="9">
        <v>65</v>
      </c>
      <c r="AL349" s="9">
        <v>0</v>
      </c>
      <c r="AM349" s="9">
        <v>75</v>
      </c>
      <c r="AN349" t="s">
        <v>610</v>
      </c>
    </row>
    <row r="350" spans="1:40" x14ac:dyDescent="0.2">
      <c r="A350" t="s">
        <v>185</v>
      </c>
      <c r="B350" t="s">
        <v>186</v>
      </c>
      <c r="C350">
        <v>59</v>
      </c>
      <c r="D350">
        <v>1736</v>
      </c>
      <c r="E350" t="s">
        <v>187</v>
      </c>
      <c r="F350">
        <v>1</v>
      </c>
      <c r="G350" t="s">
        <v>442</v>
      </c>
      <c r="H350" t="s">
        <v>189</v>
      </c>
      <c r="I350" t="s">
        <v>203</v>
      </c>
      <c r="J350">
        <v>5</v>
      </c>
      <c r="K350">
        <v>4</v>
      </c>
      <c r="L350">
        <v>2</v>
      </c>
      <c r="M350" t="s">
        <v>191</v>
      </c>
      <c r="O350" t="s">
        <v>192</v>
      </c>
      <c r="P350">
        <v>14</v>
      </c>
      <c r="Q350">
        <v>5</v>
      </c>
      <c r="R350" t="s">
        <v>213</v>
      </c>
      <c r="S350" t="s">
        <v>194</v>
      </c>
      <c r="T350" t="s">
        <v>215</v>
      </c>
      <c r="U350" t="s">
        <v>216</v>
      </c>
      <c r="V350" t="s">
        <v>246</v>
      </c>
      <c r="W350" t="s">
        <v>192</v>
      </c>
      <c r="X350" t="s">
        <v>198</v>
      </c>
      <c r="Y350" t="s">
        <v>192</v>
      </c>
      <c r="AA350">
        <v>3</v>
      </c>
      <c r="AB350">
        <v>2</v>
      </c>
      <c r="AC350">
        <v>3</v>
      </c>
      <c r="AE350">
        <v>1</v>
      </c>
      <c r="AF350">
        <v>0</v>
      </c>
      <c r="AG350" t="s">
        <v>192</v>
      </c>
      <c r="AH350" t="s">
        <v>198</v>
      </c>
      <c r="AJ350" s="9">
        <v>4</v>
      </c>
      <c r="AK350" s="9">
        <v>14</v>
      </c>
      <c r="AL350" s="9">
        <v>0</v>
      </c>
      <c r="AM350" s="9">
        <v>18</v>
      </c>
      <c r="AN350" t="s">
        <v>611</v>
      </c>
    </row>
    <row r="351" spans="1:40" x14ac:dyDescent="0.2">
      <c r="A351" t="s">
        <v>185</v>
      </c>
      <c r="B351" t="s">
        <v>186</v>
      </c>
      <c r="C351">
        <v>59</v>
      </c>
      <c r="D351">
        <v>2039</v>
      </c>
      <c r="E351" t="s">
        <v>187</v>
      </c>
      <c r="F351">
        <v>2</v>
      </c>
      <c r="G351" t="s">
        <v>444</v>
      </c>
      <c r="H351" t="s">
        <v>189</v>
      </c>
      <c r="I351" t="s">
        <v>190</v>
      </c>
      <c r="J351">
        <v>8</v>
      </c>
      <c r="K351">
        <v>1</v>
      </c>
      <c r="L351">
        <v>1</v>
      </c>
      <c r="M351" t="s">
        <v>191</v>
      </c>
      <c r="O351" t="s">
        <v>192</v>
      </c>
      <c r="P351">
        <v>1</v>
      </c>
      <c r="Q351">
        <v>1</v>
      </c>
      <c r="R351" t="s">
        <v>193</v>
      </c>
      <c r="S351" t="s">
        <v>194</v>
      </c>
      <c r="U351" t="s">
        <v>195</v>
      </c>
      <c r="V351" t="s">
        <v>196</v>
      </c>
      <c r="W351" t="s">
        <v>197</v>
      </c>
      <c r="X351" t="s">
        <v>198</v>
      </c>
      <c r="Y351" t="s">
        <v>420</v>
      </c>
      <c r="Z351" t="s">
        <v>421</v>
      </c>
      <c r="AA351">
        <v>2</v>
      </c>
      <c r="AB351">
        <v>1</v>
      </c>
      <c r="AC351">
        <v>1</v>
      </c>
      <c r="AE351">
        <v>0</v>
      </c>
      <c r="AF351">
        <v>2</v>
      </c>
      <c r="AG351" t="s">
        <v>192</v>
      </c>
      <c r="AH351" t="s">
        <v>198</v>
      </c>
      <c r="AI351" t="s">
        <v>612</v>
      </c>
      <c r="AJ351" s="9">
        <v>1</v>
      </c>
      <c r="AK351" s="9">
        <v>1</v>
      </c>
      <c r="AL351" s="9">
        <v>0</v>
      </c>
      <c r="AM351" s="9">
        <v>2</v>
      </c>
      <c r="AN351" t="s">
        <v>613</v>
      </c>
    </row>
    <row r="352" spans="1:40" x14ac:dyDescent="0.2">
      <c r="A352" t="s">
        <v>185</v>
      </c>
      <c r="B352" t="s">
        <v>186</v>
      </c>
      <c r="C352">
        <v>59</v>
      </c>
      <c r="D352">
        <v>3284</v>
      </c>
      <c r="E352" t="s">
        <v>187</v>
      </c>
      <c r="F352">
        <v>3</v>
      </c>
      <c r="G352" t="s">
        <v>446</v>
      </c>
      <c r="H352" t="s">
        <v>189</v>
      </c>
      <c r="I352" t="s">
        <v>203</v>
      </c>
      <c r="J352">
        <v>8</v>
      </c>
      <c r="K352">
        <v>11</v>
      </c>
      <c r="L352">
        <v>7</v>
      </c>
      <c r="M352" t="s">
        <v>233</v>
      </c>
      <c r="N352" t="s">
        <v>239</v>
      </c>
      <c r="O352" t="s">
        <v>192</v>
      </c>
      <c r="P352">
        <v>7</v>
      </c>
      <c r="Q352">
        <v>4</v>
      </c>
      <c r="R352" t="s">
        <v>193</v>
      </c>
      <c r="S352" t="s">
        <v>194</v>
      </c>
      <c r="U352" t="s">
        <v>195</v>
      </c>
      <c r="V352" t="s">
        <v>196</v>
      </c>
      <c r="W352" t="s">
        <v>197</v>
      </c>
      <c r="X352" t="s">
        <v>198</v>
      </c>
      <c r="Y352" t="s">
        <v>192</v>
      </c>
      <c r="AA352">
        <v>2</v>
      </c>
      <c r="AB352">
        <v>1</v>
      </c>
      <c r="AC352">
        <v>2</v>
      </c>
      <c r="AE352">
        <v>0</v>
      </c>
      <c r="AF352">
        <v>0</v>
      </c>
      <c r="AG352" t="s">
        <v>192</v>
      </c>
      <c r="AH352" t="s">
        <v>199</v>
      </c>
      <c r="AI352" t="s">
        <v>200</v>
      </c>
      <c r="AJ352" s="9">
        <v>11</v>
      </c>
      <c r="AK352" s="9">
        <v>7</v>
      </c>
      <c r="AL352" s="9">
        <v>0</v>
      </c>
      <c r="AM352" s="9">
        <v>18</v>
      </c>
      <c r="AN352" t="s">
        <v>614</v>
      </c>
    </row>
    <row r="353" spans="1:40" x14ac:dyDescent="0.2">
      <c r="A353" t="s">
        <v>185</v>
      </c>
      <c r="B353" t="s">
        <v>186</v>
      </c>
      <c r="C353">
        <v>59</v>
      </c>
      <c r="D353">
        <v>2481</v>
      </c>
      <c r="E353" t="s">
        <v>220</v>
      </c>
      <c r="F353">
        <v>1</v>
      </c>
      <c r="G353" t="s">
        <v>448</v>
      </c>
      <c r="H353" t="s">
        <v>189</v>
      </c>
      <c r="I353" t="s">
        <v>190</v>
      </c>
      <c r="J353">
        <v>8</v>
      </c>
      <c r="K353">
        <v>64</v>
      </c>
      <c r="L353">
        <v>16</v>
      </c>
      <c r="M353" t="s">
        <v>224</v>
      </c>
      <c r="N353" t="s">
        <v>239</v>
      </c>
      <c r="O353" t="s">
        <v>192</v>
      </c>
      <c r="P353">
        <v>157</v>
      </c>
      <c r="Q353">
        <v>39</v>
      </c>
      <c r="R353" t="s">
        <v>204</v>
      </c>
      <c r="S353" t="s">
        <v>205</v>
      </c>
      <c r="T353" t="s">
        <v>206</v>
      </c>
      <c r="U353" t="s">
        <v>207</v>
      </c>
      <c r="V353" t="s">
        <v>208</v>
      </c>
      <c r="W353" t="s">
        <v>192</v>
      </c>
      <c r="X353" t="s">
        <v>240</v>
      </c>
      <c r="Y353" t="s">
        <v>192</v>
      </c>
      <c r="AA353">
        <v>5</v>
      </c>
      <c r="AB353">
        <v>5</v>
      </c>
      <c r="AC353">
        <v>4</v>
      </c>
      <c r="AE353">
        <v>0</v>
      </c>
      <c r="AF353">
        <v>1</v>
      </c>
      <c r="AG353" t="s">
        <v>192</v>
      </c>
      <c r="AH353" t="s">
        <v>189</v>
      </c>
      <c r="AI353" t="s">
        <v>286</v>
      </c>
      <c r="AJ353" s="9">
        <v>64</v>
      </c>
      <c r="AK353" s="9">
        <v>157</v>
      </c>
      <c r="AL353" s="9">
        <v>0</v>
      </c>
      <c r="AM353" s="9">
        <v>221</v>
      </c>
      <c r="AN353" t="s">
        <v>615</v>
      </c>
    </row>
    <row r="354" spans="1:40" x14ac:dyDescent="0.2">
      <c r="A354" t="s">
        <v>185</v>
      </c>
      <c r="B354" t="s">
        <v>186</v>
      </c>
      <c r="C354">
        <v>59</v>
      </c>
      <c r="D354">
        <v>7848</v>
      </c>
      <c r="E354" t="s">
        <v>220</v>
      </c>
      <c r="F354">
        <v>2</v>
      </c>
      <c r="G354" t="s">
        <v>450</v>
      </c>
      <c r="H354" t="s">
        <v>189</v>
      </c>
      <c r="I354" t="s">
        <v>203</v>
      </c>
      <c r="J354">
        <v>8</v>
      </c>
      <c r="K354">
        <v>1</v>
      </c>
      <c r="L354">
        <v>0</v>
      </c>
      <c r="M354" t="s">
        <v>191</v>
      </c>
      <c r="O354" t="s">
        <v>192</v>
      </c>
      <c r="P354">
        <v>28</v>
      </c>
      <c r="Q354">
        <v>7</v>
      </c>
      <c r="R354" t="s">
        <v>204</v>
      </c>
      <c r="S354" t="s">
        <v>214</v>
      </c>
      <c r="T354" t="s">
        <v>215</v>
      </c>
      <c r="U354" t="s">
        <v>216</v>
      </c>
      <c r="V354" t="s">
        <v>217</v>
      </c>
      <c r="W354" t="s">
        <v>192</v>
      </c>
      <c r="X354" t="s">
        <v>198</v>
      </c>
      <c r="Y354" t="s">
        <v>192</v>
      </c>
      <c r="AA354">
        <v>3</v>
      </c>
      <c r="AB354">
        <v>4</v>
      </c>
      <c r="AC354">
        <v>4</v>
      </c>
      <c r="AE354">
        <v>1</v>
      </c>
      <c r="AF354">
        <v>0</v>
      </c>
      <c r="AG354" t="s">
        <v>192</v>
      </c>
      <c r="AH354" t="s">
        <v>199</v>
      </c>
      <c r="AJ354" s="9">
        <v>1</v>
      </c>
      <c r="AK354" s="9">
        <v>28</v>
      </c>
      <c r="AL354" s="9">
        <v>0</v>
      </c>
      <c r="AM354" s="9">
        <v>29</v>
      </c>
      <c r="AN354" t="s">
        <v>616</v>
      </c>
    </row>
    <row r="355" spans="1:40" x14ac:dyDescent="0.2">
      <c r="A355" t="s">
        <v>185</v>
      </c>
      <c r="B355" t="s">
        <v>186</v>
      </c>
      <c r="C355">
        <v>59</v>
      </c>
      <c r="D355">
        <v>5442</v>
      </c>
      <c r="E355" t="s">
        <v>220</v>
      </c>
      <c r="F355">
        <v>3</v>
      </c>
      <c r="G355" t="s">
        <v>451</v>
      </c>
      <c r="H355" t="s">
        <v>189</v>
      </c>
      <c r="I355" t="s">
        <v>212</v>
      </c>
      <c r="J355">
        <v>8</v>
      </c>
      <c r="K355">
        <v>0</v>
      </c>
      <c r="L355">
        <v>0</v>
      </c>
      <c r="O355" t="s">
        <v>192</v>
      </c>
      <c r="P355">
        <v>19</v>
      </c>
      <c r="Q355">
        <v>10</v>
      </c>
      <c r="R355" t="s">
        <v>213</v>
      </c>
      <c r="S355" t="s">
        <v>214</v>
      </c>
      <c r="T355" t="s">
        <v>215</v>
      </c>
      <c r="U355" t="s">
        <v>216</v>
      </c>
      <c r="V355" t="s">
        <v>246</v>
      </c>
      <c r="W355" t="s">
        <v>192</v>
      </c>
      <c r="X355" t="s">
        <v>198</v>
      </c>
      <c r="Y355" t="s">
        <v>192</v>
      </c>
      <c r="AA355">
        <v>2</v>
      </c>
      <c r="AB355">
        <v>3</v>
      </c>
      <c r="AC355">
        <v>3</v>
      </c>
      <c r="AD355" t="s">
        <v>218</v>
      </c>
      <c r="AE355">
        <v>1</v>
      </c>
      <c r="AF355">
        <v>0</v>
      </c>
      <c r="AG355" t="s">
        <v>192</v>
      </c>
      <c r="AH355" t="s">
        <v>198</v>
      </c>
      <c r="AJ355" s="9">
        <v>0</v>
      </c>
      <c r="AK355" s="9">
        <v>19</v>
      </c>
      <c r="AL355" s="9">
        <v>0</v>
      </c>
      <c r="AM355" s="9">
        <v>19</v>
      </c>
      <c r="AN355" t="s">
        <v>617</v>
      </c>
    </row>
    <row r="356" spans="1:40" x14ac:dyDescent="0.2">
      <c r="A356" t="s">
        <v>185</v>
      </c>
      <c r="B356" t="s">
        <v>186</v>
      </c>
      <c r="C356">
        <v>60</v>
      </c>
      <c r="D356">
        <v>9082</v>
      </c>
      <c r="E356" t="s">
        <v>187</v>
      </c>
      <c r="F356">
        <v>1</v>
      </c>
      <c r="G356" t="s">
        <v>442</v>
      </c>
      <c r="H356" t="s">
        <v>189</v>
      </c>
      <c r="I356" t="s">
        <v>190</v>
      </c>
      <c r="J356">
        <v>8</v>
      </c>
      <c r="K356">
        <v>14</v>
      </c>
      <c r="L356">
        <v>2</v>
      </c>
      <c r="M356" t="s">
        <v>233</v>
      </c>
      <c r="N356" t="s">
        <v>239</v>
      </c>
      <c r="O356" t="s">
        <v>192</v>
      </c>
      <c r="P356">
        <v>76</v>
      </c>
      <c r="Q356">
        <v>9</v>
      </c>
      <c r="R356" t="s">
        <v>204</v>
      </c>
      <c r="S356" t="s">
        <v>205</v>
      </c>
      <c r="T356" t="s">
        <v>206</v>
      </c>
      <c r="U356" t="s">
        <v>207</v>
      </c>
      <c r="V356" t="s">
        <v>217</v>
      </c>
      <c r="W356" t="s">
        <v>192</v>
      </c>
      <c r="X356" t="s">
        <v>240</v>
      </c>
      <c r="Y356" t="s">
        <v>192</v>
      </c>
      <c r="AA356">
        <v>4</v>
      </c>
      <c r="AB356">
        <v>5</v>
      </c>
      <c r="AC356">
        <v>5</v>
      </c>
      <c r="AE356">
        <v>1</v>
      </c>
      <c r="AF356">
        <v>0</v>
      </c>
      <c r="AG356" t="s">
        <v>192</v>
      </c>
      <c r="AH356" t="s">
        <v>189</v>
      </c>
      <c r="AI356" t="s">
        <v>226</v>
      </c>
      <c r="AJ356" s="9">
        <v>14</v>
      </c>
      <c r="AK356" s="9">
        <v>76</v>
      </c>
      <c r="AL356" s="9">
        <v>0</v>
      </c>
      <c r="AM356" s="9">
        <v>90</v>
      </c>
      <c r="AN356" t="s">
        <v>618</v>
      </c>
    </row>
    <row r="357" spans="1:40" x14ac:dyDescent="0.2">
      <c r="A357" t="s">
        <v>185</v>
      </c>
      <c r="B357" t="s">
        <v>186</v>
      </c>
      <c r="C357">
        <v>60</v>
      </c>
      <c r="D357">
        <v>6651</v>
      </c>
      <c r="E357" t="s">
        <v>187</v>
      </c>
      <c r="F357">
        <v>2</v>
      </c>
      <c r="G357" t="s">
        <v>444</v>
      </c>
      <c r="H357" t="s">
        <v>189</v>
      </c>
      <c r="I357" t="s">
        <v>203</v>
      </c>
      <c r="J357">
        <v>8</v>
      </c>
      <c r="K357">
        <v>9</v>
      </c>
      <c r="L357">
        <v>4</v>
      </c>
      <c r="M357" t="s">
        <v>233</v>
      </c>
      <c r="N357" t="s">
        <v>225</v>
      </c>
      <c r="O357" t="s">
        <v>192</v>
      </c>
      <c r="P357">
        <v>20</v>
      </c>
      <c r="Q357">
        <v>10</v>
      </c>
      <c r="R357" t="s">
        <v>213</v>
      </c>
      <c r="S357" t="s">
        <v>194</v>
      </c>
      <c r="U357" t="s">
        <v>216</v>
      </c>
      <c r="V357" t="s">
        <v>246</v>
      </c>
      <c r="W357" t="s">
        <v>192</v>
      </c>
      <c r="X357" t="s">
        <v>198</v>
      </c>
      <c r="Y357" t="s">
        <v>192</v>
      </c>
      <c r="AA357">
        <v>1</v>
      </c>
      <c r="AB357">
        <v>3</v>
      </c>
      <c r="AC357">
        <v>2</v>
      </c>
      <c r="AE357">
        <v>0</v>
      </c>
      <c r="AF357">
        <v>0</v>
      </c>
      <c r="AG357" t="s">
        <v>192</v>
      </c>
      <c r="AH357" t="s">
        <v>198</v>
      </c>
      <c r="AJ357" s="9">
        <v>9</v>
      </c>
      <c r="AK357" s="9">
        <v>20</v>
      </c>
      <c r="AL357" s="9">
        <v>0</v>
      </c>
      <c r="AM357" s="9">
        <v>29</v>
      </c>
      <c r="AN357" t="s">
        <v>619</v>
      </c>
    </row>
    <row r="358" spans="1:40" x14ac:dyDescent="0.2">
      <c r="A358" t="s">
        <v>185</v>
      </c>
      <c r="B358" t="s">
        <v>186</v>
      </c>
      <c r="C358">
        <v>60</v>
      </c>
      <c r="D358">
        <v>3488</v>
      </c>
      <c r="E358" t="s">
        <v>187</v>
      </c>
      <c r="F358">
        <v>3</v>
      </c>
      <c r="G358" t="s">
        <v>446</v>
      </c>
      <c r="H358" t="s">
        <v>189</v>
      </c>
      <c r="I358" t="s">
        <v>203</v>
      </c>
      <c r="J358">
        <v>8</v>
      </c>
      <c r="K358">
        <v>0</v>
      </c>
      <c r="L358">
        <v>0</v>
      </c>
      <c r="O358" t="s">
        <v>192</v>
      </c>
      <c r="P358">
        <v>35</v>
      </c>
      <c r="Q358">
        <v>31</v>
      </c>
      <c r="R358" t="s">
        <v>213</v>
      </c>
      <c r="S358" t="s">
        <v>194</v>
      </c>
      <c r="T358" t="s">
        <v>237</v>
      </c>
      <c r="U358" t="s">
        <v>216</v>
      </c>
      <c r="V358" t="s">
        <v>246</v>
      </c>
      <c r="W358" t="s">
        <v>192</v>
      </c>
      <c r="X358" t="s">
        <v>198</v>
      </c>
      <c r="Y358" t="s">
        <v>192</v>
      </c>
      <c r="AA358">
        <v>2</v>
      </c>
      <c r="AB358">
        <v>3</v>
      </c>
      <c r="AC358">
        <v>2</v>
      </c>
      <c r="AE358">
        <v>0</v>
      </c>
      <c r="AF358">
        <v>0</v>
      </c>
      <c r="AG358" t="s">
        <v>192</v>
      </c>
      <c r="AH358" t="s">
        <v>198</v>
      </c>
      <c r="AJ358" s="9">
        <v>0</v>
      </c>
      <c r="AK358" s="9">
        <v>35</v>
      </c>
      <c r="AL358" s="9">
        <v>0</v>
      </c>
      <c r="AM358" s="9">
        <v>35</v>
      </c>
      <c r="AN358" t="s">
        <v>620</v>
      </c>
    </row>
    <row r="359" spans="1:40" x14ac:dyDescent="0.2">
      <c r="A359" t="s">
        <v>185</v>
      </c>
      <c r="B359" t="s">
        <v>186</v>
      </c>
      <c r="C359">
        <v>60</v>
      </c>
      <c r="D359">
        <v>4645</v>
      </c>
      <c r="E359" t="s">
        <v>220</v>
      </c>
      <c r="F359">
        <v>1</v>
      </c>
      <c r="G359" t="s">
        <v>448</v>
      </c>
      <c r="H359" t="s">
        <v>189</v>
      </c>
      <c r="I359" t="s">
        <v>212</v>
      </c>
      <c r="J359">
        <v>8</v>
      </c>
      <c r="K359">
        <v>1</v>
      </c>
      <c r="L359">
        <v>0</v>
      </c>
      <c r="M359" t="s">
        <v>191</v>
      </c>
      <c r="O359" t="s">
        <v>192</v>
      </c>
      <c r="P359">
        <v>21</v>
      </c>
      <c r="Q359">
        <v>6</v>
      </c>
      <c r="R359" t="s">
        <v>213</v>
      </c>
      <c r="S359" t="s">
        <v>214</v>
      </c>
      <c r="T359" t="s">
        <v>215</v>
      </c>
      <c r="U359" t="s">
        <v>216</v>
      </c>
      <c r="V359" t="s">
        <v>217</v>
      </c>
      <c r="W359" t="s">
        <v>192</v>
      </c>
      <c r="X359" t="s">
        <v>198</v>
      </c>
      <c r="Y359" t="s">
        <v>192</v>
      </c>
      <c r="AA359">
        <v>3</v>
      </c>
      <c r="AB359">
        <v>3</v>
      </c>
      <c r="AC359">
        <v>3</v>
      </c>
      <c r="AE359">
        <v>0</v>
      </c>
      <c r="AF359">
        <v>0</v>
      </c>
      <c r="AG359" t="s">
        <v>192</v>
      </c>
      <c r="AH359" t="s">
        <v>189</v>
      </c>
      <c r="AJ359" s="9">
        <v>1</v>
      </c>
      <c r="AK359" s="9">
        <v>21</v>
      </c>
      <c r="AL359" s="9">
        <v>0</v>
      </c>
      <c r="AM359" s="9">
        <v>22</v>
      </c>
      <c r="AN359" t="s">
        <v>621</v>
      </c>
    </row>
    <row r="360" spans="1:40" x14ac:dyDescent="0.2">
      <c r="A360" t="s">
        <v>185</v>
      </c>
      <c r="B360" t="s">
        <v>186</v>
      </c>
      <c r="C360">
        <v>60</v>
      </c>
      <c r="D360">
        <v>4655</v>
      </c>
      <c r="E360" t="s">
        <v>220</v>
      </c>
      <c r="F360">
        <v>2</v>
      </c>
      <c r="G360" t="s">
        <v>450</v>
      </c>
      <c r="H360" t="s">
        <v>189</v>
      </c>
      <c r="I360" t="s">
        <v>190</v>
      </c>
      <c r="J360">
        <v>8</v>
      </c>
      <c r="K360">
        <v>5</v>
      </c>
      <c r="L360">
        <v>2</v>
      </c>
      <c r="M360" t="s">
        <v>191</v>
      </c>
      <c r="O360" t="s">
        <v>192</v>
      </c>
      <c r="P360">
        <v>58</v>
      </c>
      <c r="Q360">
        <v>21</v>
      </c>
      <c r="R360" t="s">
        <v>204</v>
      </c>
      <c r="S360" t="s">
        <v>214</v>
      </c>
      <c r="T360" t="s">
        <v>206</v>
      </c>
      <c r="U360" t="s">
        <v>207</v>
      </c>
      <c r="V360" t="s">
        <v>217</v>
      </c>
      <c r="W360" t="s">
        <v>192</v>
      </c>
      <c r="X360" t="s">
        <v>198</v>
      </c>
      <c r="Y360" t="s">
        <v>192</v>
      </c>
      <c r="AA360">
        <v>3</v>
      </c>
      <c r="AB360">
        <v>4</v>
      </c>
      <c r="AC360">
        <v>5</v>
      </c>
      <c r="AE360">
        <v>0</v>
      </c>
      <c r="AF360">
        <v>0</v>
      </c>
      <c r="AG360" t="s">
        <v>192</v>
      </c>
      <c r="AH360" t="s">
        <v>199</v>
      </c>
      <c r="AI360" t="s">
        <v>230</v>
      </c>
      <c r="AJ360" s="9">
        <v>5</v>
      </c>
      <c r="AK360" s="9">
        <v>58</v>
      </c>
      <c r="AL360" s="9">
        <v>0</v>
      </c>
      <c r="AM360" s="9">
        <v>63</v>
      </c>
      <c r="AN360" t="s">
        <v>619</v>
      </c>
    </row>
    <row r="361" spans="1:40" x14ac:dyDescent="0.2">
      <c r="A361" t="s">
        <v>185</v>
      </c>
      <c r="B361" t="s">
        <v>186</v>
      </c>
      <c r="C361">
        <v>60</v>
      </c>
      <c r="D361">
        <v>7417</v>
      </c>
      <c r="E361" t="s">
        <v>220</v>
      </c>
      <c r="F361">
        <v>3</v>
      </c>
      <c r="G361" t="s">
        <v>451</v>
      </c>
      <c r="H361" t="s">
        <v>189</v>
      </c>
      <c r="I361" t="s">
        <v>203</v>
      </c>
      <c r="J361">
        <v>8</v>
      </c>
      <c r="K361">
        <v>5</v>
      </c>
      <c r="L361">
        <v>3</v>
      </c>
      <c r="M361" t="s">
        <v>233</v>
      </c>
      <c r="O361" t="s">
        <v>192</v>
      </c>
      <c r="P361">
        <v>5</v>
      </c>
      <c r="Q361">
        <v>3</v>
      </c>
      <c r="R361" t="s">
        <v>193</v>
      </c>
      <c r="S361" t="s">
        <v>194</v>
      </c>
      <c r="U361" t="s">
        <v>195</v>
      </c>
      <c r="V361" t="s">
        <v>196</v>
      </c>
      <c r="W361" t="s">
        <v>192</v>
      </c>
      <c r="X361" t="s">
        <v>198</v>
      </c>
      <c r="Y361" t="s">
        <v>192</v>
      </c>
      <c r="AA361">
        <v>2</v>
      </c>
      <c r="AB361">
        <v>1</v>
      </c>
      <c r="AC361">
        <v>4</v>
      </c>
      <c r="AE361">
        <v>0</v>
      </c>
      <c r="AF361">
        <v>0</v>
      </c>
      <c r="AG361" t="s">
        <v>192</v>
      </c>
      <c r="AH361" t="s">
        <v>198</v>
      </c>
      <c r="AI361" t="s">
        <v>244</v>
      </c>
      <c r="AJ361" s="9">
        <v>5</v>
      </c>
      <c r="AK361" s="9">
        <v>5</v>
      </c>
      <c r="AL361" s="9">
        <v>0</v>
      </c>
      <c r="AM361" s="9">
        <v>10</v>
      </c>
      <c r="AN361" t="s">
        <v>622</v>
      </c>
    </row>
    <row r="362" spans="1:40" x14ac:dyDescent="0.2">
      <c r="A362" t="s">
        <v>185</v>
      </c>
      <c r="B362" t="s">
        <v>186</v>
      </c>
      <c r="C362">
        <v>61</v>
      </c>
      <c r="D362">
        <v>4143</v>
      </c>
      <c r="E362" t="s">
        <v>187</v>
      </c>
      <c r="F362">
        <v>1</v>
      </c>
      <c r="G362" t="s">
        <v>442</v>
      </c>
      <c r="H362" t="s">
        <v>189</v>
      </c>
      <c r="I362" t="s">
        <v>212</v>
      </c>
      <c r="J362">
        <v>7</v>
      </c>
      <c r="K362">
        <v>25</v>
      </c>
      <c r="L362">
        <v>6</v>
      </c>
      <c r="M362" t="s">
        <v>233</v>
      </c>
      <c r="N362" t="s">
        <v>239</v>
      </c>
      <c r="O362" t="s">
        <v>192</v>
      </c>
      <c r="P362">
        <v>159</v>
      </c>
      <c r="Q362">
        <v>41</v>
      </c>
      <c r="R362" t="s">
        <v>204</v>
      </c>
      <c r="S362" t="s">
        <v>205</v>
      </c>
      <c r="T362" t="s">
        <v>206</v>
      </c>
      <c r="U362" t="s">
        <v>207</v>
      </c>
      <c r="V362" t="s">
        <v>208</v>
      </c>
      <c r="W362" t="s">
        <v>192</v>
      </c>
      <c r="X362" t="s">
        <v>198</v>
      </c>
      <c r="Y362" t="s">
        <v>192</v>
      </c>
      <c r="AA362">
        <v>5</v>
      </c>
      <c r="AB362">
        <v>5</v>
      </c>
      <c r="AC362">
        <v>4</v>
      </c>
      <c r="AD362" t="s">
        <v>331</v>
      </c>
      <c r="AE362">
        <v>0</v>
      </c>
      <c r="AF362">
        <v>0</v>
      </c>
      <c r="AG362" t="s">
        <v>192</v>
      </c>
      <c r="AH362" t="s">
        <v>189</v>
      </c>
      <c r="AI362" t="s">
        <v>378</v>
      </c>
      <c r="AJ362" s="9">
        <v>25</v>
      </c>
      <c r="AK362" s="9">
        <v>159</v>
      </c>
      <c r="AL362" s="9">
        <v>0</v>
      </c>
      <c r="AM362" s="9">
        <v>184</v>
      </c>
      <c r="AN362" t="s">
        <v>623</v>
      </c>
    </row>
    <row r="363" spans="1:40" x14ac:dyDescent="0.2">
      <c r="A363" t="s">
        <v>185</v>
      </c>
      <c r="B363" t="s">
        <v>186</v>
      </c>
      <c r="C363">
        <v>61</v>
      </c>
      <c r="D363">
        <v>4156</v>
      </c>
      <c r="E363" t="s">
        <v>187</v>
      </c>
      <c r="F363">
        <v>2</v>
      </c>
      <c r="G363" t="s">
        <v>444</v>
      </c>
      <c r="H363" t="s">
        <v>189</v>
      </c>
      <c r="I363" t="s">
        <v>190</v>
      </c>
      <c r="J363">
        <v>8</v>
      </c>
      <c r="K363">
        <v>2</v>
      </c>
      <c r="L363">
        <v>1</v>
      </c>
      <c r="M363" t="s">
        <v>191</v>
      </c>
      <c r="O363" t="s">
        <v>192</v>
      </c>
      <c r="P363">
        <v>4</v>
      </c>
      <c r="Q363">
        <v>2</v>
      </c>
      <c r="R363" t="s">
        <v>193</v>
      </c>
      <c r="S363" t="s">
        <v>194</v>
      </c>
      <c r="U363" t="s">
        <v>195</v>
      </c>
      <c r="V363" t="s">
        <v>196</v>
      </c>
      <c r="W363" t="s">
        <v>192</v>
      </c>
      <c r="X363" t="s">
        <v>198</v>
      </c>
      <c r="Y363" t="s">
        <v>192</v>
      </c>
      <c r="AA363">
        <v>1</v>
      </c>
      <c r="AB363">
        <v>2</v>
      </c>
      <c r="AC363">
        <v>3</v>
      </c>
      <c r="AD363" t="s">
        <v>331</v>
      </c>
      <c r="AE363">
        <v>0</v>
      </c>
      <c r="AF363">
        <v>0</v>
      </c>
      <c r="AG363" t="s">
        <v>192</v>
      </c>
      <c r="AH363" t="s">
        <v>198</v>
      </c>
      <c r="AI363" t="s">
        <v>244</v>
      </c>
      <c r="AJ363" s="9">
        <v>2</v>
      </c>
      <c r="AK363" s="9">
        <v>4</v>
      </c>
      <c r="AL363" s="9">
        <v>0</v>
      </c>
      <c r="AM363" s="9">
        <v>6</v>
      </c>
      <c r="AN363" t="s">
        <v>624</v>
      </c>
    </row>
    <row r="364" spans="1:40" x14ac:dyDescent="0.2">
      <c r="A364" t="s">
        <v>185</v>
      </c>
      <c r="B364" t="s">
        <v>186</v>
      </c>
      <c r="C364">
        <v>61</v>
      </c>
      <c r="D364">
        <v>2861</v>
      </c>
      <c r="E364" t="s">
        <v>187</v>
      </c>
      <c r="F364">
        <v>3</v>
      </c>
      <c r="G364" t="s">
        <v>446</v>
      </c>
      <c r="H364" t="s">
        <v>189</v>
      </c>
      <c r="I364" t="s">
        <v>203</v>
      </c>
      <c r="J364">
        <v>8</v>
      </c>
      <c r="K364">
        <v>25</v>
      </c>
      <c r="L364">
        <v>3</v>
      </c>
      <c r="M364" t="s">
        <v>233</v>
      </c>
      <c r="N364" t="s">
        <v>239</v>
      </c>
      <c r="O364" t="s">
        <v>192</v>
      </c>
      <c r="P364">
        <v>100</v>
      </c>
      <c r="Q364">
        <v>10</v>
      </c>
      <c r="R364" t="s">
        <v>204</v>
      </c>
      <c r="S364" t="s">
        <v>205</v>
      </c>
      <c r="T364" t="s">
        <v>206</v>
      </c>
      <c r="U364" t="s">
        <v>207</v>
      </c>
      <c r="V364" t="s">
        <v>208</v>
      </c>
      <c r="W364" t="s">
        <v>192</v>
      </c>
      <c r="X364" t="s">
        <v>198</v>
      </c>
      <c r="Y364" t="s">
        <v>192</v>
      </c>
      <c r="AA364">
        <v>5</v>
      </c>
      <c r="AB364">
        <v>4</v>
      </c>
      <c r="AC364">
        <v>5</v>
      </c>
      <c r="AE364">
        <v>0</v>
      </c>
      <c r="AF364">
        <v>0</v>
      </c>
      <c r="AG364" t="s">
        <v>192</v>
      </c>
      <c r="AH364" t="s">
        <v>189</v>
      </c>
      <c r="AI364" t="s">
        <v>279</v>
      </c>
      <c r="AJ364" s="9">
        <v>25</v>
      </c>
      <c r="AK364" s="9">
        <v>100</v>
      </c>
      <c r="AL364" s="9">
        <v>0</v>
      </c>
      <c r="AM364" s="9">
        <v>125</v>
      </c>
      <c r="AN364" t="s">
        <v>625</v>
      </c>
    </row>
    <row r="365" spans="1:40" x14ac:dyDescent="0.2">
      <c r="A365" t="s">
        <v>185</v>
      </c>
      <c r="B365" t="s">
        <v>186</v>
      </c>
      <c r="C365">
        <v>61</v>
      </c>
      <c r="D365">
        <v>8096</v>
      </c>
      <c r="E365" t="s">
        <v>220</v>
      </c>
      <c r="F365">
        <v>1</v>
      </c>
      <c r="G365" t="s">
        <v>448</v>
      </c>
      <c r="H365" t="s">
        <v>189</v>
      </c>
      <c r="I365" t="s">
        <v>203</v>
      </c>
      <c r="J365">
        <v>8</v>
      </c>
      <c r="K365">
        <v>17</v>
      </c>
      <c r="L365">
        <v>7</v>
      </c>
      <c r="M365" t="s">
        <v>224</v>
      </c>
      <c r="N365" t="s">
        <v>239</v>
      </c>
      <c r="O365" t="s">
        <v>192</v>
      </c>
      <c r="P365">
        <v>31</v>
      </c>
      <c r="Q365">
        <v>13</v>
      </c>
      <c r="R365" t="s">
        <v>213</v>
      </c>
      <c r="S365" t="s">
        <v>214</v>
      </c>
      <c r="T365" t="s">
        <v>215</v>
      </c>
      <c r="U365" t="s">
        <v>216</v>
      </c>
      <c r="V365" t="s">
        <v>246</v>
      </c>
      <c r="W365" t="s">
        <v>229</v>
      </c>
      <c r="X365" t="s">
        <v>198</v>
      </c>
      <c r="Y365" t="s">
        <v>192</v>
      </c>
      <c r="AA365">
        <v>3</v>
      </c>
      <c r="AB365">
        <v>2</v>
      </c>
      <c r="AC365">
        <v>2</v>
      </c>
      <c r="AE365">
        <v>0</v>
      </c>
      <c r="AF365">
        <v>1</v>
      </c>
      <c r="AG365" t="s">
        <v>192</v>
      </c>
      <c r="AH365" t="s">
        <v>198</v>
      </c>
      <c r="AJ365" s="9">
        <v>17</v>
      </c>
      <c r="AK365" s="9">
        <v>31</v>
      </c>
      <c r="AL365" s="9">
        <v>0</v>
      </c>
      <c r="AM365" s="9">
        <v>48</v>
      </c>
      <c r="AN365" t="s">
        <v>626</v>
      </c>
    </row>
    <row r="366" spans="1:40" x14ac:dyDescent="0.2">
      <c r="A366" t="s">
        <v>185</v>
      </c>
      <c r="B366" t="s">
        <v>186</v>
      </c>
      <c r="C366">
        <v>61</v>
      </c>
      <c r="D366">
        <v>8719</v>
      </c>
      <c r="E366" t="s">
        <v>220</v>
      </c>
      <c r="F366">
        <v>2</v>
      </c>
      <c r="G366" t="s">
        <v>450</v>
      </c>
      <c r="H366" t="s">
        <v>189</v>
      </c>
      <c r="I366" t="s">
        <v>190</v>
      </c>
      <c r="J366">
        <v>5</v>
      </c>
      <c r="K366">
        <v>7</v>
      </c>
      <c r="L366">
        <v>6</v>
      </c>
      <c r="M366" t="s">
        <v>224</v>
      </c>
      <c r="N366" t="s">
        <v>239</v>
      </c>
      <c r="O366" t="s">
        <v>192</v>
      </c>
      <c r="P366">
        <v>0</v>
      </c>
      <c r="Q366">
        <v>0</v>
      </c>
      <c r="R366" t="s">
        <v>193</v>
      </c>
      <c r="S366" t="s">
        <v>194</v>
      </c>
      <c r="U366" t="s">
        <v>250</v>
      </c>
      <c r="V366" t="s">
        <v>196</v>
      </c>
      <c r="W366" t="s">
        <v>197</v>
      </c>
      <c r="X366" t="s">
        <v>198</v>
      </c>
      <c r="Y366" t="s">
        <v>192</v>
      </c>
      <c r="AA366">
        <v>1</v>
      </c>
      <c r="AB366">
        <v>1</v>
      </c>
      <c r="AC366">
        <v>2</v>
      </c>
      <c r="AD366" t="s">
        <v>241</v>
      </c>
      <c r="AE366">
        <v>0</v>
      </c>
      <c r="AF366">
        <v>0</v>
      </c>
      <c r="AG366" t="s">
        <v>192</v>
      </c>
      <c r="AH366" t="s">
        <v>198</v>
      </c>
      <c r="AI366" t="s">
        <v>627</v>
      </c>
      <c r="AJ366" s="9">
        <v>7</v>
      </c>
      <c r="AK366" s="9">
        <v>0</v>
      </c>
      <c r="AL366" s="9">
        <v>0</v>
      </c>
      <c r="AM366" s="9">
        <v>7</v>
      </c>
      <c r="AN366" t="s">
        <v>628</v>
      </c>
    </row>
    <row r="367" spans="1:40" x14ac:dyDescent="0.2">
      <c r="A367" t="s">
        <v>185</v>
      </c>
      <c r="B367" t="s">
        <v>186</v>
      </c>
      <c r="C367">
        <v>61</v>
      </c>
      <c r="D367">
        <v>4423</v>
      </c>
      <c r="E367" t="s">
        <v>220</v>
      </c>
      <c r="F367">
        <v>3</v>
      </c>
      <c r="G367" t="s">
        <v>451</v>
      </c>
      <c r="H367" t="s">
        <v>189</v>
      </c>
      <c r="I367" t="s">
        <v>203</v>
      </c>
      <c r="J367">
        <v>8</v>
      </c>
      <c r="K367">
        <v>1</v>
      </c>
      <c r="L367">
        <v>0</v>
      </c>
      <c r="M367" t="s">
        <v>191</v>
      </c>
      <c r="O367" t="s">
        <v>192</v>
      </c>
      <c r="P367">
        <v>48</v>
      </c>
      <c r="Q367">
        <v>12</v>
      </c>
      <c r="R367" t="s">
        <v>204</v>
      </c>
      <c r="S367" t="s">
        <v>214</v>
      </c>
      <c r="T367" t="s">
        <v>206</v>
      </c>
      <c r="U367" t="s">
        <v>207</v>
      </c>
      <c r="V367" t="s">
        <v>217</v>
      </c>
      <c r="W367" t="s">
        <v>192</v>
      </c>
      <c r="X367" t="s">
        <v>229</v>
      </c>
      <c r="Y367" t="s">
        <v>192</v>
      </c>
      <c r="AA367">
        <v>4</v>
      </c>
      <c r="AB367">
        <v>3</v>
      </c>
      <c r="AC367">
        <v>3</v>
      </c>
      <c r="AE367">
        <v>0</v>
      </c>
      <c r="AF367">
        <v>1</v>
      </c>
      <c r="AG367" t="s">
        <v>192</v>
      </c>
      <c r="AH367" t="s">
        <v>198</v>
      </c>
      <c r="AI367" t="s">
        <v>274</v>
      </c>
      <c r="AJ367" s="9">
        <v>1</v>
      </c>
      <c r="AK367" s="9">
        <v>48</v>
      </c>
      <c r="AL367" s="9">
        <v>0</v>
      </c>
      <c r="AM367" s="9">
        <v>49</v>
      </c>
      <c r="AN367" t="s">
        <v>629</v>
      </c>
    </row>
    <row r="368" spans="1:40" x14ac:dyDescent="0.2">
      <c r="A368" t="s">
        <v>185</v>
      </c>
      <c r="B368" t="s">
        <v>186</v>
      </c>
      <c r="C368">
        <v>62</v>
      </c>
      <c r="D368">
        <v>1756</v>
      </c>
      <c r="E368" t="s">
        <v>187</v>
      </c>
      <c r="F368">
        <v>1</v>
      </c>
      <c r="G368" t="s">
        <v>442</v>
      </c>
      <c r="H368" t="s">
        <v>189</v>
      </c>
      <c r="I368" t="s">
        <v>190</v>
      </c>
      <c r="J368">
        <v>8</v>
      </c>
      <c r="K368">
        <v>26</v>
      </c>
      <c r="L368">
        <v>6</v>
      </c>
      <c r="M368" t="s">
        <v>233</v>
      </c>
      <c r="N368" t="s">
        <v>225</v>
      </c>
      <c r="O368" t="s">
        <v>192</v>
      </c>
      <c r="P368">
        <v>196</v>
      </c>
      <c r="Q368">
        <v>45</v>
      </c>
      <c r="R368" t="s">
        <v>204</v>
      </c>
      <c r="S368" t="s">
        <v>205</v>
      </c>
      <c r="T368" t="s">
        <v>206</v>
      </c>
      <c r="U368" t="s">
        <v>207</v>
      </c>
      <c r="V368" t="s">
        <v>208</v>
      </c>
      <c r="W368" t="s">
        <v>192</v>
      </c>
      <c r="X368" t="s">
        <v>198</v>
      </c>
      <c r="Y368" t="s">
        <v>192</v>
      </c>
      <c r="AA368">
        <v>5</v>
      </c>
      <c r="AB368">
        <v>5</v>
      </c>
      <c r="AC368">
        <v>4</v>
      </c>
      <c r="AE368">
        <v>0</v>
      </c>
      <c r="AF368">
        <v>0</v>
      </c>
      <c r="AG368" t="s">
        <v>192</v>
      </c>
      <c r="AH368" t="s">
        <v>189</v>
      </c>
      <c r="AI368" t="s">
        <v>378</v>
      </c>
      <c r="AJ368" s="9">
        <v>26</v>
      </c>
      <c r="AK368" s="9">
        <v>196</v>
      </c>
      <c r="AL368" s="9">
        <v>0</v>
      </c>
      <c r="AM368" s="9">
        <v>222</v>
      </c>
      <c r="AN368" t="s">
        <v>630</v>
      </c>
    </row>
    <row r="369" spans="1:40" x14ac:dyDescent="0.2">
      <c r="A369" t="s">
        <v>185</v>
      </c>
      <c r="B369" t="s">
        <v>186</v>
      </c>
      <c r="C369">
        <v>62</v>
      </c>
      <c r="D369">
        <v>7472</v>
      </c>
      <c r="E369" t="s">
        <v>187</v>
      </c>
      <c r="F369">
        <v>2</v>
      </c>
      <c r="G369" t="s">
        <v>444</v>
      </c>
      <c r="H369" t="s">
        <v>189</v>
      </c>
      <c r="I369" t="s">
        <v>190</v>
      </c>
      <c r="J369">
        <v>8</v>
      </c>
      <c r="K369">
        <v>9</v>
      </c>
      <c r="L369">
        <v>8</v>
      </c>
      <c r="M369" t="s">
        <v>224</v>
      </c>
      <c r="N369" t="s">
        <v>239</v>
      </c>
      <c r="O369" t="s">
        <v>192</v>
      </c>
      <c r="P369">
        <v>4</v>
      </c>
      <c r="Q369">
        <v>4</v>
      </c>
      <c r="R369" t="s">
        <v>193</v>
      </c>
      <c r="S369" t="s">
        <v>194</v>
      </c>
      <c r="U369" t="s">
        <v>262</v>
      </c>
      <c r="V369" t="s">
        <v>196</v>
      </c>
      <c r="W369" t="s">
        <v>192</v>
      </c>
      <c r="X369" t="s">
        <v>198</v>
      </c>
      <c r="Y369" t="s">
        <v>192</v>
      </c>
      <c r="AA369">
        <v>1</v>
      </c>
      <c r="AB369">
        <v>1</v>
      </c>
      <c r="AC369">
        <v>2</v>
      </c>
      <c r="AE369">
        <v>0</v>
      </c>
      <c r="AF369">
        <v>0</v>
      </c>
      <c r="AG369" t="s">
        <v>192</v>
      </c>
      <c r="AH369" t="s">
        <v>199</v>
      </c>
      <c r="AI369" t="s">
        <v>244</v>
      </c>
      <c r="AJ369" s="9">
        <v>9</v>
      </c>
      <c r="AK369" s="9">
        <v>4</v>
      </c>
      <c r="AL369" s="9">
        <v>0</v>
      </c>
      <c r="AM369" s="9">
        <v>13</v>
      </c>
      <c r="AN369" t="s">
        <v>631</v>
      </c>
    </row>
    <row r="370" spans="1:40" x14ac:dyDescent="0.2">
      <c r="A370" t="s">
        <v>185</v>
      </c>
      <c r="B370" t="s">
        <v>186</v>
      </c>
      <c r="C370">
        <v>62</v>
      </c>
      <c r="D370">
        <v>4213</v>
      </c>
      <c r="E370" t="s">
        <v>187</v>
      </c>
      <c r="F370">
        <v>3</v>
      </c>
      <c r="G370" t="s">
        <v>446</v>
      </c>
      <c r="H370" t="s">
        <v>189</v>
      </c>
      <c r="I370" t="s">
        <v>212</v>
      </c>
      <c r="J370">
        <v>8</v>
      </c>
      <c r="K370">
        <v>6</v>
      </c>
      <c r="L370">
        <v>2</v>
      </c>
      <c r="M370" t="s">
        <v>191</v>
      </c>
      <c r="O370" t="s">
        <v>192</v>
      </c>
      <c r="P370">
        <v>68</v>
      </c>
      <c r="Q370">
        <v>28</v>
      </c>
      <c r="R370" t="s">
        <v>204</v>
      </c>
      <c r="S370" t="s">
        <v>214</v>
      </c>
      <c r="T370" t="s">
        <v>237</v>
      </c>
      <c r="U370" t="s">
        <v>216</v>
      </c>
      <c r="V370" t="s">
        <v>217</v>
      </c>
      <c r="W370" t="s">
        <v>192</v>
      </c>
      <c r="X370" t="s">
        <v>198</v>
      </c>
      <c r="Y370" t="s">
        <v>192</v>
      </c>
      <c r="AA370">
        <v>4</v>
      </c>
      <c r="AB370">
        <v>3</v>
      </c>
      <c r="AC370">
        <v>4</v>
      </c>
      <c r="AE370">
        <v>0</v>
      </c>
      <c r="AF370">
        <v>0</v>
      </c>
      <c r="AG370" t="s">
        <v>192</v>
      </c>
      <c r="AH370" t="s">
        <v>189</v>
      </c>
      <c r="AI370" t="s">
        <v>234</v>
      </c>
      <c r="AJ370" s="9">
        <v>6</v>
      </c>
      <c r="AK370" s="9">
        <v>68</v>
      </c>
      <c r="AL370" s="9">
        <v>0</v>
      </c>
      <c r="AM370" s="9">
        <v>74</v>
      </c>
      <c r="AN370" t="s">
        <v>632</v>
      </c>
    </row>
    <row r="371" spans="1:40" x14ac:dyDescent="0.2">
      <c r="A371" t="s">
        <v>185</v>
      </c>
      <c r="B371" t="s">
        <v>186</v>
      </c>
      <c r="C371">
        <v>62</v>
      </c>
      <c r="D371">
        <v>4787</v>
      </c>
      <c r="E371" t="s">
        <v>220</v>
      </c>
      <c r="F371">
        <v>1</v>
      </c>
      <c r="G371" t="s">
        <v>448</v>
      </c>
      <c r="H371" t="s">
        <v>189</v>
      </c>
      <c r="I371" t="s">
        <v>212</v>
      </c>
      <c r="J371">
        <v>7</v>
      </c>
      <c r="K371">
        <v>1</v>
      </c>
      <c r="L371">
        <v>0</v>
      </c>
      <c r="M371" t="s">
        <v>191</v>
      </c>
      <c r="O371" t="s">
        <v>192</v>
      </c>
      <c r="P371">
        <v>40</v>
      </c>
      <c r="Q371">
        <v>20</v>
      </c>
      <c r="R371" t="s">
        <v>213</v>
      </c>
      <c r="S371" t="s">
        <v>214</v>
      </c>
      <c r="T371" t="s">
        <v>215</v>
      </c>
      <c r="U371" t="s">
        <v>216</v>
      </c>
      <c r="V371" t="s">
        <v>246</v>
      </c>
      <c r="W371" t="s">
        <v>192</v>
      </c>
      <c r="X371" t="s">
        <v>198</v>
      </c>
      <c r="Y371" t="s">
        <v>192</v>
      </c>
      <c r="AA371">
        <v>4</v>
      </c>
      <c r="AB371">
        <v>4</v>
      </c>
      <c r="AC371">
        <v>3</v>
      </c>
      <c r="AE371">
        <v>0</v>
      </c>
      <c r="AF371">
        <v>0</v>
      </c>
      <c r="AG371" t="s">
        <v>192</v>
      </c>
      <c r="AH371" t="s">
        <v>199</v>
      </c>
      <c r="AJ371" s="9">
        <v>1</v>
      </c>
      <c r="AK371" s="9">
        <v>40</v>
      </c>
      <c r="AL371" s="9">
        <v>0</v>
      </c>
      <c r="AM371" s="9">
        <v>41</v>
      </c>
      <c r="AN371" t="s">
        <v>633</v>
      </c>
    </row>
    <row r="372" spans="1:40" x14ac:dyDescent="0.2">
      <c r="A372" t="s">
        <v>185</v>
      </c>
      <c r="B372" t="s">
        <v>186</v>
      </c>
      <c r="C372">
        <v>62</v>
      </c>
      <c r="D372">
        <v>1625</v>
      </c>
      <c r="E372" t="s">
        <v>220</v>
      </c>
      <c r="F372">
        <v>2</v>
      </c>
      <c r="G372" t="s">
        <v>450</v>
      </c>
      <c r="H372" t="s">
        <v>189</v>
      </c>
      <c r="I372" t="s">
        <v>212</v>
      </c>
      <c r="J372">
        <v>8</v>
      </c>
      <c r="K372">
        <v>27</v>
      </c>
      <c r="L372">
        <v>7</v>
      </c>
      <c r="M372" t="s">
        <v>224</v>
      </c>
      <c r="N372" t="s">
        <v>239</v>
      </c>
      <c r="O372" t="s">
        <v>192</v>
      </c>
      <c r="P372">
        <v>39</v>
      </c>
      <c r="Q372">
        <v>10</v>
      </c>
      <c r="R372" t="s">
        <v>204</v>
      </c>
      <c r="S372" t="s">
        <v>205</v>
      </c>
      <c r="T372" t="s">
        <v>206</v>
      </c>
      <c r="U372" t="s">
        <v>207</v>
      </c>
      <c r="V372" t="s">
        <v>208</v>
      </c>
      <c r="W372" t="s">
        <v>192</v>
      </c>
      <c r="X372" t="s">
        <v>198</v>
      </c>
      <c r="Y372" t="s">
        <v>192</v>
      </c>
      <c r="AA372">
        <v>3</v>
      </c>
      <c r="AB372">
        <v>5</v>
      </c>
      <c r="AC372">
        <v>4</v>
      </c>
      <c r="AD372" t="s">
        <v>317</v>
      </c>
      <c r="AE372">
        <v>0</v>
      </c>
      <c r="AF372">
        <v>0</v>
      </c>
      <c r="AG372" t="s">
        <v>192</v>
      </c>
      <c r="AH372" t="s">
        <v>189</v>
      </c>
      <c r="AI372" t="s">
        <v>399</v>
      </c>
      <c r="AJ372" s="9">
        <v>27</v>
      </c>
      <c r="AK372" s="9">
        <v>39</v>
      </c>
      <c r="AL372" s="9">
        <v>0</v>
      </c>
      <c r="AM372" s="9">
        <v>66</v>
      </c>
      <c r="AN372" t="s">
        <v>634</v>
      </c>
    </row>
    <row r="373" spans="1:40" x14ac:dyDescent="0.2">
      <c r="A373" t="s">
        <v>185</v>
      </c>
      <c r="B373" t="s">
        <v>186</v>
      </c>
      <c r="C373">
        <v>62</v>
      </c>
      <c r="D373">
        <v>648</v>
      </c>
      <c r="E373" t="s">
        <v>220</v>
      </c>
      <c r="F373">
        <v>3</v>
      </c>
      <c r="G373" t="s">
        <v>451</v>
      </c>
      <c r="H373" t="s">
        <v>189</v>
      </c>
      <c r="I373" t="s">
        <v>190</v>
      </c>
      <c r="J373">
        <v>8</v>
      </c>
      <c r="K373">
        <v>7</v>
      </c>
      <c r="L373">
        <v>2</v>
      </c>
      <c r="M373" t="s">
        <v>191</v>
      </c>
      <c r="O373" t="s">
        <v>192</v>
      </c>
      <c r="P373">
        <v>27</v>
      </c>
      <c r="Q373">
        <v>9</v>
      </c>
      <c r="R373" t="s">
        <v>213</v>
      </c>
      <c r="S373" t="s">
        <v>194</v>
      </c>
      <c r="U373" t="s">
        <v>250</v>
      </c>
      <c r="V373" t="s">
        <v>246</v>
      </c>
      <c r="W373" t="s">
        <v>197</v>
      </c>
      <c r="X373" t="s">
        <v>198</v>
      </c>
      <c r="Y373" t="s">
        <v>192</v>
      </c>
      <c r="AA373">
        <v>1</v>
      </c>
      <c r="AB373">
        <v>3</v>
      </c>
      <c r="AC373">
        <v>3</v>
      </c>
      <c r="AE373">
        <v>0</v>
      </c>
      <c r="AF373">
        <v>0</v>
      </c>
      <c r="AG373" t="s">
        <v>192</v>
      </c>
      <c r="AH373" t="s">
        <v>198</v>
      </c>
      <c r="AI373" t="s">
        <v>260</v>
      </c>
      <c r="AJ373" s="9">
        <v>7</v>
      </c>
      <c r="AK373" s="9">
        <v>27</v>
      </c>
      <c r="AL373" s="9">
        <v>0</v>
      </c>
      <c r="AM373" s="9">
        <v>34</v>
      </c>
      <c r="AN373" t="s">
        <v>635</v>
      </c>
    </row>
  </sheetData>
  <conditionalFormatting sqref="A2:AN5000">
    <cfRule type="expression" dxfId="2" priority="1" stopIfTrue="1">
      <formula>($A2&lt;&gt;"")*($A2&lt;&gt;"S39-44228b4d")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0594B-E6FF-47DA-8BFE-572E94D24BD3}">
  <dimension ref="A1:AC304"/>
  <sheetViews>
    <sheetView tabSelected="1" workbookViewId="0">
      <pane xSplit="1" ySplit="4" topLeftCell="B5" activePane="bottomRight" state="frozenSplit"/>
      <selection pane="topRight" activeCell="B1" sqref="B1"/>
      <selection pane="bottomLeft" activeCell="A5" sqref="A5"/>
      <selection pane="bottomRight" activeCell="A5" sqref="A5"/>
    </sheetView>
  </sheetViews>
  <sheetFormatPr defaultRowHeight="12.75" x14ac:dyDescent="0.2"/>
  <cols>
    <col min="1" max="18" width="11.7109375" customWidth="1"/>
    <col min="19" max="19" width="3.7109375" customWidth="1"/>
    <col min="20" max="29" width="11.7109375" customWidth="1"/>
  </cols>
  <sheetData>
    <row r="1" spans="1:29" ht="27.95" customHeight="1" x14ac:dyDescent="0.3">
      <c r="A1" s="2" t="s">
        <v>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9" x14ac:dyDescent="0.2">
      <c r="A2" s="4" t="s">
        <v>60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29" x14ac:dyDescent="0.2">
      <c r="T3" s="5" t="s">
        <v>78</v>
      </c>
    </row>
    <row r="4" spans="1:29" ht="30" customHeight="1" x14ac:dyDescent="0.2">
      <c r="A4" s="10" t="s">
        <v>13</v>
      </c>
      <c r="B4" s="10" t="s">
        <v>61</v>
      </c>
      <c r="C4" s="10" t="s">
        <v>62</v>
      </c>
      <c r="D4" s="10" t="s">
        <v>63</v>
      </c>
      <c r="E4" s="10" t="s">
        <v>64</v>
      </c>
      <c r="F4" s="10" t="s">
        <v>65</v>
      </c>
      <c r="G4" s="10" t="s">
        <v>66</v>
      </c>
      <c r="H4" s="10" t="s">
        <v>67</v>
      </c>
      <c r="I4" s="10" t="s">
        <v>68</v>
      </c>
      <c r="J4" s="10" t="s">
        <v>69</v>
      </c>
      <c r="K4" s="10" t="s">
        <v>70</v>
      </c>
      <c r="L4" s="10" t="s">
        <v>71</v>
      </c>
      <c r="M4" s="10" t="s">
        <v>72</v>
      </c>
      <c r="N4" s="10" t="s">
        <v>73</v>
      </c>
      <c r="O4" s="10" t="s">
        <v>74</v>
      </c>
      <c r="P4" s="10" t="s">
        <v>75</v>
      </c>
      <c r="Q4" s="10" t="s">
        <v>76</v>
      </c>
      <c r="R4" s="10" t="s">
        <v>77</v>
      </c>
      <c r="T4" s="8" t="s">
        <v>77</v>
      </c>
      <c r="U4" s="8" t="s">
        <v>13</v>
      </c>
      <c r="V4" s="8" t="s">
        <v>65</v>
      </c>
      <c r="W4" s="8" t="s">
        <v>62</v>
      </c>
      <c r="X4" s="8" t="s">
        <v>63</v>
      </c>
      <c r="Y4" s="8" t="s">
        <v>64</v>
      </c>
      <c r="Z4" s="8" t="s">
        <v>69</v>
      </c>
      <c r="AA4" s="8" t="s">
        <v>67</v>
      </c>
      <c r="AB4" s="8" t="s">
        <v>73</v>
      </c>
      <c r="AC4" s="8" t="s">
        <v>75</v>
      </c>
    </row>
    <row r="5" spans="1:29" x14ac:dyDescent="0.2">
      <c r="A5" s="11" cm="1">
        <f t="array" ref="A5:A35">IFERROR(_xlfn._xlws.SORT(_xlfn.UNIQUE(_xlfn._xlws.FILTER(Scans[Team '#],Scans[Team '#]&lt;&gt;""))),"")</f>
        <v>648</v>
      </c>
      <c r="B5" s="12" cm="1">
        <f t="array" ref="B5:B35">IF(_xlfn.ANCHORARRAY(A5)="","",COUNTIFS(Scans[Team '#],_xlfn.ANCHORARRAY(A5)))</f>
        <v>12</v>
      </c>
      <c r="C5" s="13" cm="1">
        <f t="array" ref="C5:C35">IF(_xlfn.ANCHORARRAY(A5)="","",AVERAGEIFS(Scans[Auto pts],Scans[Team '#],_xlfn.ANCHORARRAY(A5)))</f>
        <v>8.1666666666666661</v>
      </c>
      <c r="D5" s="13" cm="1">
        <f t="array" ref="D5:D35">IF(_xlfn.ANCHORARRAY(A5)="","",AVERAGEIFS(Scans[Teleop fuel pts],Scans[Team '#],_xlfn.ANCHORARRAY(A5)))</f>
        <v>14</v>
      </c>
      <c r="E5" s="13" cm="1">
        <f t="array" ref="E5:E35">IF(_xlfn.ANCHORARRAY(A5)="","",AVERAGEIFS(Scans[Climb pts],Scans[Team '#],_xlfn.ANCHORARRAY(A5)))</f>
        <v>0</v>
      </c>
      <c r="F5" s="13" cm="1">
        <f t="array" ref="F5:F35">IF(_xlfn.ANCHORARRAY(A5)="","",AVERAGEIFS(Scans[Total pts],Scans[Team '#],_xlfn.ANCHORARRAY(A5)))</f>
        <v>22.166666666666668</v>
      </c>
      <c r="G5" s="12" cm="1">
        <f t="array" ref="G5:G35">IF(_xlfn.ANCHORARRAY(A5)="","",_xlfn.MAXIFS(Scans[Total pts],Scans[Team '#],_xlfn.ANCHORARRAY(A5)))</f>
        <v>37</v>
      </c>
      <c r="H5" s="14" cm="1">
        <f t="array" ref="H5:H35">IF(_xlfn.ANCHORARRAY(A5)="","",IFERROR((SUMIFS(Scans[Auto fuel scored],Scans[Team '#],_xlfn.ANCHORARRAY(A5))+SUMIFS(Scans[Teleop fuel scored],Scans[Team '#],_xlfn.ANCHORARRAY(A5)))/(SUMIFS(Scans[Auto fuel scored],Scans[Team '#],_xlfn.ANCHORARRAY(A5))+SUMIFS(Scans[Teleop fuel scored],Scans[Team '#],_xlfn.ANCHORARRAY(A5))+SUMIFS(Scans[Auto fuel missed],Scans[Team '#],_xlfn.ANCHORARRAY(A5))+SUMIFS(Scans[Teleop fuel missed],Scans[Team '#],_xlfn.ANCHORARRAY(A5))),""))</f>
        <v>0.67341772151898738</v>
      </c>
      <c r="I5" s="14" cm="1">
        <f t="array" ref="I5:I35">IF(_xlfn.ANCHORARRAY(A5)="","",COUNTIFS(Scans[Team '#],_xlfn.ANCHORARRAY(A5),Scans[Tower climb in auto],"Level 1")/_xlfn.ANCHORARRAY(B5))</f>
        <v>0</v>
      </c>
      <c r="J5" s="14" cm="1">
        <f t="array" ref="J5:J35">IF(_xlfn.ANCHORARRAY(A5)="","",COUNTIFS(Scans[Team '#],_xlfn.ANCHORARRAY(A5),Scans[Tower climb],"Level*")/_xlfn.ANCHORARRAY(B5))</f>
        <v>0</v>
      </c>
      <c r="K5" s="12" cm="1">
        <f t="array" ref="K5:K35">IF(_xlfn.ANCHORARRAY(A5)="","",COUNTIFS(Scans[Team '#],_xlfn.ANCHORARRAY(A5),Scans[Tower climb],"Level 3"))</f>
        <v>0</v>
      </c>
      <c r="L5" s="13" cm="1">
        <f t="array" ref="L5:L35">IF(_xlfn.ANCHORARRAY(A5)="","",IFERROR(AVERAGEIFS(Scans[Driver skill],Scans[Team '#],_xlfn.ANCHORARRAY(A5)),""))</f>
        <v>2</v>
      </c>
      <c r="M5" s="12" cm="1">
        <f t="array" ref="M5:M35">IF(_xlfn.ANCHORARRAY(A5)="","",COUNTIFS(Scans[Team '#],_xlfn.ANCHORARRAY(A5),Scans[Played defense],"Some")+COUNTIFS(Scans[Team '#],_xlfn.ANCHORARRAY(A5),Scans[Played defense],"A lot"))</f>
        <v>12</v>
      </c>
      <c r="N5" s="12" cm="1">
        <f t="array" ref="N5:N35">IF(_xlfn.ANCHORARRAY(A5)="","",COUNTIFS(Scans[Team '#],_xlfn.ANCHORARRAY(A5),Scans[Problems],"&lt;&gt;"))</f>
        <v>2</v>
      </c>
      <c r="O5" s="12" cm="1">
        <f t="array" ref="O5:O35">IF(_xlfn.ANCHORARRAY(A5)="","",SUMIFS(Scans[Minor fouls],Scans[Team '#],_xlfn.ANCHORARRAY(A5))+SUMIFS(Scans[Major fouls],Scans[Team '#],_xlfn.ANCHORARRAY(A5)))</f>
        <v>1</v>
      </c>
      <c r="P5" s="12" cm="1">
        <f t="array" ref="P5:P35">IF(_xlfn.ANCHORARRAY(A5)="","",COUNTIFS(Scans[Team '#],_xlfn.ANCHORARRAY(A5),Scans[Pick?],"Yes"))</f>
        <v>0</v>
      </c>
      <c r="Q5" s="12" cm="1">
        <f t="array" ref="Q5:Q35">IF(_xlfn.ANCHORARRAY(A5)="","",COUNTIFS(Scans[Team '#],_xlfn.ANCHORARRAY(A5),Scans[Robot on field?],"No show"))</f>
        <v>0</v>
      </c>
      <c r="R5" s="12" cm="1">
        <f t="array" ref="R5:R35">IF(_xlfn.ANCHORARRAY(A5)="","",_xlfn.RANK.EQ(_xlfn.ANCHORARRAY(F5),_xlfn.ANCHORARRAY(F5)))</f>
        <v>25</v>
      </c>
      <c r="T5" s="15" cm="1">
        <f t="array" ref="T5:T35">IF(A5="","",_xlfn.SEQUENCE(ROWS(_xlfn.ANCHORARRAY(A5))))</f>
        <v>1</v>
      </c>
      <c r="U5" s="16" cm="1">
        <f t="array" ref="U5:AC35">IF(A5="","",_xlfn.SORTBY(_xlfn.HSTACK(_xlfn.ANCHORARRAY(A5),_xlfn.ANCHORARRAY(F5),_xlfn.ANCHORARRAY(C5),_xlfn.ANCHORARRAY(D5),_xlfn.ANCHORARRAY(E5),_xlfn.ANCHORARRAY(J5),_xlfn.ANCHORARRAY(H5),_xlfn.ANCHORARRAY(N5),_xlfn.ANCHORARRAY(P5)),_xlfn.ANCHORARRAY(F5),-1))</f>
        <v>2481</v>
      </c>
      <c r="V5" s="13">
        <v>275.91666666666669</v>
      </c>
      <c r="W5" s="13">
        <v>75.416666666666671</v>
      </c>
      <c r="X5" s="13">
        <v>200.5</v>
      </c>
      <c r="Y5" s="13">
        <v>0</v>
      </c>
      <c r="Z5" s="14">
        <v>0</v>
      </c>
      <c r="AA5" s="14">
        <v>0.79572218216774815</v>
      </c>
      <c r="AB5" s="15">
        <v>1</v>
      </c>
      <c r="AC5" s="15">
        <v>12</v>
      </c>
    </row>
    <row r="6" spans="1:29" x14ac:dyDescent="0.2">
      <c r="A6" s="11">
        <v>1625</v>
      </c>
      <c r="B6" s="12">
        <v>12</v>
      </c>
      <c r="C6" s="13">
        <v>26.416666666666668</v>
      </c>
      <c r="D6" s="13">
        <v>70.583333333333329</v>
      </c>
      <c r="E6" s="13">
        <v>0</v>
      </c>
      <c r="F6" s="13">
        <v>97</v>
      </c>
      <c r="G6" s="12">
        <v>137</v>
      </c>
      <c r="H6" s="14">
        <v>0.76679841897233203</v>
      </c>
      <c r="I6" s="14">
        <v>0</v>
      </c>
      <c r="J6" s="14">
        <v>0</v>
      </c>
      <c r="K6" s="12">
        <v>0</v>
      </c>
      <c r="L6" s="13">
        <v>4.083333333333333</v>
      </c>
      <c r="M6" s="12">
        <v>1</v>
      </c>
      <c r="N6" s="12">
        <v>1</v>
      </c>
      <c r="O6" s="12">
        <v>3</v>
      </c>
      <c r="P6" s="12">
        <v>12</v>
      </c>
      <c r="Q6" s="12">
        <v>0</v>
      </c>
      <c r="R6" s="12">
        <v>5</v>
      </c>
      <c r="T6" s="15">
        <v>2</v>
      </c>
      <c r="U6" s="16">
        <v>4143</v>
      </c>
      <c r="V6" s="13">
        <v>166.75</v>
      </c>
      <c r="W6" s="13">
        <v>35.666666666666664</v>
      </c>
      <c r="X6" s="13">
        <v>131.08333333333334</v>
      </c>
      <c r="Y6" s="13">
        <v>0</v>
      </c>
      <c r="Z6" s="14">
        <v>0</v>
      </c>
      <c r="AA6" s="14">
        <v>0.87341772151898733</v>
      </c>
      <c r="AB6" s="15">
        <v>3</v>
      </c>
      <c r="AC6" s="15">
        <v>12</v>
      </c>
    </row>
    <row r="7" spans="1:29" x14ac:dyDescent="0.2">
      <c r="A7" s="11">
        <v>1736</v>
      </c>
      <c r="B7" s="12">
        <v>12</v>
      </c>
      <c r="C7" s="13">
        <v>3.8333333333333335</v>
      </c>
      <c r="D7" s="13">
        <v>20.916666666666668</v>
      </c>
      <c r="E7" s="13">
        <v>0</v>
      </c>
      <c r="F7" s="13">
        <v>24.75</v>
      </c>
      <c r="G7" s="12">
        <v>40</v>
      </c>
      <c r="H7" s="14">
        <v>0.6659192825112108</v>
      </c>
      <c r="I7" s="14">
        <v>0</v>
      </c>
      <c r="J7" s="14">
        <v>0</v>
      </c>
      <c r="K7" s="12">
        <v>0</v>
      </c>
      <c r="L7" s="13">
        <v>2.3333333333333335</v>
      </c>
      <c r="M7" s="12">
        <v>2</v>
      </c>
      <c r="N7" s="12">
        <v>0</v>
      </c>
      <c r="O7" s="12">
        <v>5</v>
      </c>
      <c r="P7" s="12">
        <v>0</v>
      </c>
      <c r="Q7" s="12">
        <v>0</v>
      </c>
      <c r="R7" s="12">
        <v>22</v>
      </c>
      <c r="T7" s="15">
        <v>3</v>
      </c>
      <c r="U7" s="16">
        <v>1756</v>
      </c>
      <c r="V7" s="13">
        <v>163.33333333333334</v>
      </c>
      <c r="W7" s="13">
        <v>19.166666666666668</v>
      </c>
      <c r="X7" s="13">
        <v>144.16666666666666</v>
      </c>
      <c r="Y7" s="13">
        <v>0</v>
      </c>
      <c r="Z7" s="14">
        <v>0</v>
      </c>
      <c r="AA7" s="14">
        <v>0.83333333333333337</v>
      </c>
      <c r="AB7" s="15">
        <v>1</v>
      </c>
      <c r="AC7" s="15">
        <v>12</v>
      </c>
    </row>
    <row r="8" spans="1:29" x14ac:dyDescent="0.2">
      <c r="A8" s="11">
        <v>1756</v>
      </c>
      <c r="B8" s="12">
        <v>12</v>
      </c>
      <c r="C8" s="13">
        <v>19.166666666666668</v>
      </c>
      <c r="D8" s="13">
        <v>144.16666666666666</v>
      </c>
      <c r="E8" s="13">
        <v>0</v>
      </c>
      <c r="F8" s="13">
        <v>163.33333333333334</v>
      </c>
      <c r="G8" s="12">
        <v>261</v>
      </c>
      <c r="H8" s="14">
        <v>0.83333333333333337</v>
      </c>
      <c r="I8" s="14">
        <v>0</v>
      </c>
      <c r="J8" s="14">
        <v>0</v>
      </c>
      <c r="K8" s="12">
        <v>0</v>
      </c>
      <c r="L8" s="13">
        <v>4.333333333333333</v>
      </c>
      <c r="M8" s="12">
        <v>1</v>
      </c>
      <c r="N8" s="12">
        <v>1</v>
      </c>
      <c r="O8" s="12">
        <v>4</v>
      </c>
      <c r="P8" s="12">
        <v>12</v>
      </c>
      <c r="Q8" s="12">
        <v>0</v>
      </c>
      <c r="R8" s="12">
        <v>3</v>
      </c>
      <c r="T8" s="15">
        <v>4</v>
      </c>
      <c r="U8" s="16">
        <v>2040</v>
      </c>
      <c r="V8" s="13">
        <v>116.08333333333333</v>
      </c>
      <c r="W8" s="13">
        <v>23.416666666666668</v>
      </c>
      <c r="X8" s="13">
        <v>92.666666666666671</v>
      </c>
      <c r="Y8" s="13">
        <v>0</v>
      </c>
      <c r="Z8" s="14">
        <v>0</v>
      </c>
      <c r="AA8" s="14">
        <v>0.78700564971751408</v>
      </c>
      <c r="AB8" s="15">
        <v>1</v>
      </c>
      <c r="AC8" s="15">
        <v>12</v>
      </c>
    </row>
    <row r="9" spans="1:29" x14ac:dyDescent="0.2">
      <c r="A9" s="11">
        <v>2022</v>
      </c>
      <c r="B9" s="12">
        <v>12</v>
      </c>
      <c r="C9" s="13">
        <v>3.1666666666666665</v>
      </c>
      <c r="D9" s="13">
        <v>35.666666666666664</v>
      </c>
      <c r="E9" s="13">
        <v>0</v>
      </c>
      <c r="F9" s="13">
        <v>38.833333333333336</v>
      </c>
      <c r="G9" s="12">
        <v>77</v>
      </c>
      <c r="H9" s="14">
        <v>0.85036496350364965</v>
      </c>
      <c r="I9" s="14">
        <v>0</v>
      </c>
      <c r="J9" s="14">
        <v>0</v>
      </c>
      <c r="K9" s="12">
        <v>0</v>
      </c>
      <c r="L9" s="13">
        <v>3</v>
      </c>
      <c r="M9" s="12">
        <v>2</v>
      </c>
      <c r="N9" s="12">
        <v>1</v>
      </c>
      <c r="O9" s="12">
        <v>4</v>
      </c>
      <c r="P9" s="12">
        <v>2</v>
      </c>
      <c r="Q9" s="12">
        <v>0</v>
      </c>
      <c r="R9" s="12">
        <v>17</v>
      </c>
      <c r="T9" s="15">
        <v>5</v>
      </c>
      <c r="U9" s="16">
        <v>1625</v>
      </c>
      <c r="V9" s="13">
        <v>97</v>
      </c>
      <c r="W9" s="13">
        <v>26.416666666666668</v>
      </c>
      <c r="X9" s="13">
        <v>70.583333333333329</v>
      </c>
      <c r="Y9" s="13">
        <v>0</v>
      </c>
      <c r="Z9" s="14">
        <v>0</v>
      </c>
      <c r="AA9" s="14">
        <v>0.76679841897233203</v>
      </c>
      <c r="AB9" s="15">
        <v>1</v>
      </c>
      <c r="AC9" s="15">
        <v>12</v>
      </c>
    </row>
    <row r="10" spans="1:29" x14ac:dyDescent="0.2">
      <c r="A10" s="11">
        <v>2039</v>
      </c>
      <c r="B10" s="12">
        <v>12</v>
      </c>
      <c r="C10" s="13">
        <v>1.1666666666666667</v>
      </c>
      <c r="D10" s="13">
        <v>2.4166666666666665</v>
      </c>
      <c r="E10" s="13">
        <v>1.6666666666666667</v>
      </c>
      <c r="F10" s="13">
        <v>5.25</v>
      </c>
      <c r="G10" s="12">
        <v>15</v>
      </c>
      <c r="H10" s="14">
        <v>0.46236559139784944</v>
      </c>
      <c r="I10" s="14">
        <v>0</v>
      </c>
      <c r="J10" s="14">
        <v>0.16666666666666666</v>
      </c>
      <c r="K10" s="12">
        <v>0</v>
      </c>
      <c r="L10" s="13">
        <v>1.5</v>
      </c>
      <c r="M10" s="12">
        <v>12</v>
      </c>
      <c r="N10" s="12">
        <v>0</v>
      </c>
      <c r="O10" s="12">
        <v>5</v>
      </c>
      <c r="P10" s="12">
        <v>0</v>
      </c>
      <c r="Q10" s="12">
        <v>0</v>
      </c>
      <c r="R10" s="12">
        <v>31</v>
      </c>
      <c r="T10" s="15">
        <v>6</v>
      </c>
      <c r="U10" s="16">
        <v>8020</v>
      </c>
      <c r="V10" s="13">
        <v>92</v>
      </c>
      <c r="W10" s="13">
        <v>21.75</v>
      </c>
      <c r="X10" s="13">
        <v>70.25</v>
      </c>
      <c r="Y10" s="13">
        <v>0</v>
      </c>
      <c r="Z10" s="14">
        <v>0</v>
      </c>
      <c r="AA10" s="14">
        <v>0.84532924961715161</v>
      </c>
      <c r="AB10" s="15">
        <v>4</v>
      </c>
      <c r="AC10" s="15">
        <v>12</v>
      </c>
    </row>
    <row r="11" spans="1:29" x14ac:dyDescent="0.2">
      <c r="A11" s="11">
        <v>2040</v>
      </c>
      <c r="B11" s="12">
        <v>12</v>
      </c>
      <c r="C11" s="13">
        <v>23.416666666666668</v>
      </c>
      <c r="D11" s="13">
        <v>92.666666666666671</v>
      </c>
      <c r="E11" s="13">
        <v>0</v>
      </c>
      <c r="F11" s="13">
        <v>116.08333333333333</v>
      </c>
      <c r="G11" s="12">
        <v>149</v>
      </c>
      <c r="H11" s="14">
        <v>0.78700564971751408</v>
      </c>
      <c r="I11" s="14">
        <v>0</v>
      </c>
      <c r="J11" s="14">
        <v>0</v>
      </c>
      <c r="K11" s="12">
        <v>0</v>
      </c>
      <c r="L11" s="13">
        <v>4.5</v>
      </c>
      <c r="M11" s="12">
        <v>0</v>
      </c>
      <c r="N11" s="12">
        <v>1</v>
      </c>
      <c r="O11" s="12">
        <v>1</v>
      </c>
      <c r="P11" s="12">
        <v>12</v>
      </c>
      <c r="Q11" s="12">
        <v>0</v>
      </c>
      <c r="R11" s="12">
        <v>4</v>
      </c>
      <c r="T11" s="15">
        <v>7</v>
      </c>
      <c r="U11" s="16">
        <v>2861</v>
      </c>
      <c r="V11" s="13">
        <v>83.083333333333329</v>
      </c>
      <c r="W11" s="13">
        <v>16.25</v>
      </c>
      <c r="X11" s="13">
        <v>66.833333333333329</v>
      </c>
      <c r="Y11" s="13">
        <v>0</v>
      </c>
      <c r="Z11" s="14">
        <v>0</v>
      </c>
      <c r="AA11" s="14">
        <v>0.86545138888888884</v>
      </c>
      <c r="AB11" s="15">
        <v>2</v>
      </c>
      <c r="AC11" s="15">
        <v>12</v>
      </c>
    </row>
    <row r="12" spans="1:29" x14ac:dyDescent="0.2">
      <c r="A12" s="11">
        <v>2481</v>
      </c>
      <c r="B12" s="12">
        <v>12</v>
      </c>
      <c r="C12" s="13">
        <v>75.416666666666671</v>
      </c>
      <c r="D12" s="13">
        <v>200.5</v>
      </c>
      <c r="E12" s="13">
        <v>0</v>
      </c>
      <c r="F12" s="13">
        <v>275.91666666666669</v>
      </c>
      <c r="G12" s="12">
        <v>381</v>
      </c>
      <c r="H12" s="14">
        <v>0.79572218216774815</v>
      </c>
      <c r="I12" s="14">
        <v>0</v>
      </c>
      <c r="J12" s="14">
        <v>0</v>
      </c>
      <c r="K12" s="12">
        <v>0</v>
      </c>
      <c r="L12" s="13">
        <v>4.75</v>
      </c>
      <c r="M12" s="12">
        <v>0</v>
      </c>
      <c r="N12" s="12">
        <v>1</v>
      </c>
      <c r="O12" s="12">
        <v>5</v>
      </c>
      <c r="P12" s="12">
        <v>12</v>
      </c>
      <c r="Q12" s="12">
        <v>0</v>
      </c>
      <c r="R12" s="12">
        <v>1</v>
      </c>
      <c r="T12" s="15">
        <v>8</v>
      </c>
      <c r="U12" s="16">
        <v>9082</v>
      </c>
      <c r="V12" s="13">
        <v>76.25</v>
      </c>
      <c r="W12" s="13">
        <v>8.1666666666666661</v>
      </c>
      <c r="X12" s="13">
        <v>68.083333333333329</v>
      </c>
      <c r="Y12" s="13">
        <v>0</v>
      </c>
      <c r="Z12" s="14">
        <v>0</v>
      </c>
      <c r="AA12" s="14">
        <v>0.93462717058222677</v>
      </c>
      <c r="AB12" s="15">
        <v>1</v>
      </c>
      <c r="AC12" s="15">
        <v>12</v>
      </c>
    </row>
    <row r="13" spans="1:29" x14ac:dyDescent="0.2">
      <c r="A13" s="11">
        <v>2861</v>
      </c>
      <c r="B13" s="12">
        <v>12</v>
      </c>
      <c r="C13" s="13">
        <v>16.25</v>
      </c>
      <c r="D13" s="13">
        <v>66.833333333333329</v>
      </c>
      <c r="E13" s="13">
        <v>0</v>
      </c>
      <c r="F13" s="13">
        <v>83.083333333333329</v>
      </c>
      <c r="G13" s="12">
        <v>130</v>
      </c>
      <c r="H13" s="14">
        <v>0.86545138888888884</v>
      </c>
      <c r="I13" s="14">
        <v>0</v>
      </c>
      <c r="J13" s="14">
        <v>0</v>
      </c>
      <c r="K13" s="12">
        <v>0</v>
      </c>
      <c r="L13" s="13">
        <v>4.666666666666667</v>
      </c>
      <c r="M13" s="12">
        <v>1</v>
      </c>
      <c r="N13" s="12">
        <v>2</v>
      </c>
      <c r="O13" s="12">
        <v>1</v>
      </c>
      <c r="P13" s="12">
        <v>12</v>
      </c>
      <c r="Q13" s="12">
        <v>0</v>
      </c>
      <c r="R13" s="12">
        <v>7</v>
      </c>
      <c r="T13" s="15">
        <v>9</v>
      </c>
      <c r="U13" s="16">
        <v>6237</v>
      </c>
      <c r="V13" s="13">
        <v>69.833333333333329</v>
      </c>
      <c r="W13" s="13">
        <v>2.4166666666666665</v>
      </c>
      <c r="X13" s="13">
        <v>67.416666666666671</v>
      </c>
      <c r="Y13" s="13">
        <v>0</v>
      </c>
      <c r="Z13" s="14">
        <v>0</v>
      </c>
      <c r="AA13" s="14">
        <v>0.7570009033423668</v>
      </c>
      <c r="AB13" s="15">
        <v>1</v>
      </c>
      <c r="AC13" s="15">
        <v>12</v>
      </c>
    </row>
    <row r="14" spans="1:29" x14ac:dyDescent="0.2">
      <c r="A14" s="11">
        <v>3067</v>
      </c>
      <c r="B14" s="12">
        <v>12</v>
      </c>
      <c r="C14" s="13">
        <v>3.0833333333333335</v>
      </c>
      <c r="D14" s="13">
        <v>37.166666666666664</v>
      </c>
      <c r="E14" s="13">
        <v>0</v>
      </c>
      <c r="F14" s="13">
        <v>40.25</v>
      </c>
      <c r="G14" s="12">
        <v>85</v>
      </c>
      <c r="H14" s="14">
        <v>0.86096256684491979</v>
      </c>
      <c r="I14" s="14">
        <v>0</v>
      </c>
      <c r="J14" s="14">
        <v>0</v>
      </c>
      <c r="K14" s="12">
        <v>0</v>
      </c>
      <c r="L14" s="13">
        <v>3.75</v>
      </c>
      <c r="M14" s="12">
        <v>0</v>
      </c>
      <c r="N14" s="12">
        <v>2</v>
      </c>
      <c r="O14" s="12">
        <v>1</v>
      </c>
      <c r="P14" s="12">
        <v>2</v>
      </c>
      <c r="Q14" s="12">
        <v>0</v>
      </c>
      <c r="R14" s="12">
        <v>16</v>
      </c>
      <c r="T14" s="15">
        <v>10</v>
      </c>
      <c r="U14" s="16">
        <v>4096</v>
      </c>
      <c r="V14" s="13">
        <v>65.5</v>
      </c>
      <c r="W14" s="13">
        <v>9.0833333333333339</v>
      </c>
      <c r="X14" s="13">
        <v>56.416666666666664</v>
      </c>
      <c r="Y14" s="13">
        <v>0</v>
      </c>
      <c r="Z14" s="14">
        <v>0</v>
      </c>
      <c r="AA14" s="14">
        <v>0.8571428571428571</v>
      </c>
      <c r="AB14" s="15">
        <v>2</v>
      </c>
      <c r="AC14" s="15">
        <v>2</v>
      </c>
    </row>
    <row r="15" spans="1:29" x14ac:dyDescent="0.2">
      <c r="A15" s="11">
        <v>3284</v>
      </c>
      <c r="B15" s="12">
        <v>12</v>
      </c>
      <c r="C15" s="13">
        <v>10.333333333333334</v>
      </c>
      <c r="D15" s="13">
        <v>14.75</v>
      </c>
      <c r="E15" s="13">
        <v>0</v>
      </c>
      <c r="F15" s="13">
        <v>25.083333333333332</v>
      </c>
      <c r="G15" s="12">
        <v>46</v>
      </c>
      <c r="H15" s="14">
        <v>0.66740576496674053</v>
      </c>
      <c r="I15" s="14">
        <v>0</v>
      </c>
      <c r="J15" s="14">
        <v>0</v>
      </c>
      <c r="K15" s="12">
        <v>0</v>
      </c>
      <c r="L15" s="13">
        <v>1.9166666666666667</v>
      </c>
      <c r="M15" s="12">
        <v>12</v>
      </c>
      <c r="N15" s="12">
        <v>0</v>
      </c>
      <c r="O15" s="12">
        <v>3</v>
      </c>
      <c r="P15" s="12">
        <v>0</v>
      </c>
      <c r="Q15" s="12">
        <v>0</v>
      </c>
      <c r="R15" s="12">
        <v>21</v>
      </c>
      <c r="T15" s="15">
        <v>11</v>
      </c>
      <c r="U15" s="16">
        <v>4655</v>
      </c>
      <c r="V15" s="13">
        <v>54.333333333333336</v>
      </c>
      <c r="W15" s="13">
        <v>11.5</v>
      </c>
      <c r="X15" s="13">
        <v>42.833333333333336</v>
      </c>
      <c r="Y15" s="13">
        <v>0</v>
      </c>
      <c r="Z15" s="14">
        <v>0</v>
      </c>
      <c r="AA15" s="14">
        <v>0.73589164785553052</v>
      </c>
      <c r="AB15" s="15">
        <v>3</v>
      </c>
      <c r="AC15" s="15">
        <v>0</v>
      </c>
    </row>
    <row r="16" spans="1:29" x14ac:dyDescent="0.2">
      <c r="A16" s="11">
        <v>3488</v>
      </c>
      <c r="B16" s="12">
        <v>12</v>
      </c>
      <c r="C16" s="13">
        <v>0.41666666666666669</v>
      </c>
      <c r="D16" s="13">
        <v>29.25</v>
      </c>
      <c r="E16" s="13">
        <v>0</v>
      </c>
      <c r="F16" s="13">
        <v>29.666666666666668</v>
      </c>
      <c r="G16" s="12">
        <v>42</v>
      </c>
      <c r="H16" s="14">
        <v>0.61379310344827587</v>
      </c>
      <c r="I16" s="14">
        <v>0</v>
      </c>
      <c r="J16" s="14">
        <v>0</v>
      </c>
      <c r="K16" s="12">
        <v>0</v>
      </c>
      <c r="L16" s="13">
        <v>2.5</v>
      </c>
      <c r="M16" s="12">
        <v>1</v>
      </c>
      <c r="N16" s="12">
        <v>0</v>
      </c>
      <c r="O16" s="12">
        <v>2</v>
      </c>
      <c r="P16" s="12">
        <v>0</v>
      </c>
      <c r="Q16" s="12">
        <v>0</v>
      </c>
      <c r="R16" s="12">
        <v>20</v>
      </c>
      <c r="T16" s="15">
        <v>12</v>
      </c>
      <c r="U16" s="16">
        <v>4423</v>
      </c>
      <c r="V16" s="13">
        <v>51.166666666666664</v>
      </c>
      <c r="W16" s="13">
        <v>0.66666666666666663</v>
      </c>
      <c r="X16" s="13">
        <v>45.5</v>
      </c>
      <c r="Y16" s="13">
        <v>5</v>
      </c>
      <c r="Z16" s="14">
        <v>0.5</v>
      </c>
      <c r="AA16" s="14">
        <v>0.7847025495750708</v>
      </c>
      <c r="AB16" s="15">
        <v>3</v>
      </c>
      <c r="AC16" s="15">
        <v>3</v>
      </c>
    </row>
    <row r="17" spans="1:29" x14ac:dyDescent="0.2">
      <c r="A17" s="11">
        <v>4096</v>
      </c>
      <c r="B17" s="12">
        <v>12</v>
      </c>
      <c r="C17" s="13">
        <v>9.0833333333333339</v>
      </c>
      <c r="D17" s="13">
        <v>56.416666666666664</v>
      </c>
      <c r="E17" s="13">
        <v>0</v>
      </c>
      <c r="F17" s="13">
        <v>65.5</v>
      </c>
      <c r="G17" s="12">
        <v>117</v>
      </c>
      <c r="H17" s="14">
        <v>0.8571428571428571</v>
      </c>
      <c r="I17" s="14">
        <v>0</v>
      </c>
      <c r="J17" s="14">
        <v>0</v>
      </c>
      <c r="K17" s="12">
        <v>0</v>
      </c>
      <c r="L17" s="13">
        <v>3.9166666666666665</v>
      </c>
      <c r="M17" s="12">
        <v>0</v>
      </c>
      <c r="N17" s="12">
        <v>2</v>
      </c>
      <c r="O17" s="12">
        <v>1</v>
      </c>
      <c r="P17" s="12">
        <v>2</v>
      </c>
      <c r="Q17" s="12">
        <v>0</v>
      </c>
      <c r="R17" s="12">
        <v>10</v>
      </c>
      <c r="T17" s="15">
        <v>13</v>
      </c>
      <c r="U17" s="16">
        <v>8096</v>
      </c>
      <c r="V17" s="13">
        <v>48.333333333333336</v>
      </c>
      <c r="W17" s="13">
        <v>12.5</v>
      </c>
      <c r="X17" s="13">
        <v>35.833333333333336</v>
      </c>
      <c r="Y17" s="13">
        <v>0</v>
      </c>
      <c r="Z17" s="14">
        <v>0</v>
      </c>
      <c r="AA17" s="14">
        <v>0.6888361045130641</v>
      </c>
      <c r="AB17" s="15">
        <v>2</v>
      </c>
      <c r="AC17" s="15">
        <v>1</v>
      </c>
    </row>
    <row r="18" spans="1:29" x14ac:dyDescent="0.2">
      <c r="A18" s="11">
        <v>4143</v>
      </c>
      <c r="B18" s="12">
        <v>12</v>
      </c>
      <c r="C18" s="13">
        <v>35.666666666666664</v>
      </c>
      <c r="D18" s="13">
        <v>131.08333333333334</v>
      </c>
      <c r="E18" s="13">
        <v>0</v>
      </c>
      <c r="F18" s="13">
        <v>166.75</v>
      </c>
      <c r="G18" s="12">
        <v>280</v>
      </c>
      <c r="H18" s="14">
        <v>0.87341772151898733</v>
      </c>
      <c r="I18" s="14">
        <v>0</v>
      </c>
      <c r="J18" s="14">
        <v>0</v>
      </c>
      <c r="K18" s="12">
        <v>0</v>
      </c>
      <c r="L18" s="13">
        <v>4.583333333333333</v>
      </c>
      <c r="M18" s="12">
        <v>0</v>
      </c>
      <c r="N18" s="12">
        <v>3</v>
      </c>
      <c r="O18" s="12">
        <v>2</v>
      </c>
      <c r="P18" s="12">
        <v>12</v>
      </c>
      <c r="Q18" s="12">
        <v>0</v>
      </c>
      <c r="R18" s="12">
        <v>2</v>
      </c>
      <c r="T18" s="15">
        <v>14</v>
      </c>
      <c r="U18" s="16">
        <v>7848</v>
      </c>
      <c r="V18" s="13">
        <v>46.666666666666664</v>
      </c>
      <c r="W18" s="13">
        <v>2.1666666666666665</v>
      </c>
      <c r="X18" s="13">
        <v>44.5</v>
      </c>
      <c r="Y18" s="13">
        <v>0</v>
      </c>
      <c r="Z18" s="14">
        <v>0</v>
      </c>
      <c r="AA18" s="14">
        <v>0.76712328767123283</v>
      </c>
      <c r="AB18" s="15">
        <v>1</v>
      </c>
      <c r="AC18" s="15">
        <v>3</v>
      </c>
    </row>
    <row r="19" spans="1:29" x14ac:dyDescent="0.2">
      <c r="A19" s="11">
        <v>4156</v>
      </c>
      <c r="B19" s="12">
        <v>12</v>
      </c>
      <c r="C19" s="13">
        <v>2.4166666666666665</v>
      </c>
      <c r="D19" s="13">
        <v>4.083333333333333</v>
      </c>
      <c r="E19" s="13">
        <v>0</v>
      </c>
      <c r="F19" s="13">
        <v>6.5</v>
      </c>
      <c r="G19" s="12">
        <v>15</v>
      </c>
      <c r="H19" s="14">
        <v>0.6964285714285714</v>
      </c>
      <c r="I19" s="14">
        <v>0</v>
      </c>
      <c r="J19" s="14">
        <v>0</v>
      </c>
      <c r="K19" s="12">
        <v>0</v>
      </c>
      <c r="L19" s="13">
        <v>1.4166666666666667</v>
      </c>
      <c r="M19" s="12">
        <v>3</v>
      </c>
      <c r="N19" s="12">
        <v>3</v>
      </c>
      <c r="O19" s="12">
        <v>2</v>
      </c>
      <c r="P19" s="12">
        <v>0</v>
      </c>
      <c r="Q19" s="12">
        <v>0</v>
      </c>
      <c r="R19" s="12">
        <v>30</v>
      </c>
      <c r="T19" s="15">
        <v>15</v>
      </c>
      <c r="U19" s="16">
        <v>4213</v>
      </c>
      <c r="V19" s="13">
        <v>43.083333333333336</v>
      </c>
      <c r="W19" s="13">
        <v>4.75</v>
      </c>
      <c r="X19" s="13">
        <v>38.333333333333336</v>
      </c>
      <c r="Y19" s="13">
        <v>0</v>
      </c>
      <c r="Z19" s="14">
        <v>0</v>
      </c>
      <c r="AA19" s="14">
        <v>0.75474452554744531</v>
      </c>
      <c r="AB19" s="15">
        <v>1</v>
      </c>
      <c r="AC19" s="15">
        <v>3</v>
      </c>
    </row>
    <row r="20" spans="1:29" x14ac:dyDescent="0.2">
      <c r="A20" s="11">
        <v>4213</v>
      </c>
      <c r="B20" s="12">
        <v>12</v>
      </c>
      <c r="C20" s="13">
        <v>4.75</v>
      </c>
      <c r="D20" s="13">
        <v>38.333333333333336</v>
      </c>
      <c r="E20" s="13">
        <v>0</v>
      </c>
      <c r="F20" s="13">
        <v>43.083333333333336</v>
      </c>
      <c r="G20" s="12">
        <v>105</v>
      </c>
      <c r="H20" s="14">
        <v>0.75474452554744531</v>
      </c>
      <c r="I20" s="14">
        <v>0</v>
      </c>
      <c r="J20" s="14">
        <v>0</v>
      </c>
      <c r="K20" s="12">
        <v>0</v>
      </c>
      <c r="L20" s="13">
        <v>3.0833333333333335</v>
      </c>
      <c r="M20" s="12">
        <v>0</v>
      </c>
      <c r="N20" s="12">
        <v>1</v>
      </c>
      <c r="O20" s="12">
        <v>4</v>
      </c>
      <c r="P20" s="12">
        <v>3</v>
      </c>
      <c r="Q20" s="12">
        <v>0</v>
      </c>
      <c r="R20" s="12">
        <v>15</v>
      </c>
      <c r="T20" s="15">
        <v>16</v>
      </c>
      <c r="U20" s="16">
        <v>3067</v>
      </c>
      <c r="V20" s="13">
        <v>40.25</v>
      </c>
      <c r="W20" s="13">
        <v>3.0833333333333335</v>
      </c>
      <c r="X20" s="13">
        <v>37.166666666666664</v>
      </c>
      <c r="Y20" s="13">
        <v>0</v>
      </c>
      <c r="Z20" s="14">
        <v>0</v>
      </c>
      <c r="AA20" s="14">
        <v>0.86096256684491979</v>
      </c>
      <c r="AB20" s="15">
        <v>2</v>
      </c>
      <c r="AC20" s="15">
        <v>2</v>
      </c>
    </row>
    <row r="21" spans="1:29" x14ac:dyDescent="0.2">
      <c r="A21" s="11">
        <v>4423</v>
      </c>
      <c r="B21" s="12">
        <v>12</v>
      </c>
      <c r="C21" s="13">
        <v>0.66666666666666663</v>
      </c>
      <c r="D21" s="13">
        <v>45.5</v>
      </c>
      <c r="E21" s="13">
        <v>5</v>
      </c>
      <c r="F21" s="13">
        <v>51.166666666666664</v>
      </c>
      <c r="G21" s="12">
        <v>84</v>
      </c>
      <c r="H21" s="14">
        <v>0.7847025495750708</v>
      </c>
      <c r="I21" s="14">
        <v>0</v>
      </c>
      <c r="J21" s="14">
        <v>0.5</v>
      </c>
      <c r="K21" s="12">
        <v>0</v>
      </c>
      <c r="L21" s="13">
        <v>3.5</v>
      </c>
      <c r="M21" s="12">
        <v>2</v>
      </c>
      <c r="N21" s="12">
        <v>3</v>
      </c>
      <c r="O21" s="12">
        <v>4</v>
      </c>
      <c r="P21" s="12">
        <v>3</v>
      </c>
      <c r="Q21" s="12">
        <v>0</v>
      </c>
      <c r="R21" s="12">
        <v>12</v>
      </c>
      <c r="T21" s="15">
        <v>17</v>
      </c>
      <c r="U21" s="16">
        <v>2022</v>
      </c>
      <c r="V21" s="13">
        <v>38.833333333333336</v>
      </c>
      <c r="W21" s="13">
        <v>3.1666666666666665</v>
      </c>
      <c r="X21" s="13">
        <v>35.666666666666664</v>
      </c>
      <c r="Y21" s="13">
        <v>0</v>
      </c>
      <c r="Z21" s="14">
        <v>0</v>
      </c>
      <c r="AA21" s="14">
        <v>0.85036496350364965</v>
      </c>
      <c r="AB21" s="15">
        <v>1</v>
      </c>
      <c r="AC21" s="15">
        <v>2</v>
      </c>
    </row>
    <row r="22" spans="1:29" x14ac:dyDescent="0.2">
      <c r="A22" s="11">
        <v>4645</v>
      </c>
      <c r="B22" s="12">
        <v>12</v>
      </c>
      <c r="C22" s="13">
        <v>3</v>
      </c>
      <c r="D22" s="13">
        <v>33.166666666666664</v>
      </c>
      <c r="E22" s="13">
        <v>0</v>
      </c>
      <c r="F22" s="13">
        <v>36.166666666666664</v>
      </c>
      <c r="G22" s="12">
        <v>75</v>
      </c>
      <c r="H22" s="14">
        <v>0.78057553956834536</v>
      </c>
      <c r="I22" s="14">
        <v>0</v>
      </c>
      <c r="J22" s="14">
        <v>0</v>
      </c>
      <c r="K22" s="12">
        <v>0</v>
      </c>
      <c r="L22" s="13">
        <v>2.9166666666666665</v>
      </c>
      <c r="M22" s="12">
        <v>1</v>
      </c>
      <c r="N22" s="12">
        <v>2</v>
      </c>
      <c r="O22" s="12">
        <v>1</v>
      </c>
      <c r="P22" s="12">
        <v>3</v>
      </c>
      <c r="Q22" s="12">
        <v>0</v>
      </c>
      <c r="R22" s="12">
        <v>18</v>
      </c>
      <c r="T22" s="15">
        <v>18</v>
      </c>
      <c r="U22" s="16">
        <v>4645</v>
      </c>
      <c r="V22" s="13">
        <v>36.166666666666664</v>
      </c>
      <c r="W22" s="13">
        <v>3</v>
      </c>
      <c r="X22" s="13">
        <v>33.166666666666664</v>
      </c>
      <c r="Y22" s="13">
        <v>0</v>
      </c>
      <c r="Z22" s="14">
        <v>0</v>
      </c>
      <c r="AA22" s="14">
        <v>0.78057553956834536</v>
      </c>
      <c r="AB22" s="15">
        <v>2</v>
      </c>
      <c r="AC22" s="15">
        <v>3</v>
      </c>
    </row>
    <row r="23" spans="1:29" x14ac:dyDescent="0.2">
      <c r="A23" s="11">
        <v>4655</v>
      </c>
      <c r="B23" s="12">
        <v>12</v>
      </c>
      <c r="C23" s="13">
        <v>11.5</v>
      </c>
      <c r="D23" s="13">
        <v>42.833333333333336</v>
      </c>
      <c r="E23" s="13">
        <v>0</v>
      </c>
      <c r="F23" s="13">
        <v>54.333333333333336</v>
      </c>
      <c r="G23" s="12">
        <v>111</v>
      </c>
      <c r="H23" s="14">
        <v>0.73589164785553052</v>
      </c>
      <c r="I23" s="14">
        <v>0</v>
      </c>
      <c r="J23" s="14">
        <v>0</v>
      </c>
      <c r="K23" s="12">
        <v>0</v>
      </c>
      <c r="L23" s="13">
        <v>3.9166666666666665</v>
      </c>
      <c r="M23" s="12">
        <v>2</v>
      </c>
      <c r="N23" s="12">
        <v>3</v>
      </c>
      <c r="O23" s="12">
        <v>4</v>
      </c>
      <c r="P23" s="12">
        <v>0</v>
      </c>
      <c r="Q23" s="12">
        <v>0</v>
      </c>
      <c r="R23" s="12">
        <v>11</v>
      </c>
      <c r="T23" s="15">
        <v>19</v>
      </c>
      <c r="U23" s="16">
        <v>5442</v>
      </c>
      <c r="V23" s="13">
        <v>34.25</v>
      </c>
      <c r="W23" s="13">
        <v>0.58333333333333337</v>
      </c>
      <c r="X23" s="13">
        <v>33.666666666666664</v>
      </c>
      <c r="Y23" s="13">
        <v>0</v>
      </c>
      <c r="Z23" s="14">
        <v>0</v>
      </c>
      <c r="AA23" s="14">
        <v>0.67710049423393737</v>
      </c>
      <c r="AB23" s="15">
        <v>4</v>
      </c>
      <c r="AC23" s="15">
        <v>4</v>
      </c>
    </row>
    <row r="24" spans="1:29" x14ac:dyDescent="0.2">
      <c r="A24" s="11">
        <v>4787</v>
      </c>
      <c r="B24" s="12">
        <v>12</v>
      </c>
      <c r="C24" s="13">
        <v>0.66666666666666663</v>
      </c>
      <c r="D24" s="13">
        <v>23.333333333333332</v>
      </c>
      <c r="E24" s="13">
        <v>0</v>
      </c>
      <c r="F24" s="13">
        <v>24</v>
      </c>
      <c r="G24" s="12">
        <v>42</v>
      </c>
      <c r="H24" s="14">
        <v>0.66206896551724137</v>
      </c>
      <c r="I24" s="14">
        <v>0</v>
      </c>
      <c r="J24" s="14">
        <v>0</v>
      </c>
      <c r="K24" s="12">
        <v>0</v>
      </c>
      <c r="L24" s="13">
        <v>2.75</v>
      </c>
      <c r="M24" s="12">
        <v>2</v>
      </c>
      <c r="N24" s="12">
        <v>1</v>
      </c>
      <c r="O24" s="12">
        <v>2</v>
      </c>
      <c r="P24" s="12">
        <v>2</v>
      </c>
      <c r="Q24" s="12">
        <v>0</v>
      </c>
      <c r="R24" s="12">
        <v>24</v>
      </c>
      <c r="T24" s="15">
        <v>20</v>
      </c>
      <c r="U24" s="16">
        <v>3488</v>
      </c>
      <c r="V24" s="13">
        <v>29.666666666666668</v>
      </c>
      <c r="W24" s="13">
        <v>0.41666666666666669</v>
      </c>
      <c r="X24" s="13">
        <v>29.25</v>
      </c>
      <c r="Y24" s="13">
        <v>0</v>
      </c>
      <c r="Z24" s="14">
        <v>0</v>
      </c>
      <c r="AA24" s="14">
        <v>0.61379310344827587</v>
      </c>
      <c r="AB24" s="15">
        <v>0</v>
      </c>
      <c r="AC24" s="15">
        <v>0</v>
      </c>
    </row>
    <row r="25" spans="1:29" x14ac:dyDescent="0.2">
      <c r="A25" s="11">
        <v>5442</v>
      </c>
      <c r="B25" s="12">
        <v>12</v>
      </c>
      <c r="C25" s="13">
        <v>0.58333333333333337</v>
      </c>
      <c r="D25" s="13">
        <v>33.666666666666664</v>
      </c>
      <c r="E25" s="13">
        <v>0</v>
      </c>
      <c r="F25" s="13">
        <v>34.25</v>
      </c>
      <c r="G25" s="12">
        <v>116</v>
      </c>
      <c r="H25" s="14">
        <v>0.67710049423393737</v>
      </c>
      <c r="I25" s="14">
        <v>0</v>
      </c>
      <c r="J25" s="14">
        <v>0</v>
      </c>
      <c r="K25" s="12">
        <v>0</v>
      </c>
      <c r="L25" s="13">
        <v>2.5833333333333335</v>
      </c>
      <c r="M25" s="12">
        <v>0</v>
      </c>
      <c r="N25" s="12">
        <v>4</v>
      </c>
      <c r="O25" s="12">
        <v>6</v>
      </c>
      <c r="P25" s="12">
        <v>4</v>
      </c>
      <c r="Q25" s="12">
        <v>0</v>
      </c>
      <c r="R25" s="12">
        <v>19</v>
      </c>
      <c r="T25" s="15">
        <v>21</v>
      </c>
      <c r="U25" s="16">
        <v>3284</v>
      </c>
      <c r="V25" s="13">
        <v>25.083333333333332</v>
      </c>
      <c r="W25" s="13">
        <v>10.333333333333334</v>
      </c>
      <c r="X25" s="13">
        <v>14.75</v>
      </c>
      <c r="Y25" s="13">
        <v>0</v>
      </c>
      <c r="Z25" s="14">
        <v>0</v>
      </c>
      <c r="AA25" s="14">
        <v>0.66740576496674053</v>
      </c>
      <c r="AB25" s="15">
        <v>0</v>
      </c>
      <c r="AC25" s="15">
        <v>0</v>
      </c>
    </row>
    <row r="26" spans="1:29" x14ac:dyDescent="0.2">
      <c r="A26" s="11">
        <v>6237</v>
      </c>
      <c r="B26" s="12">
        <v>12</v>
      </c>
      <c r="C26" s="13">
        <v>2.4166666666666665</v>
      </c>
      <c r="D26" s="13">
        <v>67.416666666666671</v>
      </c>
      <c r="E26" s="13">
        <v>0</v>
      </c>
      <c r="F26" s="13">
        <v>69.833333333333329</v>
      </c>
      <c r="G26" s="12">
        <v>118</v>
      </c>
      <c r="H26" s="14">
        <v>0.7570009033423668</v>
      </c>
      <c r="I26" s="14">
        <v>0</v>
      </c>
      <c r="J26" s="14">
        <v>0</v>
      </c>
      <c r="K26" s="12">
        <v>0</v>
      </c>
      <c r="L26" s="13">
        <v>4.083333333333333</v>
      </c>
      <c r="M26" s="12">
        <v>2</v>
      </c>
      <c r="N26" s="12">
        <v>1</v>
      </c>
      <c r="O26" s="12">
        <v>7</v>
      </c>
      <c r="P26" s="12">
        <v>12</v>
      </c>
      <c r="Q26" s="12">
        <v>0</v>
      </c>
      <c r="R26" s="12">
        <v>9</v>
      </c>
      <c r="T26" s="15">
        <v>22</v>
      </c>
      <c r="U26" s="16">
        <v>1736</v>
      </c>
      <c r="V26" s="13">
        <v>24.75</v>
      </c>
      <c r="W26" s="13">
        <v>3.8333333333333335</v>
      </c>
      <c r="X26" s="13">
        <v>20.916666666666668</v>
      </c>
      <c r="Y26" s="13">
        <v>0</v>
      </c>
      <c r="Z26" s="14">
        <v>0</v>
      </c>
      <c r="AA26" s="14">
        <v>0.6659192825112108</v>
      </c>
      <c r="AB26" s="15">
        <v>0</v>
      </c>
      <c r="AC26" s="15">
        <v>0</v>
      </c>
    </row>
    <row r="27" spans="1:29" x14ac:dyDescent="0.2">
      <c r="A27" s="11">
        <v>6651</v>
      </c>
      <c r="B27" s="12">
        <v>12</v>
      </c>
      <c r="C27" s="13">
        <v>7.5</v>
      </c>
      <c r="D27" s="13">
        <v>17.083333333333332</v>
      </c>
      <c r="E27" s="13">
        <v>0</v>
      </c>
      <c r="F27" s="13">
        <v>24.583333333333332</v>
      </c>
      <c r="G27" s="12">
        <v>43</v>
      </c>
      <c r="H27" s="14">
        <v>0.71951219512195119</v>
      </c>
      <c r="I27" s="14">
        <v>0</v>
      </c>
      <c r="J27" s="14">
        <v>0</v>
      </c>
      <c r="K27" s="12">
        <v>0</v>
      </c>
      <c r="L27" s="13">
        <v>1.9166666666666667</v>
      </c>
      <c r="M27" s="12">
        <v>1</v>
      </c>
      <c r="N27" s="12">
        <v>2</v>
      </c>
      <c r="O27" s="12">
        <v>4</v>
      </c>
      <c r="P27" s="12">
        <v>0</v>
      </c>
      <c r="Q27" s="12">
        <v>0</v>
      </c>
      <c r="R27" s="12">
        <v>23</v>
      </c>
      <c r="T27" s="15">
        <v>23</v>
      </c>
      <c r="U27" s="16">
        <v>6651</v>
      </c>
      <c r="V27" s="13">
        <v>24.583333333333332</v>
      </c>
      <c r="W27" s="13">
        <v>7.5</v>
      </c>
      <c r="X27" s="13">
        <v>17.083333333333332</v>
      </c>
      <c r="Y27" s="13">
        <v>0</v>
      </c>
      <c r="Z27" s="14">
        <v>0</v>
      </c>
      <c r="AA27" s="14">
        <v>0.71951219512195119</v>
      </c>
      <c r="AB27" s="15">
        <v>2</v>
      </c>
      <c r="AC27" s="15">
        <v>0</v>
      </c>
    </row>
    <row r="28" spans="1:29" x14ac:dyDescent="0.2">
      <c r="A28" s="11">
        <v>7417</v>
      </c>
      <c r="B28" s="12">
        <v>12</v>
      </c>
      <c r="C28" s="13">
        <v>8.1666666666666661</v>
      </c>
      <c r="D28" s="13">
        <v>6.5</v>
      </c>
      <c r="E28" s="13">
        <v>0</v>
      </c>
      <c r="F28" s="13">
        <v>14.666666666666666</v>
      </c>
      <c r="G28" s="12">
        <v>23</v>
      </c>
      <c r="H28" s="14">
        <v>0.59661016949152545</v>
      </c>
      <c r="I28" s="14">
        <v>0</v>
      </c>
      <c r="J28" s="14">
        <v>0</v>
      </c>
      <c r="K28" s="12">
        <v>0</v>
      </c>
      <c r="L28" s="13">
        <v>1.6666666666666667</v>
      </c>
      <c r="M28" s="12">
        <v>1</v>
      </c>
      <c r="N28" s="12">
        <v>2</v>
      </c>
      <c r="O28" s="12">
        <v>2</v>
      </c>
      <c r="P28" s="12">
        <v>0</v>
      </c>
      <c r="Q28" s="12">
        <v>0</v>
      </c>
      <c r="R28" s="12">
        <v>27</v>
      </c>
      <c r="T28" s="15">
        <v>24</v>
      </c>
      <c r="U28" s="16">
        <v>4787</v>
      </c>
      <c r="V28" s="13">
        <v>24</v>
      </c>
      <c r="W28" s="13">
        <v>0.66666666666666663</v>
      </c>
      <c r="X28" s="13">
        <v>23.333333333333332</v>
      </c>
      <c r="Y28" s="13">
        <v>0</v>
      </c>
      <c r="Z28" s="14">
        <v>0</v>
      </c>
      <c r="AA28" s="14">
        <v>0.66206896551724137</v>
      </c>
      <c r="AB28" s="15">
        <v>1</v>
      </c>
      <c r="AC28" s="15">
        <v>2</v>
      </c>
    </row>
    <row r="29" spans="1:29" x14ac:dyDescent="0.2">
      <c r="A29" s="11">
        <v>7472</v>
      </c>
      <c r="B29" s="12">
        <v>12</v>
      </c>
      <c r="C29" s="13">
        <v>6.583333333333333</v>
      </c>
      <c r="D29" s="13">
        <v>4.083333333333333</v>
      </c>
      <c r="E29" s="13">
        <v>0</v>
      </c>
      <c r="F29" s="13">
        <v>10.666666666666666</v>
      </c>
      <c r="G29" s="12">
        <v>22</v>
      </c>
      <c r="H29" s="14">
        <v>0.5446808510638298</v>
      </c>
      <c r="I29" s="14">
        <v>0</v>
      </c>
      <c r="J29" s="14">
        <v>0</v>
      </c>
      <c r="K29" s="12">
        <v>0</v>
      </c>
      <c r="L29" s="13">
        <v>1.25</v>
      </c>
      <c r="M29" s="12">
        <v>0</v>
      </c>
      <c r="N29" s="12">
        <v>1</v>
      </c>
      <c r="O29" s="12">
        <v>7</v>
      </c>
      <c r="P29" s="12">
        <v>0</v>
      </c>
      <c r="Q29" s="12">
        <v>0</v>
      </c>
      <c r="R29" s="12">
        <v>28</v>
      </c>
      <c r="T29" s="15">
        <v>25</v>
      </c>
      <c r="U29" s="16">
        <v>648</v>
      </c>
      <c r="V29" s="13">
        <v>22.166666666666668</v>
      </c>
      <c r="W29" s="13">
        <v>8.1666666666666661</v>
      </c>
      <c r="X29" s="13">
        <v>14</v>
      </c>
      <c r="Y29" s="13">
        <v>0</v>
      </c>
      <c r="Z29" s="14">
        <v>0</v>
      </c>
      <c r="AA29" s="14">
        <v>0.67341772151898738</v>
      </c>
      <c r="AB29" s="15">
        <v>2</v>
      </c>
      <c r="AC29" s="15">
        <v>0</v>
      </c>
    </row>
    <row r="30" spans="1:29" x14ac:dyDescent="0.2">
      <c r="A30" s="11">
        <v>7848</v>
      </c>
      <c r="B30" s="12">
        <v>12</v>
      </c>
      <c r="C30" s="13">
        <v>2.1666666666666665</v>
      </c>
      <c r="D30" s="13">
        <v>44.5</v>
      </c>
      <c r="E30" s="13">
        <v>0</v>
      </c>
      <c r="F30" s="13">
        <v>46.666666666666664</v>
      </c>
      <c r="G30" s="12">
        <v>103</v>
      </c>
      <c r="H30" s="14">
        <v>0.76712328767123283</v>
      </c>
      <c r="I30" s="14">
        <v>0</v>
      </c>
      <c r="J30" s="14">
        <v>0</v>
      </c>
      <c r="K30" s="12">
        <v>0</v>
      </c>
      <c r="L30" s="13">
        <v>3.3333333333333335</v>
      </c>
      <c r="M30" s="12">
        <v>1</v>
      </c>
      <c r="N30" s="12">
        <v>1</v>
      </c>
      <c r="O30" s="12">
        <v>1</v>
      </c>
      <c r="P30" s="12">
        <v>3</v>
      </c>
      <c r="Q30" s="12">
        <v>0</v>
      </c>
      <c r="R30" s="12">
        <v>14</v>
      </c>
      <c r="T30" s="15">
        <v>26</v>
      </c>
      <c r="U30" s="16">
        <v>8029</v>
      </c>
      <c r="V30" s="13">
        <v>20.5</v>
      </c>
      <c r="W30" s="13">
        <v>11.166666666666666</v>
      </c>
      <c r="X30" s="13">
        <v>9.3333333333333339</v>
      </c>
      <c r="Y30" s="13">
        <v>0</v>
      </c>
      <c r="Z30" s="14">
        <v>0</v>
      </c>
      <c r="AA30" s="14">
        <v>0.54304635761589404</v>
      </c>
      <c r="AB30" s="15">
        <v>1</v>
      </c>
      <c r="AC30" s="15">
        <v>0</v>
      </c>
    </row>
    <row r="31" spans="1:29" x14ac:dyDescent="0.2">
      <c r="A31" s="11">
        <v>8020</v>
      </c>
      <c r="B31" s="12">
        <v>12</v>
      </c>
      <c r="C31" s="13">
        <v>21.75</v>
      </c>
      <c r="D31" s="13">
        <v>70.25</v>
      </c>
      <c r="E31" s="13">
        <v>0</v>
      </c>
      <c r="F31" s="13">
        <v>92</v>
      </c>
      <c r="G31" s="12">
        <v>154</v>
      </c>
      <c r="H31" s="14">
        <v>0.84532924961715161</v>
      </c>
      <c r="I31" s="14">
        <v>0</v>
      </c>
      <c r="J31" s="14">
        <v>0</v>
      </c>
      <c r="K31" s="12">
        <v>0</v>
      </c>
      <c r="L31" s="13">
        <v>3.9166666666666665</v>
      </c>
      <c r="M31" s="12">
        <v>1</v>
      </c>
      <c r="N31" s="12">
        <v>4</v>
      </c>
      <c r="O31" s="12">
        <v>4</v>
      </c>
      <c r="P31" s="12">
        <v>12</v>
      </c>
      <c r="Q31" s="12">
        <v>0</v>
      </c>
      <c r="R31" s="12">
        <v>6</v>
      </c>
      <c r="T31" s="15">
        <v>27</v>
      </c>
      <c r="U31" s="16">
        <v>7417</v>
      </c>
      <c r="V31" s="13">
        <v>14.666666666666666</v>
      </c>
      <c r="W31" s="13">
        <v>8.1666666666666661</v>
      </c>
      <c r="X31" s="13">
        <v>6.5</v>
      </c>
      <c r="Y31" s="13">
        <v>0</v>
      </c>
      <c r="Z31" s="14">
        <v>0</v>
      </c>
      <c r="AA31" s="14">
        <v>0.59661016949152545</v>
      </c>
      <c r="AB31" s="15">
        <v>2</v>
      </c>
      <c r="AC31" s="15">
        <v>0</v>
      </c>
    </row>
    <row r="32" spans="1:29" x14ac:dyDescent="0.2">
      <c r="A32" s="11">
        <v>8029</v>
      </c>
      <c r="B32" s="12">
        <v>12</v>
      </c>
      <c r="C32" s="13">
        <v>11.166666666666666</v>
      </c>
      <c r="D32" s="13">
        <v>9.3333333333333339</v>
      </c>
      <c r="E32" s="13">
        <v>0</v>
      </c>
      <c r="F32" s="13">
        <v>20.5</v>
      </c>
      <c r="G32" s="12">
        <v>32</v>
      </c>
      <c r="H32" s="14">
        <v>0.54304635761589404</v>
      </c>
      <c r="I32" s="14">
        <v>0</v>
      </c>
      <c r="J32" s="14">
        <v>0</v>
      </c>
      <c r="K32" s="12">
        <v>0</v>
      </c>
      <c r="L32" s="13">
        <v>1.5833333333333333</v>
      </c>
      <c r="M32" s="12">
        <v>12</v>
      </c>
      <c r="N32" s="12">
        <v>1</v>
      </c>
      <c r="O32" s="12">
        <v>2</v>
      </c>
      <c r="P32" s="12">
        <v>0</v>
      </c>
      <c r="Q32" s="12">
        <v>0</v>
      </c>
      <c r="R32" s="12">
        <v>26</v>
      </c>
      <c r="T32" s="15">
        <v>28</v>
      </c>
      <c r="U32" s="16">
        <v>7472</v>
      </c>
      <c r="V32" s="13">
        <v>10.666666666666666</v>
      </c>
      <c r="W32" s="13">
        <v>6.583333333333333</v>
      </c>
      <c r="X32" s="13">
        <v>4.083333333333333</v>
      </c>
      <c r="Y32" s="13">
        <v>0</v>
      </c>
      <c r="Z32" s="14">
        <v>0</v>
      </c>
      <c r="AA32" s="14">
        <v>0.5446808510638298</v>
      </c>
      <c r="AB32" s="15">
        <v>1</v>
      </c>
      <c r="AC32" s="15">
        <v>0</v>
      </c>
    </row>
    <row r="33" spans="1:29" x14ac:dyDescent="0.2">
      <c r="A33" s="11">
        <v>8096</v>
      </c>
      <c r="B33" s="12">
        <v>12</v>
      </c>
      <c r="C33" s="13">
        <v>12.5</v>
      </c>
      <c r="D33" s="13">
        <v>35.833333333333336</v>
      </c>
      <c r="E33" s="13">
        <v>0</v>
      </c>
      <c r="F33" s="13">
        <v>48.333333333333336</v>
      </c>
      <c r="G33" s="12">
        <v>90</v>
      </c>
      <c r="H33" s="14">
        <v>0.6888361045130641</v>
      </c>
      <c r="I33" s="14">
        <v>0</v>
      </c>
      <c r="J33" s="14">
        <v>0</v>
      </c>
      <c r="K33" s="12">
        <v>0</v>
      </c>
      <c r="L33" s="13">
        <v>2.9166666666666665</v>
      </c>
      <c r="M33" s="12">
        <v>1</v>
      </c>
      <c r="N33" s="12">
        <v>2</v>
      </c>
      <c r="O33" s="12">
        <v>4</v>
      </c>
      <c r="P33" s="12">
        <v>1</v>
      </c>
      <c r="Q33" s="12">
        <v>0</v>
      </c>
      <c r="R33" s="12">
        <v>13</v>
      </c>
      <c r="T33" s="15">
        <v>29</v>
      </c>
      <c r="U33" s="16">
        <v>8719</v>
      </c>
      <c r="V33" s="13">
        <v>10.333333333333334</v>
      </c>
      <c r="W33" s="13">
        <v>6.333333333333333</v>
      </c>
      <c r="X33" s="13">
        <v>4</v>
      </c>
      <c r="Y33" s="13">
        <v>0</v>
      </c>
      <c r="Z33" s="14">
        <v>0</v>
      </c>
      <c r="AA33" s="14">
        <v>0.56880733944954132</v>
      </c>
      <c r="AB33" s="15">
        <v>1</v>
      </c>
      <c r="AC33" s="15">
        <v>0</v>
      </c>
    </row>
    <row r="34" spans="1:29" x14ac:dyDescent="0.2">
      <c r="A34" s="11">
        <v>8719</v>
      </c>
      <c r="B34" s="12">
        <v>12</v>
      </c>
      <c r="C34" s="13">
        <v>6.333333333333333</v>
      </c>
      <c r="D34" s="13">
        <v>4</v>
      </c>
      <c r="E34" s="13">
        <v>0</v>
      </c>
      <c r="F34" s="13">
        <v>10.333333333333334</v>
      </c>
      <c r="G34" s="12">
        <v>19</v>
      </c>
      <c r="H34" s="14">
        <v>0.56880733944954132</v>
      </c>
      <c r="I34" s="14">
        <v>0</v>
      </c>
      <c r="J34" s="14">
        <v>0</v>
      </c>
      <c r="K34" s="12">
        <v>0</v>
      </c>
      <c r="L34" s="13">
        <v>1.4166666666666667</v>
      </c>
      <c r="M34" s="12">
        <v>12</v>
      </c>
      <c r="N34" s="12">
        <v>1</v>
      </c>
      <c r="O34" s="12">
        <v>3</v>
      </c>
      <c r="P34" s="12">
        <v>0</v>
      </c>
      <c r="Q34" s="12">
        <v>0</v>
      </c>
      <c r="R34" s="12">
        <v>29</v>
      </c>
      <c r="T34" s="15">
        <v>30</v>
      </c>
      <c r="U34" s="16">
        <v>4156</v>
      </c>
      <c r="V34" s="13">
        <v>6.5</v>
      </c>
      <c r="W34" s="13">
        <v>2.4166666666666665</v>
      </c>
      <c r="X34" s="13">
        <v>4.083333333333333</v>
      </c>
      <c r="Y34" s="13">
        <v>0</v>
      </c>
      <c r="Z34" s="14">
        <v>0</v>
      </c>
      <c r="AA34" s="14">
        <v>0.6964285714285714</v>
      </c>
      <c r="AB34" s="15">
        <v>3</v>
      </c>
      <c r="AC34" s="15">
        <v>0</v>
      </c>
    </row>
    <row r="35" spans="1:29" x14ac:dyDescent="0.2">
      <c r="A35" s="11">
        <v>9082</v>
      </c>
      <c r="B35" s="12">
        <v>12</v>
      </c>
      <c r="C35" s="13">
        <v>8.1666666666666661</v>
      </c>
      <c r="D35" s="13">
        <v>68.083333333333329</v>
      </c>
      <c r="E35" s="13">
        <v>0</v>
      </c>
      <c r="F35" s="13">
        <v>76.25</v>
      </c>
      <c r="G35" s="12">
        <v>112</v>
      </c>
      <c r="H35" s="14">
        <v>0.93462717058222677</v>
      </c>
      <c r="I35" s="14">
        <v>0</v>
      </c>
      <c r="J35" s="14">
        <v>0</v>
      </c>
      <c r="K35" s="12">
        <v>0</v>
      </c>
      <c r="L35" s="13">
        <v>4.333333333333333</v>
      </c>
      <c r="M35" s="12">
        <v>0</v>
      </c>
      <c r="N35" s="12">
        <v>1</v>
      </c>
      <c r="O35" s="12">
        <v>3</v>
      </c>
      <c r="P35" s="12">
        <v>12</v>
      </c>
      <c r="Q35" s="12">
        <v>0</v>
      </c>
      <c r="R35" s="12">
        <v>8</v>
      </c>
      <c r="T35" s="15">
        <v>31</v>
      </c>
      <c r="U35" s="16">
        <v>2039</v>
      </c>
      <c r="V35" s="13">
        <v>5.25</v>
      </c>
      <c r="W35" s="13">
        <v>1.1666666666666667</v>
      </c>
      <c r="X35" s="13">
        <v>2.4166666666666665</v>
      </c>
      <c r="Y35" s="13">
        <v>1.6666666666666667</v>
      </c>
      <c r="Z35" s="14">
        <v>0.16666666666666666</v>
      </c>
      <c r="AA35" s="14">
        <v>0.46236559139784944</v>
      </c>
      <c r="AB35" s="15">
        <v>0</v>
      </c>
      <c r="AC35" s="15">
        <v>0</v>
      </c>
    </row>
    <row r="36" spans="1:29" x14ac:dyDescent="0.2">
      <c r="A36" s="11"/>
      <c r="B36" s="12"/>
      <c r="C36" s="13"/>
      <c r="D36" s="13"/>
      <c r="E36" s="13"/>
      <c r="F36" s="13"/>
      <c r="G36" s="12"/>
      <c r="H36" s="14"/>
      <c r="I36" s="14"/>
      <c r="J36" s="14"/>
      <c r="K36" s="12"/>
      <c r="L36" s="13"/>
      <c r="M36" s="12"/>
      <c r="N36" s="12"/>
      <c r="O36" s="12"/>
      <c r="P36" s="12"/>
      <c r="Q36" s="12"/>
      <c r="R36" s="12"/>
      <c r="T36" s="15"/>
      <c r="U36" s="16"/>
      <c r="V36" s="13"/>
      <c r="W36" s="13"/>
      <c r="X36" s="13"/>
      <c r="Y36" s="13"/>
      <c r="Z36" s="14"/>
      <c r="AA36" s="14"/>
      <c r="AB36" s="15"/>
      <c r="AC36" s="15"/>
    </row>
    <row r="37" spans="1:29" x14ac:dyDescent="0.2">
      <c r="A37" s="11"/>
      <c r="B37" s="12"/>
      <c r="C37" s="13"/>
      <c r="D37" s="13"/>
      <c r="E37" s="13"/>
      <c r="F37" s="13"/>
      <c r="G37" s="12"/>
      <c r="H37" s="14"/>
      <c r="I37" s="14"/>
      <c r="J37" s="14"/>
      <c r="K37" s="12"/>
      <c r="L37" s="13"/>
      <c r="M37" s="12"/>
      <c r="N37" s="12"/>
      <c r="O37" s="12"/>
      <c r="P37" s="12"/>
      <c r="Q37" s="12"/>
      <c r="R37" s="12"/>
      <c r="T37" s="15"/>
      <c r="U37" s="16"/>
      <c r="V37" s="13"/>
      <c r="W37" s="13"/>
      <c r="X37" s="13"/>
      <c r="Y37" s="13"/>
      <c r="Z37" s="14"/>
      <c r="AA37" s="14"/>
      <c r="AB37" s="15"/>
      <c r="AC37" s="15"/>
    </row>
    <row r="38" spans="1:29" x14ac:dyDescent="0.2">
      <c r="A38" s="11"/>
      <c r="B38" s="12"/>
      <c r="C38" s="13"/>
      <c r="D38" s="13"/>
      <c r="E38" s="13"/>
      <c r="F38" s="13"/>
      <c r="G38" s="12"/>
      <c r="H38" s="14"/>
      <c r="I38" s="14"/>
      <c r="J38" s="14"/>
      <c r="K38" s="12"/>
      <c r="L38" s="13"/>
      <c r="M38" s="12"/>
      <c r="N38" s="12"/>
      <c r="O38" s="12"/>
      <c r="P38" s="12"/>
      <c r="Q38" s="12"/>
      <c r="R38" s="12"/>
      <c r="T38" s="15"/>
      <c r="U38" s="16"/>
      <c r="V38" s="13"/>
      <c r="W38" s="13"/>
      <c r="X38" s="13"/>
      <c r="Y38" s="13"/>
      <c r="Z38" s="14"/>
      <c r="AA38" s="14"/>
      <c r="AB38" s="15"/>
      <c r="AC38" s="15"/>
    </row>
    <row r="39" spans="1:29" x14ac:dyDescent="0.2">
      <c r="A39" s="11"/>
      <c r="B39" s="12"/>
      <c r="C39" s="13"/>
      <c r="D39" s="13"/>
      <c r="E39" s="13"/>
      <c r="F39" s="13"/>
      <c r="G39" s="12"/>
      <c r="H39" s="14"/>
      <c r="I39" s="14"/>
      <c r="J39" s="14"/>
      <c r="K39" s="12"/>
      <c r="L39" s="13"/>
      <c r="M39" s="12"/>
      <c r="N39" s="12"/>
      <c r="O39" s="12"/>
      <c r="P39" s="12"/>
      <c r="Q39" s="12"/>
      <c r="R39" s="12"/>
      <c r="T39" s="15"/>
      <c r="U39" s="16"/>
      <c r="V39" s="13"/>
      <c r="W39" s="13"/>
      <c r="X39" s="13"/>
      <c r="Y39" s="13"/>
      <c r="Z39" s="14"/>
      <c r="AA39" s="14"/>
      <c r="AB39" s="15"/>
      <c r="AC39" s="15"/>
    </row>
    <row r="40" spans="1:29" x14ac:dyDescent="0.2">
      <c r="A40" s="11"/>
      <c r="B40" s="12"/>
      <c r="C40" s="13"/>
      <c r="D40" s="13"/>
      <c r="E40" s="13"/>
      <c r="F40" s="13"/>
      <c r="G40" s="12"/>
      <c r="H40" s="14"/>
      <c r="I40" s="14"/>
      <c r="J40" s="14"/>
      <c r="K40" s="12"/>
      <c r="L40" s="13"/>
      <c r="M40" s="12"/>
      <c r="N40" s="12"/>
      <c r="O40" s="12"/>
      <c r="P40" s="12"/>
      <c r="Q40" s="12"/>
      <c r="R40" s="12"/>
      <c r="T40" s="15"/>
      <c r="U40" s="16"/>
      <c r="V40" s="13"/>
      <c r="W40" s="13"/>
      <c r="X40" s="13"/>
      <c r="Y40" s="13"/>
      <c r="Z40" s="14"/>
      <c r="AA40" s="14"/>
      <c r="AB40" s="15"/>
      <c r="AC40" s="15"/>
    </row>
    <row r="41" spans="1:29" x14ac:dyDescent="0.2">
      <c r="A41" s="11"/>
      <c r="B41" s="12"/>
      <c r="C41" s="13"/>
      <c r="D41" s="13"/>
      <c r="E41" s="13"/>
      <c r="F41" s="13"/>
      <c r="G41" s="12"/>
      <c r="H41" s="14"/>
      <c r="I41" s="14"/>
      <c r="J41" s="14"/>
      <c r="K41" s="12"/>
      <c r="L41" s="13"/>
      <c r="M41" s="12"/>
      <c r="N41" s="12"/>
      <c r="O41" s="12"/>
      <c r="P41" s="12"/>
      <c r="Q41" s="12"/>
      <c r="R41" s="12"/>
      <c r="T41" s="15"/>
      <c r="U41" s="16"/>
      <c r="V41" s="13"/>
      <c r="W41" s="13"/>
      <c r="X41" s="13"/>
      <c r="Y41" s="13"/>
      <c r="Z41" s="14"/>
      <c r="AA41" s="14"/>
      <c r="AB41" s="15"/>
      <c r="AC41" s="15"/>
    </row>
    <row r="42" spans="1:29" x14ac:dyDescent="0.2">
      <c r="A42" s="11"/>
      <c r="B42" s="12"/>
      <c r="C42" s="13"/>
      <c r="D42" s="13"/>
      <c r="E42" s="13"/>
      <c r="F42" s="13"/>
      <c r="G42" s="12"/>
      <c r="H42" s="14"/>
      <c r="I42" s="14"/>
      <c r="J42" s="14"/>
      <c r="K42" s="12"/>
      <c r="L42" s="13"/>
      <c r="M42" s="12"/>
      <c r="N42" s="12"/>
      <c r="O42" s="12"/>
      <c r="P42" s="12"/>
      <c r="Q42" s="12"/>
      <c r="R42" s="12"/>
      <c r="T42" s="15"/>
      <c r="U42" s="16"/>
      <c r="V42" s="13"/>
      <c r="W42" s="13"/>
      <c r="X42" s="13"/>
      <c r="Y42" s="13"/>
      <c r="Z42" s="14"/>
      <c r="AA42" s="14"/>
      <c r="AB42" s="15"/>
      <c r="AC42" s="15"/>
    </row>
    <row r="43" spans="1:29" x14ac:dyDescent="0.2">
      <c r="A43" s="11"/>
      <c r="B43" s="12"/>
      <c r="C43" s="13"/>
      <c r="D43" s="13"/>
      <c r="E43" s="13"/>
      <c r="F43" s="13"/>
      <c r="G43" s="12"/>
      <c r="H43" s="14"/>
      <c r="I43" s="14"/>
      <c r="J43" s="14"/>
      <c r="K43" s="12"/>
      <c r="L43" s="13"/>
      <c r="M43" s="12"/>
      <c r="N43" s="12"/>
      <c r="O43" s="12"/>
      <c r="P43" s="12"/>
      <c r="Q43" s="12"/>
      <c r="R43" s="12"/>
      <c r="T43" s="15"/>
      <c r="U43" s="16"/>
      <c r="V43" s="13"/>
      <c r="W43" s="13"/>
      <c r="X43" s="13"/>
      <c r="Y43" s="13"/>
      <c r="Z43" s="14"/>
      <c r="AA43" s="14"/>
      <c r="AB43" s="15"/>
      <c r="AC43" s="15"/>
    </row>
    <row r="44" spans="1:29" x14ac:dyDescent="0.2">
      <c r="A44" s="11"/>
      <c r="B44" s="12"/>
      <c r="C44" s="13"/>
      <c r="D44" s="13"/>
      <c r="E44" s="13"/>
      <c r="F44" s="13"/>
      <c r="G44" s="12"/>
      <c r="H44" s="14"/>
      <c r="I44" s="14"/>
      <c r="J44" s="14"/>
      <c r="K44" s="12"/>
      <c r="L44" s="13"/>
      <c r="M44" s="12"/>
      <c r="N44" s="12"/>
      <c r="O44" s="12"/>
      <c r="P44" s="12"/>
      <c r="Q44" s="12"/>
      <c r="R44" s="12"/>
      <c r="T44" s="15"/>
      <c r="U44" s="16"/>
      <c r="V44" s="13"/>
      <c r="W44" s="13"/>
      <c r="X44" s="13"/>
      <c r="Y44" s="13"/>
      <c r="Z44" s="14"/>
      <c r="AA44" s="14"/>
      <c r="AB44" s="15"/>
      <c r="AC44" s="15"/>
    </row>
    <row r="45" spans="1:29" x14ac:dyDescent="0.2">
      <c r="A45" s="11"/>
      <c r="B45" s="12"/>
      <c r="C45" s="13"/>
      <c r="D45" s="13"/>
      <c r="E45" s="13"/>
      <c r="F45" s="13"/>
      <c r="G45" s="12"/>
      <c r="H45" s="14"/>
      <c r="I45" s="14"/>
      <c r="J45" s="14"/>
      <c r="K45" s="12"/>
      <c r="L45" s="13"/>
      <c r="M45" s="12"/>
      <c r="N45" s="12"/>
      <c r="O45" s="12"/>
      <c r="P45" s="12"/>
      <c r="Q45" s="12"/>
      <c r="R45" s="12"/>
      <c r="T45" s="15"/>
      <c r="U45" s="16"/>
      <c r="V45" s="13"/>
      <c r="W45" s="13"/>
      <c r="X45" s="13"/>
      <c r="Y45" s="13"/>
      <c r="Z45" s="14"/>
      <c r="AA45" s="14"/>
      <c r="AB45" s="15"/>
      <c r="AC45" s="15"/>
    </row>
    <row r="46" spans="1:29" x14ac:dyDescent="0.2">
      <c r="A46" s="11"/>
      <c r="B46" s="12"/>
      <c r="C46" s="13"/>
      <c r="D46" s="13"/>
      <c r="E46" s="13"/>
      <c r="F46" s="13"/>
      <c r="G46" s="12"/>
      <c r="H46" s="14"/>
      <c r="I46" s="14"/>
      <c r="J46" s="14"/>
      <c r="K46" s="12"/>
      <c r="L46" s="13"/>
      <c r="M46" s="12"/>
      <c r="N46" s="12"/>
      <c r="O46" s="12"/>
      <c r="P46" s="12"/>
      <c r="Q46" s="12"/>
      <c r="R46" s="12"/>
      <c r="T46" s="15"/>
      <c r="U46" s="16"/>
      <c r="V46" s="13"/>
      <c r="W46" s="13"/>
      <c r="X46" s="13"/>
      <c r="Y46" s="13"/>
      <c r="Z46" s="14"/>
      <c r="AA46" s="14"/>
      <c r="AB46" s="15"/>
      <c r="AC46" s="15"/>
    </row>
    <row r="47" spans="1:29" x14ac:dyDescent="0.2">
      <c r="A47" s="11"/>
      <c r="B47" s="12"/>
      <c r="C47" s="13"/>
      <c r="D47" s="13"/>
      <c r="E47" s="13"/>
      <c r="F47" s="13"/>
      <c r="G47" s="12"/>
      <c r="H47" s="14"/>
      <c r="I47" s="14"/>
      <c r="J47" s="14"/>
      <c r="K47" s="12"/>
      <c r="L47" s="13"/>
      <c r="M47" s="12"/>
      <c r="N47" s="12"/>
      <c r="O47" s="12"/>
      <c r="P47" s="12"/>
      <c r="Q47" s="12"/>
      <c r="R47" s="12"/>
      <c r="T47" s="15"/>
      <c r="U47" s="16"/>
      <c r="V47" s="13"/>
      <c r="W47" s="13"/>
      <c r="X47" s="13"/>
      <c r="Y47" s="13"/>
      <c r="Z47" s="14"/>
      <c r="AA47" s="14"/>
      <c r="AB47" s="15"/>
      <c r="AC47" s="15"/>
    </row>
    <row r="48" spans="1:29" x14ac:dyDescent="0.2">
      <c r="A48" s="11"/>
      <c r="B48" s="12"/>
      <c r="C48" s="13"/>
      <c r="D48" s="13"/>
      <c r="E48" s="13"/>
      <c r="F48" s="13"/>
      <c r="G48" s="12"/>
      <c r="H48" s="14"/>
      <c r="I48" s="14"/>
      <c r="J48" s="14"/>
      <c r="K48" s="12"/>
      <c r="L48" s="13"/>
      <c r="M48" s="12"/>
      <c r="N48" s="12"/>
      <c r="O48" s="12"/>
      <c r="P48" s="12"/>
      <c r="Q48" s="12"/>
      <c r="R48" s="12"/>
      <c r="T48" s="15"/>
      <c r="U48" s="16"/>
      <c r="V48" s="13"/>
      <c r="W48" s="13"/>
      <c r="X48" s="13"/>
      <c r="Y48" s="13"/>
      <c r="Z48" s="14"/>
      <c r="AA48" s="14"/>
      <c r="AB48" s="15"/>
      <c r="AC48" s="15"/>
    </row>
    <row r="49" spans="1:29" x14ac:dyDescent="0.2">
      <c r="A49" s="11"/>
      <c r="B49" s="12"/>
      <c r="C49" s="13"/>
      <c r="D49" s="13"/>
      <c r="E49" s="13"/>
      <c r="F49" s="13"/>
      <c r="G49" s="12"/>
      <c r="H49" s="14"/>
      <c r="I49" s="14"/>
      <c r="J49" s="14"/>
      <c r="K49" s="12"/>
      <c r="L49" s="13"/>
      <c r="M49" s="12"/>
      <c r="N49" s="12"/>
      <c r="O49" s="12"/>
      <c r="P49" s="12"/>
      <c r="Q49" s="12"/>
      <c r="R49" s="12"/>
      <c r="T49" s="15"/>
      <c r="U49" s="16"/>
      <c r="V49" s="13"/>
      <c r="W49" s="13"/>
      <c r="X49" s="13"/>
      <c r="Y49" s="13"/>
      <c r="Z49" s="14"/>
      <c r="AA49" s="14"/>
      <c r="AB49" s="15"/>
      <c r="AC49" s="15"/>
    </row>
    <row r="50" spans="1:29" x14ac:dyDescent="0.2">
      <c r="A50" s="11"/>
      <c r="B50" s="12"/>
      <c r="C50" s="13"/>
      <c r="D50" s="13"/>
      <c r="E50" s="13"/>
      <c r="F50" s="13"/>
      <c r="G50" s="12"/>
      <c r="H50" s="14"/>
      <c r="I50" s="14"/>
      <c r="J50" s="14"/>
      <c r="K50" s="12"/>
      <c r="L50" s="13"/>
      <c r="M50" s="12"/>
      <c r="N50" s="12"/>
      <c r="O50" s="12"/>
      <c r="P50" s="12"/>
      <c r="Q50" s="12"/>
      <c r="R50" s="12"/>
      <c r="T50" s="15"/>
      <c r="U50" s="16"/>
      <c r="V50" s="13"/>
      <c r="W50" s="13"/>
      <c r="X50" s="13"/>
      <c r="Y50" s="13"/>
      <c r="Z50" s="14"/>
      <c r="AA50" s="14"/>
      <c r="AB50" s="15"/>
      <c r="AC50" s="15"/>
    </row>
    <row r="51" spans="1:29" x14ac:dyDescent="0.2">
      <c r="A51" s="11"/>
      <c r="B51" s="12"/>
      <c r="C51" s="13"/>
      <c r="D51" s="13"/>
      <c r="E51" s="13"/>
      <c r="F51" s="13"/>
      <c r="G51" s="12"/>
      <c r="H51" s="14"/>
      <c r="I51" s="14"/>
      <c r="J51" s="14"/>
      <c r="K51" s="12"/>
      <c r="L51" s="13"/>
      <c r="M51" s="12"/>
      <c r="N51" s="12"/>
      <c r="O51" s="12"/>
      <c r="P51" s="12"/>
      <c r="Q51" s="12"/>
      <c r="R51" s="12"/>
      <c r="T51" s="15"/>
      <c r="U51" s="16"/>
      <c r="V51" s="13"/>
      <c r="W51" s="13"/>
      <c r="X51" s="13"/>
      <c r="Y51" s="13"/>
      <c r="Z51" s="14"/>
      <c r="AA51" s="14"/>
      <c r="AB51" s="15"/>
      <c r="AC51" s="15"/>
    </row>
    <row r="52" spans="1:29" x14ac:dyDescent="0.2">
      <c r="A52" s="11"/>
      <c r="B52" s="12"/>
      <c r="C52" s="13"/>
      <c r="D52" s="13"/>
      <c r="E52" s="13"/>
      <c r="F52" s="13"/>
      <c r="G52" s="12"/>
      <c r="H52" s="14"/>
      <c r="I52" s="14"/>
      <c r="J52" s="14"/>
      <c r="K52" s="12"/>
      <c r="L52" s="13"/>
      <c r="M52" s="12"/>
      <c r="N52" s="12"/>
      <c r="O52" s="12"/>
      <c r="P52" s="12"/>
      <c r="Q52" s="12"/>
      <c r="R52" s="12"/>
      <c r="T52" s="15"/>
      <c r="U52" s="16"/>
      <c r="V52" s="13"/>
      <c r="W52" s="13"/>
      <c r="X52" s="13"/>
      <c r="Y52" s="13"/>
      <c r="Z52" s="14"/>
      <c r="AA52" s="14"/>
      <c r="AB52" s="15"/>
      <c r="AC52" s="15"/>
    </row>
    <row r="53" spans="1:29" x14ac:dyDescent="0.2">
      <c r="A53" s="11"/>
      <c r="B53" s="12"/>
      <c r="C53" s="13"/>
      <c r="D53" s="13"/>
      <c r="E53" s="13"/>
      <c r="F53" s="13"/>
      <c r="G53" s="12"/>
      <c r="H53" s="14"/>
      <c r="I53" s="14"/>
      <c r="J53" s="14"/>
      <c r="K53" s="12"/>
      <c r="L53" s="13"/>
      <c r="M53" s="12"/>
      <c r="N53" s="12"/>
      <c r="O53" s="12"/>
      <c r="P53" s="12"/>
      <c r="Q53" s="12"/>
      <c r="R53" s="12"/>
      <c r="T53" s="15"/>
      <c r="U53" s="16"/>
      <c r="V53" s="13"/>
      <c r="W53" s="13"/>
      <c r="X53" s="13"/>
      <c r="Y53" s="13"/>
      <c r="Z53" s="14"/>
      <c r="AA53" s="14"/>
      <c r="AB53" s="15"/>
      <c r="AC53" s="15"/>
    </row>
    <row r="54" spans="1:29" x14ac:dyDescent="0.2">
      <c r="A54" s="11"/>
      <c r="B54" s="12"/>
      <c r="C54" s="13"/>
      <c r="D54" s="13"/>
      <c r="E54" s="13"/>
      <c r="F54" s="13"/>
      <c r="G54" s="12"/>
      <c r="H54" s="14"/>
      <c r="I54" s="14"/>
      <c r="J54" s="14"/>
      <c r="K54" s="12"/>
      <c r="L54" s="13"/>
      <c r="M54" s="12"/>
      <c r="N54" s="12"/>
      <c r="O54" s="12"/>
      <c r="P54" s="12"/>
      <c r="Q54" s="12"/>
      <c r="R54" s="12"/>
      <c r="T54" s="15"/>
      <c r="U54" s="16"/>
      <c r="V54" s="13"/>
      <c r="W54" s="13"/>
      <c r="X54" s="13"/>
      <c r="Y54" s="13"/>
      <c r="Z54" s="14"/>
      <c r="AA54" s="14"/>
      <c r="AB54" s="15"/>
      <c r="AC54" s="15"/>
    </row>
    <row r="55" spans="1:29" x14ac:dyDescent="0.2">
      <c r="A55" s="11"/>
      <c r="B55" s="12"/>
      <c r="C55" s="13"/>
      <c r="D55" s="13"/>
      <c r="E55" s="13"/>
      <c r="F55" s="13"/>
      <c r="G55" s="12"/>
      <c r="H55" s="14"/>
      <c r="I55" s="14"/>
      <c r="J55" s="14"/>
      <c r="K55" s="12"/>
      <c r="L55" s="13"/>
      <c r="M55" s="12"/>
      <c r="N55" s="12"/>
      <c r="O55" s="12"/>
      <c r="P55" s="12"/>
      <c r="Q55" s="12"/>
      <c r="R55" s="12"/>
      <c r="T55" s="15"/>
      <c r="U55" s="16"/>
      <c r="V55" s="13"/>
      <c r="W55" s="13"/>
      <c r="X55" s="13"/>
      <c r="Y55" s="13"/>
      <c r="Z55" s="14"/>
      <c r="AA55" s="14"/>
      <c r="AB55" s="15"/>
      <c r="AC55" s="15"/>
    </row>
    <row r="56" spans="1:29" x14ac:dyDescent="0.2">
      <c r="A56" s="11"/>
      <c r="B56" s="12"/>
      <c r="C56" s="13"/>
      <c r="D56" s="13"/>
      <c r="E56" s="13"/>
      <c r="F56" s="13"/>
      <c r="G56" s="12"/>
      <c r="H56" s="14"/>
      <c r="I56" s="14"/>
      <c r="J56" s="14"/>
      <c r="K56" s="12"/>
      <c r="L56" s="13"/>
      <c r="M56" s="12"/>
      <c r="N56" s="12"/>
      <c r="O56" s="12"/>
      <c r="P56" s="12"/>
      <c r="Q56" s="12"/>
      <c r="R56" s="12"/>
      <c r="T56" s="15"/>
      <c r="U56" s="16"/>
      <c r="V56" s="13"/>
      <c r="W56" s="13"/>
      <c r="X56" s="13"/>
      <c r="Y56" s="13"/>
      <c r="Z56" s="14"/>
      <c r="AA56" s="14"/>
      <c r="AB56" s="15"/>
      <c r="AC56" s="15"/>
    </row>
    <row r="57" spans="1:29" x14ac:dyDescent="0.2">
      <c r="A57" s="11"/>
      <c r="B57" s="12"/>
      <c r="C57" s="13"/>
      <c r="D57" s="13"/>
      <c r="E57" s="13"/>
      <c r="F57" s="13"/>
      <c r="G57" s="12"/>
      <c r="H57" s="14"/>
      <c r="I57" s="14"/>
      <c r="J57" s="14"/>
      <c r="K57" s="12"/>
      <c r="L57" s="13"/>
      <c r="M57" s="12"/>
      <c r="N57" s="12"/>
      <c r="O57" s="12"/>
      <c r="P57" s="12"/>
      <c r="Q57" s="12"/>
      <c r="R57" s="12"/>
      <c r="T57" s="15"/>
      <c r="U57" s="16"/>
      <c r="V57" s="13"/>
      <c r="W57" s="13"/>
      <c r="X57" s="13"/>
      <c r="Y57" s="13"/>
      <c r="Z57" s="14"/>
      <c r="AA57" s="14"/>
      <c r="AB57" s="15"/>
      <c r="AC57" s="15"/>
    </row>
    <row r="58" spans="1:29" x14ac:dyDescent="0.2">
      <c r="A58" s="11"/>
      <c r="B58" s="12"/>
      <c r="C58" s="13"/>
      <c r="D58" s="13"/>
      <c r="E58" s="13"/>
      <c r="F58" s="13"/>
      <c r="G58" s="12"/>
      <c r="H58" s="14"/>
      <c r="I58" s="14"/>
      <c r="J58" s="14"/>
      <c r="K58" s="12"/>
      <c r="L58" s="13"/>
      <c r="M58" s="12"/>
      <c r="N58" s="12"/>
      <c r="O58" s="12"/>
      <c r="P58" s="12"/>
      <c r="Q58" s="12"/>
      <c r="R58" s="12"/>
      <c r="T58" s="15"/>
      <c r="U58" s="16"/>
      <c r="V58" s="13"/>
      <c r="W58" s="13"/>
      <c r="X58" s="13"/>
      <c r="Y58" s="13"/>
      <c r="Z58" s="14"/>
      <c r="AA58" s="14"/>
      <c r="AB58" s="15"/>
      <c r="AC58" s="15"/>
    </row>
    <row r="59" spans="1:29" x14ac:dyDescent="0.2">
      <c r="A59" s="11"/>
      <c r="B59" s="12"/>
      <c r="C59" s="13"/>
      <c r="D59" s="13"/>
      <c r="E59" s="13"/>
      <c r="F59" s="13"/>
      <c r="G59" s="12"/>
      <c r="H59" s="14"/>
      <c r="I59" s="14"/>
      <c r="J59" s="14"/>
      <c r="K59" s="12"/>
      <c r="L59" s="13"/>
      <c r="M59" s="12"/>
      <c r="N59" s="12"/>
      <c r="O59" s="12"/>
      <c r="P59" s="12"/>
      <c r="Q59" s="12"/>
      <c r="R59" s="12"/>
      <c r="T59" s="15"/>
      <c r="U59" s="16"/>
      <c r="V59" s="13"/>
      <c r="W59" s="13"/>
      <c r="X59" s="13"/>
      <c r="Y59" s="13"/>
      <c r="Z59" s="14"/>
      <c r="AA59" s="14"/>
      <c r="AB59" s="15"/>
      <c r="AC59" s="15"/>
    </row>
    <row r="60" spans="1:29" x14ac:dyDescent="0.2">
      <c r="A60" s="11"/>
      <c r="B60" s="12"/>
      <c r="C60" s="13"/>
      <c r="D60" s="13"/>
      <c r="E60" s="13"/>
      <c r="F60" s="13"/>
      <c r="G60" s="12"/>
      <c r="H60" s="14"/>
      <c r="I60" s="14"/>
      <c r="J60" s="14"/>
      <c r="K60" s="12"/>
      <c r="L60" s="13"/>
      <c r="M60" s="12"/>
      <c r="N60" s="12"/>
      <c r="O60" s="12"/>
      <c r="P60" s="12"/>
      <c r="Q60" s="12"/>
      <c r="R60" s="12"/>
      <c r="T60" s="15"/>
      <c r="U60" s="16"/>
      <c r="V60" s="13"/>
      <c r="W60" s="13"/>
      <c r="X60" s="13"/>
      <c r="Y60" s="13"/>
      <c r="Z60" s="14"/>
      <c r="AA60" s="14"/>
      <c r="AB60" s="15"/>
      <c r="AC60" s="15"/>
    </row>
    <row r="61" spans="1:29" x14ac:dyDescent="0.2">
      <c r="A61" s="11"/>
      <c r="B61" s="12"/>
      <c r="C61" s="13"/>
      <c r="D61" s="13"/>
      <c r="E61" s="13"/>
      <c r="F61" s="13"/>
      <c r="G61" s="12"/>
      <c r="H61" s="14"/>
      <c r="I61" s="14"/>
      <c r="J61" s="14"/>
      <c r="K61" s="12"/>
      <c r="L61" s="13"/>
      <c r="M61" s="12"/>
      <c r="N61" s="12"/>
      <c r="O61" s="12"/>
      <c r="P61" s="12"/>
      <c r="Q61" s="12"/>
      <c r="R61" s="12"/>
      <c r="T61" s="15"/>
      <c r="U61" s="16"/>
      <c r="V61" s="13"/>
      <c r="W61" s="13"/>
      <c r="X61" s="13"/>
      <c r="Y61" s="13"/>
      <c r="Z61" s="14"/>
      <c r="AA61" s="14"/>
      <c r="AB61" s="15"/>
      <c r="AC61" s="15"/>
    </row>
    <row r="62" spans="1:29" x14ac:dyDescent="0.2">
      <c r="A62" s="11"/>
      <c r="B62" s="12"/>
      <c r="C62" s="13"/>
      <c r="D62" s="13"/>
      <c r="E62" s="13"/>
      <c r="F62" s="13"/>
      <c r="G62" s="12"/>
      <c r="H62" s="14"/>
      <c r="I62" s="14"/>
      <c r="J62" s="14"/>
      <c r="K62" s="12"/>
      <c r="L62" s="13"/>
      <c r="M62" s="12"/>
      <c r="N62" s="12"/>
      <c r="O62" s="12"/>
      <c r="P62" s="12"/>
      <c r="Q62" s="12"/>
      <c r="R62" s="12"/>
      <c r="T62" s="15"/>
      <c r="U62" s="16"/>
      <c r="V62" s="13"/>
      <c r="W62" s="13"/>
      <c r="X62" s="13"/>
      <c r="Y62" s="13"/>
      <c r="Z62" s="14"/>
      <c r="AA62" s="14"/>
      <c r="AB62" s="15"/>
      <c r="AC62" s="15"/>
    </row>
    <row r="63" spans="1:29" x14ac:dyDescent="0.2">
      <c r="A63" s="11"/>
      <c r="B63" s="12"/>
      <c r="C63" s="13"/>
      <c r="D63" s="13"/>
      <c r="E63" s="13"/>
      <c r="F63" s="13"/>
      <c r="G63" s="12"/>
      <c r="H63" s="14"/>
      <c r="I63" s="14"/>
      <c r="J63" s="14"/>
      <c r="K63" s="12"/>
      <c r="L63" s="13"/>
      <c r="M63" s="12"/>
      <c r="N63" s="12"/>
      <c r="O63" s="12"/>
      <c r="P63" s="12"/>
      <c r="Q63" s="12"/>
      <c r="R63" s="12"/>
      <c r="T63" s="15"/>
      <c r="U63" s="16"/>
      <c r="V63" s="13"/>
      <c r="W63" s="13"/>
      <c r="X63" s="13"/>
      <c r="Y63" s="13"/>
      <c r="Z63" s="14"/>
      <c r="AA63" s="14"/>
      <c r="AB63" s="15"/>
      <c r="AC63" s="15"/>
    </row>
    <row r="64" spans="1:29" x14ac:dyDescent="0.2">
      <c r="A64" s="11"/>
      <c r="B64" s="12"/>
      <c r="C64" s="13"/>
      <c r="D64" s="13"/>
      <c r="E64" s="13"/>
      <c r="F64" s="13"/>
      <c r="G64" s="12"/>
      <c r="H64" s="14"/>
      <c r="I64" s="14"/>
      <c r="J64" s="14"/>
      <c r="K64" s="12"/>
      <c r="L64" s="13"/>
      <c r="M64" s="12"/>
      <c r="N64" s="12"/>
      <c r="O64" s="12"/>
      <c r="P64" s="12"/>
      <c r="Q64" s="12"/>
      <c r="R64" s="12"/>
      <c r="T64" s="15"/>
      <c r="U64" s="16"/>
      <c r="V64" s="13"/>
      <c r="W64" s="13"/>
      <c r="X64" s="13"/>
      <c r="Y64" s="13"/>
      <c r="Z64" s="14"/>
      <c r="AA64" s="14"/>
      <c r="AB64" s="15"/>
      <c r="AC64" s="15"/>
    </row>
    <row r="65" spans="1:29" x14ac:dyDescent="0.2">
      <c r="A65" s="11"/>
      <c r="B65" s="12"/>
      <c r="C65" s="13"/>
      <c r="D65" s="13"/>
      <c r="E65" s="13"/>
      <c r="F65" s="13"/>
      <c r="G65" s="12"/>
      <c r="H65" s="14"/>
      <c r="I65" s="14"/>
      <c r="J65" s="14"/>
      <c r="K65" s="12"/>
      <c r="L65" s="13"/>
      <c r="M65" s="12"/>
      <c r="N65" s="12"/>
      <c r="O65" s="12"/>
      <c r="P65" s="12"/>
      <c r="Q65" s="12"/>
      <c r="R65" s="12"/>
      <c r="T65" s="15"/>
      <c r="U65" s="16"/>
      <c r="V65" s="13"/>
      <c r="W65" s="13"/>
      <c r="X65" s="13"/>
      <c r="Y65" s="13"/>
      <c r="Z65" s="14"/>
      <c r="AA65" s="14"/>
      <c r="AB65" s="15"/>
      <c r="AC65" s="15"/>
    </row>
    <row r="66" spans="1:29" x14ac:dyDescent="0.2">
      <c r="A66" s="11"/>
      <c r="B66" s="12"/>
      <c r="C66" s="13"/>
      <c r="D66" s="13"/>
      <c r="E66" s="13"/>
      <c r="F66" s="13"/>
      <c r="G66" s="12"/>
      <c r="H66" s="14"/>
      <c r="I66" s="14"/>
      <c r="J66" s="14"/>
      <c r="K66" s="12"/>
      <c r="L66" s="13"/>
      <c r="M66" s="12"/>
      <c r="N66" s="12"/>
      <c r="O66" s="12"/>
      <c r="P66" s="12"/>
      <c r="Q66" s="12"/>
      <c r="R66" s="12"/>
      <c r="T66" s="15"/>
      <c r="U66" s="16"/>
      <c r="V66" s="13"/>
      <c r="W66" s="13"/>
      <c r="X66" s="13"/>
      <c r="Y66" s="13"/>
      <c r="Z66" s="14"/>
      <c r="AA66" s="14"/>
      <c r="AB66" s="15"/>
      <c r="AC66" s="15"/>
    </row>
    <row r="67" spans="1:29" x14ac:dyDescent="0.2">
      <c r="A67" s="11"/>
      <c r="B67" s="12"/>
      <c r="C67" s="13"/>
      <c r="D67" s="13"/>
      <c r="E67" s="13"/>
      <c r="F67" s="13"/>
      <c r="G67" s="12"/>
      <c r="H67" s="14"/>
      <c r="I67" s="14"/>
      <c r="J67" s="14"/>
      <c r="K67" s="12"/>
      <c r="L67" s="13"/>
      <c r="M67" s="12"/>
      <c r="N67" s="12"/>
      <c r="O67" s="12"/>
      <c r="P67" s="12"/>
      <c r="Q67" s="12"/>
      <c r="R67" s="12"/>
      <c r="T67" s="15"/>
      <c r="U67" s="16"/>
      <c r="V67" s="13"/>
      <c r="W67" s="13"/>
      <c r="X67" s="13"/>
      <c r="Y67" s="13"/>
      <c r="Z67" s="14"/>
      <c r="AA67" s="14"/>
      <c r="AB67" s="15"/>
      <c r="AC67" s="15"/>
    </row>
    <row r="68" spans="1:29" x14ac:dyDescent="0.2">
      <c r="A68" s="11"/>
      <c r="B68" s="12"/>
      <c r="C68" s="13"/>
      <c r="D68" s="13"/>
      <c r="E68" s="13"/>
      <c r="F68" s="13"/>
      <c r="G68" s="12"/>
      <c r="H68" s="14"/>
      <c r="I68" s="14"/>
      <c r="J68" s="14"/>
      <c r="K68" s="12"/>
      <c r="L68" s="13"/>
      <c r="M68" s="12"/>
      <c r="N68" s="12"/>
      <c r="O68" s="12"/>
      <c r="P68" s="12"/>
      <c r="Q68" s="12"/>
      <c r="R68" s="12"/>
      <c r="T68" s="15"/>
      <c r="U68" s="16"/>
      <c r="V68" s="13"/>
      <c r="W68" s="13"/>
      <c r="X68" s="13"/>
      <c r="Y68" s="13"/>
      <c r="Z68" s="14"/>
      <c r="AA68" s="14"/>
      <c r="AB68" s="15"/>
      <c r="AC68" s="15"/>
    </row>
    <row r="69" spans="1:29" x14ac:dyDescent="0.2">
      <c r="A69" s="11"/>
      <c r="B69" s="12"/>
      <c r="C69" s="13"/>
      <c r="D69" s="13"/>
      <c r="E69" s="13"/>
      <c r="F69" s="13"/>
      <c r="G69" s="12"/>
      <c r="H69" s="14"/>
      <c r="I69" s="14"/>
      <c r="J69" s="14"/>
      <c r="K69" s="12"/>
      <c r="L69" s="13"/>
      <c r="M69" s="12"/>
      <c r="N69" s="12"/>
      <c r="O69" s="12"/>
      <c r="P69" s="12"/>
      <c r="Q69" s="12"/>
      <c r="R69" s="12"/>
      <c r="T69" s="15"/>
      <c r="U69" s="16"/>
      <c r="V69" s="13"/>
      <c r="W69" s="13"/>
      <c r="X69" s="13"/>
      <c r="Y69" s="13"/>
      <c r="Z69" s="14"/>
      <c r="AA69" s="14"/>
      <c r="AB69" s="15"/>
      <c r="AC69" s="15"/>
    </row>
    <row r="70" spans="1:29" x14ac:dyDescent="0.2">
      <c r="A70" s="11"/>
      <c r="B70" s="12"/>
      <c r="C70" s="13"/>
      <c r="D70" s="13"/>
      <c r="E70" s="13"/>
      <c r="F70" s="13"/>
      <c r="G70" s="12"/>
      <c r="H70" s="14"/>
      <c r="I70" s="14"/>
      <c r="J70" s="14"/>
      <c r="K70" s="12"/>
      <c r="L70" s="13"/>
      <c r="M70" s="12"/>
      <c r="N70" s="12"/>
      <c r="O70" s="12"/>
      <c r="P70" s="12"/>
      <c r="Q70" s="12"/>
      <c r="R70" s="12"/>
      <c r="T70" s="15"/>
      <c r="U70" s="16"/>
      <c r="V70" s="13"/>
      <c r="W70" s="13"/>
      <c r="X70" s="13"/>
      <c r="Y70" s="13"/>
      <c r="Z70" s="14"/>
      <c r="AA70" s="14"/>
      <c r="AB70" s="15"/>
      <c r="AC70" s="15"/>
    </row>
    <row r="71" spans="1:29" x14ac:dyDescent="0.2">
      <c r="A71" s="11"/>
      <c r="B71" s="12"/>
      <c r="C71" s="13"/>
      <c r="D71" s="13"/>
      <c r="E71" s="13"/>
      <c r="F71" s="13"/>
      <c r="G71" s="12"/>
      <c r="H71" s="14"/>
      <c r="I71" s="14"/>
      <c r="J71" s="14"/>
      <c r="K71" s="12"/>
      <c r="L71" s="13"/>
      <c r="M71" s="12"/>
      <c r="N71" s="12"/>
      <c r="O71" s="12"/>
      <c r="P71" s="12"/>
      <c r="Q71" s="12"/>
      <c r="R71" s="12"/>
      <c r="T71" s="15"/>
      <c r="U71" s="16"/>
      <c r="V71" s="13"/>
      <c r="W71" s="13"/>
      <c r="X71" s="13"/>
      <c r="Y71" s="13"/>
      <c r="Z71" s="14"/>
      <c r="AA71" s="14"/>
      <c r="AB71" s="15"/>
      <c r="AC71" s="15"/>
    </row>
    <row r="72" spans="1:29" x14ac:dyDescent="0.2">
      <c r="A72" s="11"/>
      <c r="B72" s="12"/>
      <c r="C72" s="13"/>
      <c r="D72" s="13"/>
      <c r="E72" s="13"/>
      <c r="F72" s="13"/>
      <c r="G72" s="12"/>
      <c r="H72" s="14"/>
      <c r="I72" s="14"/>
      <c r="J72" s="14"/>
      <c r="K72" s="12"/>
      <c r="L72" s="13"/>
      <c r="M72" s="12"/>
      <c r="N72" s="12"/>
      <c r="O72" s="12"/>
      <c r="P72" s="12"/>
      <c r="Q72" s="12"/>
      <c r="R72" s="12"/>
      <c r="T72" s="15"/>
      <c r="U72" s="16"/>
      <c r="V72" s="13"/>
      <c r="W72" s="13"/>
      <c r="X72" s="13"/>
      <c r="Y72" s="13"/>
      <c r="Z72" s="14"/>
      <c r="AA72" s="14"/>
      <c r="AB72" s="15"/>
      <c r="AC72" s="15"/>
    </row>
    <row r="73" spans="1:29" x14ac:dyDescent="0.2">
      <c r="A73" s="11"/>
      <c r="B73" s="12"/>
      <c r="C73" s="13"/>
      <c r="D73" s="13"/>
      <c r="E73" s="13"/>
      <c r="F73" s="13"/>
      <c r="G73" s="12"/>
      <c r="H73" s="14"/>
      <c r="I73" s="14"/>
      <c r="J73" s="14"/>
      <c r="K73" s="12"/>
      <c r="L73" s="13"/>
      <c r="M73" s="12"/>
      <c r="N73" s="12"/>
      <c r="O73" s="12"/>
      <c r="P73" s="12"/>
      <c r="Q73" s="12"/>
      <c r="R73" s="12"/>
      <c r="T73" s="15"/>
      <c r="U73" s="16"/>
      <c r="V73" s="13"/>
      <c r="W73" s="13"/>
      <c r="X73" s="13"/>
      <c r="Y73" s="13"/>
      <c r="Z73" s="14"/>
      <c r="AA73" s="14"/>
      <c r="AB73" s="15"/>
      <c r="AC73" s="15"/>
    </row>
    <row r="74" spans="1:29" x14ac:dyDescent="0.2">
      <c r="A74" s="11"/>
      <c r="B74" s="12"/>
      <c r="C74" s="13"/>
      <c r="D74" s="13"/>
      <c r="E74" s="13"/>
      <c r="F74" s="13"/>
      <c r="G74" s="12"/>
      <c r="H74" s="14"/>
      <c r="I74" s="14"/>
      <c r="J74" s="14"/>
      <c r="K74" s="12"/>
      <c r="L74" s="13"/>
      <c r="M74" s="12"/>
      <c r="N74" s="12"/>
      <c r="O74" s="12"/>
      <c r="P74" s="12"/>
      <c r="Q74" s="12"/>
      <c r="R74" s="12"/>
      <c r="T74" s="15"/>
      <c r="U74" s="16"/>
      <c r="V74" s="13"/>
      <c r="W74" s="13"/>
      <c r="X74" s="13"/>
      <c r="Y74" s="13"/>
      <c r="Z74" s="14"/>
      <c r="AA74" s="14"/>
      <c r="AB74" s="15"/>
      <c r="AC74" s="15"/>
    </row>
    <row r="75" spans="1:29" x14ac:dyDescent="0.2">
      <c r="A75" s="11"/>
      <c r="B75" s="12"/>
      <c r="C75" s="13"/>
      <c r="D75" s="13"/>
      <c r="E75" s="13"/>
      <c r="F75" s="13"/>
      <c r="G75" s="12"/>
      <c r="H75" s="14"/>
      <c r="I75" s="14"/>
      <c r="J75" s="14"/>
      <c r="K75" s="12"/>
      <c r="L75" s="13"/>
      <c r="M75" s="12"/>
      <c r="N75" s="12"/>
      <c r="O75" s="12"/>
      <c r="P75" s="12"/>
      <c r="Q75" s="12"/>
      <c r="R75" s="12"/>
      <c r="T75" s="15"/>
      <c r="U75" s="16"/>
      <c r="V75" s="13"/>
      <c r="W75" s="13"/>
      <c r="X75" s="13"/>
      <c r="Y75" s="13"/>
      <c r="Z75" s="14"/>
      <c r="AA75" s="14"/>
      <c r="AB75" s="15"/>
      <c r="AC75" s="15"/>
    </row>
    <row r="76" spans="1:29" x14ac:dyDescent="0.2">
      <c r="A76" s="11"/>
      <c r="B76" s="12"/>
      <c r="C76" s="13"/>
      <c r="D76" s="13"/>
      <c r="E76" s="13"/>
      <c r="F76" s="13"/>
      <c r="G76" s="12"/>
      <c r="H76" s="14"/>
      <c r="I76" s="14"/>
      <c r="J76" s="14"/>
      <c r="K76" s="12"/>
      <c r="L76" s="13"/>
      <c r="M76" s="12"/>
      <c r="N76" s="12"/>
      <c r="O76" s="12"/>
      <c r="P76" s="12"/>
      <c r="Q76" s="12"/>
      <c r="R76" s="12"/>
      <c r="T76" s="15"/>
      <c r="U76" s="16"/>
      <c r="V76" s="13"/>
      <c r="W76" s="13"/>
      <c r="X76" s="13"/>
      <c r="Y76" s="13"/>
      <c r="Z76" s="14"/>
      <c r="AA76" s="14"/>
      <c r="AB76" s="15"/>
      <c r="AC76" s="15"/>
    </row>
    <row r="77" spans="1:29" x14ac:dyDescent="0.2">
      <c r="A77" s="11"/>
      <c r="B77" s="12"/>
      <c r="C77" s="13"/>
      <c r="D77" s="13"/>
      <c r="E77" s="13"/>
      <c r="F77" s="13"/>
      <c r="G77" s="12"/>
      <c r="H77" s="14"/>
      <c r="I77" s="14"/>
      <c r="J77" s="14"/>
      <c r="K77" s="12"/>
      <c r="L77" s="13"/>
      <c r="M77" s="12"/>
      <c r="N77" s="12"/>
      <c r="O77" s="12"/>
      <c r="P77" s="12"/>
      <c r="Q77" s="12"/>
      <c r="R77" s="12"/>
      <c r="T77" s="15"/>
      <c r="U77" s="16"/>
      <c r="V77" s="13"/>
      <c r="W77" s="13"/>
      <c r="X77" s="13"/>
      <c r="Y77" s="13"/>
      <c r="Z77" s="14"/>
      <c r="AA77" s="14"/>
      <c r="AB77" s="15"/>
      <c r="AC77" s="15"/>
    </row>
    <row r="78" spans="1:29" x14ac:dyDescent="0.2">
      <c r="A78" s="11"/>
      <c r="B78" s="12"/>
      <c r="C78" s="13"/>
      <c r="D78" s="13"/>
      <c r="E78" s="13"/>
      <c r="F78" s="13"/>
      <c r="G78" s="12"/>
      <c r="H78" s="14"/>
      <c r="I78" s="14"/>
      <c r="J78" s="14"/>
      <c r="K78" s="12"/>
      <c r="L78" s="13"/>
      <c r="M78" s="12"/>
      <c r="N78" s="12"/>
      <c r="O78" s="12"/>
      <c r="P78" s="12"/>
      <c r="Q78" s="12"/>
      <c r="R78" s="12"/>
      <c r="T78" s="15"/>
      <c r="U78" s="16"/>
      <c r="V78" s="13"/>
      <c r="W78" s="13"/>
      <c r="X78" s="13"/>
      <c r="Y78" s="13"/>
      <c r="Z78" s="14"/>
      <c r="AA78" s="14"/>
      <c r="AB78" s="15"/>
      <c r="AC78" s="15"/>
    </row>
    <row r="79" spans="1:29" x14ac:dyDescent="0.2">
      <c r="A79" s="11"/>
      <c r="B79" s="12"/>
      <c r="C79" s="13"/>
      <c r="D79" s="13"/>
      <c r="E79" s="13"/>
      <c r="F79" s="13"/>
      <c r="G79" s="12"/>
      <c r="H79" s="14"/>
      <c r="I79" s="14"/>
      <c r="J79" s="14"/>
      <c r="K79" s="12"/>
      <c r="L79" s="13"/>
      <c r="M79" s="12"/>
      <c r="N79" s="12"/>
      <c r="O79" s="12"/>
      <c r="P79" s="12"/>
      <c r="Q79" s="12"/>
      <c r="R79" s="12"/>
      <c r="T79" s="15"/>
      <c r="U79" s="16"/>
      <c r="V79" s="13"/>
      <c r="W79" s="13"/>
      <c r="X79" s="13"/>
      <c r="Y79" s="13"/>
      <c r="Z79" s="14"/>
      <c r="AA79" s="14"/>
      <c r="AB79" s="15"/>
      <c r="AC79" s="15"/>
    </row>
    <row r="80" spans="1:29" x14ac:dyDescent="0.2">
      <c r="A80" s="11"/>
      <c r="B80" s="12"/>
      <c r="C80" s="13"/>
      <c r="D80" s="13"/>
      <c r="E80" s="13"/>
      <c r="F80" s="13"/>
      <c r="G80" s="12"/>
      <c r="H80" s="14"/>
      <c r="I80" s="14"/>
      <c r="J80" s="14"/>
      <c r="K80" s="12"/>
      <c r="L80" s="13"/>
      <c r="M80" s="12"/>
      <c r="N80" s="12"/>
      <c r="O80" s="12"/>
      <c r="P80" s="12"/>
      <c r="Q80" s="12"/>
      <c r="R80" s="12"/>
      <c r="T80" s="15"/>
      <c r="U80" s="16"/>
      <c r="V80" s="13"/>
      <c r="W80" s="13"/>
      <c r="X80" s="13"/>
      <c r="Y80" s="13"/>
      <c r="Z80" s="14"/>
      <c r="AA80" s="14"/>
      <c r="AB80" s="15"/>
      <c r="AC80" s="15"/>
    </row>
    <row r="81" spans="1:29" x14ac:dyDescent="0.2">
      <c r="A81" s="11"/>
      <c r="B81" s="12"/>
      <c r="C81" s="13"/>
      <c r="D81" s="13"/>
      <c r="E81" s="13"/>
      <c r="F81" s="13"/>
      <c r="G81" s="12"/>
      <c r="H81" s="14"/>
      <c r="I81" s="14"/>
      <c r="J81" s="14"/>
      <c r="K81" s="12"/>
      <c r="L81" s="13"/>
      <c r="M81" s="12"/>
      <c r="N81" s="12"/>
      <c r="O81" s="12"/>
      <c r="P81" s="12"/>
      <c r="Q81" s="12"/>
      <c r="R81" s="12"/>
      <c r="T81" s="15"/>
      <c r="U81" s="16"/>
      <c r="V81" s="13"/>
      <c r="W81" s="13"/>
      <c r="X81" s="13"/>
      <c r="Y81" s="13"/>
      <c r="Z81" s="14"/>
      <c r="AA81" s="14"/>
      <c r="AB81" s="15"/>
      <c r="AC81" s="15"/>
    </row>
    <row r="82" spans="1:29" x14ac:dyDescent="0.2">
      <c r="A82" s="11"/>
      <c r="B82" s="12"/>
      <c r="C82" s="13"/>
      <c r="D82" s="13"/>
      <c r="E82" s="13"/>
      <c r="F82" s="13"/>
      <c r="G82" s="12"/>
      <c r="H82" s="14"/>
      <c r="I82" s="14"/>
      <c r="J82" s="14"/>
      <c r="K82" s="12"/>
      <c r="L82" s="13"/>
      <c r="M82" s="12"/>
      <c r="N82" s="12"/>
      <c r="O82" s="12"/>
      <c r="P82" s="12"/>
      <c r="Q82" s="12"/>
      <c r="R82" s="12"/>
      <c r="T82" s="15"/>
      <c r="U82" s="16"/>
      <c r="V82" s="13"/>
      <c r="W82" s="13"/>
      <c r="X82" s="13"/>
      <c r="Y82" s="13"/>
      <c r="Z82" s="14"/>
      <c r="AA82" s="14"/>
      <c r="AB82" s="15"/>
      <c r="AC82" s="15"/>
    </row>
    <row r="83" spans="1:29" x14ac:dyDescent="0.2">
      <c r="A83" s="11"/>
      <c r="B83" s="12"/>
      <c r="C83" s="13"/>
      <c r="D83" s="13"/>
      <c r="E83" s="13"/>
      <c r="F83" s="13"/>
      <c r="G83" s="12"/>
      <c r="H83" s="14"/>
      <c r="I83" s="14"/>
      <c r="J83" s="14"/>
      <c r="K83" s="12"/>
      <c r="L83" s="13"/>
      <c r="M83" s="12"/>
      <c r="N83" s="12"/>
      <c r="O83" s="12"/>
      <c r="P83" s="12"/>
      <c r="Q83" s="12"/>
      <c r="R83" s="12"/>
      <c r="T83" s="15"/>
      <c r="U83" s="16"/>
      <c r="V83" s="13"/>
      <c r="W83" s="13"/>
      <c r="X83" s="13"/>
      <c r="Y83" s="13"/>
      <c r="Z83" s="14"/>
      <c r="AA83" s="14"/>
      <c r="AB83" s="15"/>
      <c r="AC83" s="15"/>
    </row>
    <row r="84" spans="1:29" x14ac:dyDescent="0.2">
      <c r="A84" s="11"/>
      <c r="B84" s="12"/>
      <c r="C84" s="13"/>
      <c r="D84" s="13"/>
      <c r="E84" s="13"/>
      <c r="F84" s="13"/>
      <c r="G84" s="12"/>
      <c r="H84" s="14"/>
      <c r="I84" s="14"/>
      <c r="J84" s="14"/>
      <c r="K84" s="12"/>
      <c r="L84" s="13"/>
      <c r="M84" s="12"/>
      <c r="N84" s="12"/>
      <c r="O84" s="12"/>
      <c r="P84" s="12"/>
      <c r="Q84" s="12"/>
      <c r="R84" s="12"/>
      <c r="T84" s="15"/>
      <c r="U84" s="16"/>
      <c r="V84" s="13"/>
      <c r="W84" s="13"/>
      <c r="X84" s="13"/>
      <c r="Y84" s="13"/>
      <c r="Z84" s="14"/>
      <c r="AA84" s="14"/>
      <c r="AB84" s="15"/>
      <c r="AC84" s="15"/>
    </row>
    <row r="85" spans="1:29" x14ac:dyDescent="0.2">
      <c r="A85" s="11"/>
      <c r="B85" s="12"/>
      <c r="C85" s="13"/>
      <c r="D85" s="13"/>
      <c r="E85" s="13"/>
      <c r="F85" s="13"/>
      <c r="G85" s="12"/>
      <c r="H85" s="14"/>
      <c r="I85" s="14"/>
      <c r="J85" s="14"/>
      <c r="K85" s="12"/>
      <c r="L85" s="13"/>
      <c r="M85" s="12"/>
      <c r="N85" s="12"/>
      <c r="O85" s="12"/>
      <c r="P85" s="12"/>
      <c r="Q85" s="12"/>
      <c r="R85" s="12"/>
      <c r="T85" s="15"/>
      <c r="U85" s="16"/>
      <c r="V85" s="13"/>
      <c r="W85" s="13"/>
      <c r="X85" s="13"/>
      <c r="Y85" s="13"/>
      <c r="Z85" s="14"/>
      <c r="AA85" s="14"/>
      <c r="AB85" s="15"/>
      <c r="AC85" s="15"/>
    </row>
    <row r="86" spans="1:29" x14ac:dyDescent="0.2">
      <c r="A86" s="11"/>
      <c r="B86" s="12"/>
      <c r="C86" s="13"/>
      <c r="D86" s="13"/>
      <c r="E86" s="13"/>
      <c r="F86" s="13"/>
      <c r="G86" s="12"/>
      <c r="H86" s="14"/>
      <c r="I86" s="14"/>
      <c r="J86" s="14"/>
      <c r="K86" s="12"/>
      <c r="L86" s="13"/>
      <c r="M86" s="12"/>
      <c r="N86" s="12"/>
      <c r="O86" s="12"/>
      <c r="P86" s="12"/>
      <c r="Q86" s="12"/>
      <c r="R86" s="12"/>
      <c r="T86" s="15"/>
      <c r="U86" s="16"/>
      <c r="V86" s="13"/>
      <c r="W86" s="13"/>
      <c r="X86" s="13"/>
      <c r="Y86" s="13"/>
      <c r="Z86" s="14"/>
      <c r="AA86" s="14"/>
      <c r="AB86" s="15"/>
      <c r="AC86" s="15"/>
    </row>
    <row r="87" spans="1:29" x14ac:dyDescent="0.2">
      <c r="A87" s="11"/>
      <c r="B87" s="12"/>
      <c r="C87" s="13"/>
      <c r="D87" s="13"/>
      <c r="E87" s="13"/>
      <c r="F87" s="13"/>
      <c r="G87" s="12"/>
      <c r="H87" s="14"/>
      <c r="I87" s="14"/>
      <c r="J87" s="14"/>
      <c r="K87" s="12"/>
      <c r="L87" s="13"/>
      <c r="M87" s="12"/>
      <c r="N87" s="12"/>
      <c r="O87" s="12"/>
      <c r="P87" s="12"/>
      <c r="Q87" s="12"/>
      <c r="R87" s="12"/>
      <c r="T87" s="15"/>
      <c r="U87" s="16"/>
      <c r="V87" s="13"/>
      <c r="W87" s="13"/>
      <c r="X87" s="13"/>
      <c r="Y87" s="13"/>
      <c r="Z87" s="14"/>
      <c r="AA87" s="14"/>
      <c r="AB87" s="15"/>
      <c r="AC87" s="15"/>
    </row>
    <row r="88" spans="1:29" x14ac:dyDescent="0.2">
      <c r="A88" s="11"/>
      <c r="B88" s="12"/>
      <c r="C88" s="13"/>
      <c r="D88" s="13"/>
      <c r="E88" s="13"/>
      <c r="F88" s="13"/>
      <c r="G88" s="12"/>
      <c r="H88" s="14"/>
      <c r="I88" s="14"/>
      <c r="J88" s="14"/>
      <c r="K88" s="12"/>
      <c r="L88" s="13"/>
      <c r="M88" s="12"/>
      <c r="N88" s="12"/>
      <c r="O88" s="12"/>
      <c r="P88" s="12"/>
      <c r="Q88" s="12"/>
      <c r="R88" s="12"/>
      <c r="T88" s="15"/>
      <c r="U88" s="16"/>
      <c r="V88" s="13"/>
      <c r="W88" s="13"/>
      <c r="X88" s="13"/>
      <c r="Y88" s="13"/>
      <c r="Z88" s="14"/>
      <c r="AA88" s="14"/>
      <c r="AB88" s="15"/>
      <c r="AC88" s="15"/>
    </row>
    <row r="89" spans="1:29" x14ac:dyDescent="0.2">
      <c r="A89" s="11"/>
      <c r="B89" s="12"/>
      <c r="C89" s="13"/>
      <c r="D89" s="13"/>
      <c r="E89" s="13"/>
      <c r="F89" s="13"/>
      <c r="G89" s="12"/>
      <c r="H89" s="14"/>
      <c r="I89" s="14"/>
      <c r="J89" s="14"/>
      <c r="K89" s="12"/>
      <c r="L89" s="13"/>
      <c r="M89" s="12"/>
      <c r="N89" s="12"/>
      <c r="O89" s="12"/>
      <c r="P89" s="12"/>
      <c r="Q89" s="12"/>
      <c r="R89" s="12"/>
      <c r="T89" s="15"/>
      <c r="U89" s="16"/>
      <c r="V89" s="13"/>
      <c r="W89" s="13"/>
      <c r="X89" s="13"/>
      <c r="Y89" s="13"/>
      <c r="Z89" s="14"/>
      <c r="AA89" s="14"/>
      <c r="AB89" s="15"/>
      <c r="AC89" s="15"/>
    </row>
    <row r="90" spans="1:29" x14ac:dyDescent="0.2">
      <c r="A90" s="11"/>
      <c r="B90" s="12"/>
      <c r="C90" s="13"/>
      <c r="D90" s="13"/>
      <c r="E90" s="13"/>
      <c r="F90" s="13"/>
      <c r="G90" s="12"/>
      <c r="H90" s="14"/>
      <c r="I90" s="14"/>
      <c r="J90" s="14"/>
      <c r="K90" s="12"/>
      <c r="L90" s="13"/>
      <c r="M90" s="12"/>
      <c r="N90" s="12"/>
      <c r="O90" s="12"/>
      <c r="P90" s="12"/>
      <c r="Q90" s="12"/>
      <c r="R90" s="12"/>
      <c r="T90" s="15"/>
      <c r="U90" s="16"/>
      <c r="V90" s="13"/>
      <c r="W90" s="13"/>
      <c r="X90" s="13"/>
      <c r="Y90" s="13"/>
      <c r="Z90" s="14"/>
      <c r="AA90" s="14"/>
      <c r="AB90" s="15"/>
      <c r="AC90" s="15"/>
    </row>
    <row r="91" spans="1:29" x14ac:dyDescent="0.2">
      <c r="A91" s="11"/>
      <c r="B91" s="12"/>
      <c r="C91" s="13"/>
      <c r="D91" s="13"/>
      <c r="E91" s="13"/>
      <c r="F91" s="13"/>
      <c r="G91" s="12"/>
      <c r="H91" s="14"/>
      <c r="I91" s="14"/>
      <c r="J91" s="14"/>
      <c r="K91" s="12"/>
      <c r="L91" s="13"/>
      <c r="M91" s="12"/>
      <c r="N91" s="12"/>
      <c r="O91" s="12"/>
      <c r="P91" s="12"/>
      <c r="Q91" s="12"/>
      <c r="R91" s="12"/>
      <c r="T91" s="15"/>
      <c r="U91" s="16"/>
      <c r="V91" s="13"/>
      <c r="W91" s="13"/>
      <c r="X91" s="13"/>
      <c r="Y91" s="13"/>
      <c r="Z91" s="14"/>
      <c r="AA91" s="14"/>
      <c r="AB91" s="15"/>
      <c r="AC91" s="15"/>
    </row>
    <row r="92" spans="1:29" x14ac:dyDescent="0.2">
      <c r="A92" s="11"/>
      <c r="B92" s="12"/>
      <c r="C92" s="13"/>
      <c r="D92" s="13"/>
      <c r="E92" s="13"/>
      <c r="F92" s="13"/>
      <c r="G92" s="12"/>
      <c r="H92" s="14"/>
      <c r="I92" s="14"/>
      <c r="J92" s="14"/>
      <c r="K92" s="12"/>
      <c r="L92" s="13"/>
      <c r="M92" s="12"/>
      <c r="N92" s="12"/>
      <c r="O92" s="12"/>
      <c r="P92" s="12"/>
      <c r="Q92" s="12"/>
      <c r="R92" s="12"/>
      <c r="T92" s="15"/>
      <c r="U92" s="16"/>
      <c r="V92" s="13"/>
      <c r="W92" s="13"/>
      <c r="X92" s="13"/>
      <c r="Y92" s="13"/>
      <c r="Z92" s="14"/>
      <c r="AA92" s="14"/>
      <c r="AB92" s="15"/>
      <c r="AC92" s="15"/>
    </row>
    <row r="93" spans="1:29" x14ac:dyDescent="0.2">
      <c r="A93" s="11"/>
      <c r="B93" s="12"/>
      <c r="C93" s="13"/>
      <c r="D93" s="13"/>
      <c r="E93" s="13"/>
      <c r="F93" s="13"/>
      <c r="G93" s="12"/>
      <c r="H93" s="14"/>
      <c r="I93" s="14"/>
      <c r="J93" s="14"/>
      <c r="K93" s="12"/>
      <c r="L93" s="13"/>
      <c r="M93" s="12"/>
      <c r="N93" s="12"/>
      <c r="O93" s="12"/>
      <c r="P93" s="12"/>
      <c r="Q93" s="12"/>
      <c r="R93" s="12"/>
      <c r="T93" s="15"/>
      <c r="U93" s="16"/>
      <c r="V93" s="13"/>
      <c r="W93" s="13"/>
      <c r="X93" s="13"/>
      <c r="Y93" s="13"/>
      <c r="Z93" s="14"/>
      <c r="AA93" s="14"/>
      <c r="AB93" s="15"/>
      <c r="AC93" s="15"/>
    </row>
    <row r="94" spans="1:29" x14ac:dyDescent="0.2">
      <c r="A94" s="11"/>
      <c r="B94" s="12"/>
      <c r="C94" s="13"/>
      <c r="D94" s="13"/>
      <c r="E94" s="13"/>
      <c r="F94" s="13"/>
      <c r="G94" s="12"/>
      <c r="H94" s="14"/>
      <c r="I94" s="14"/>
      <c r="J94" s="14"/>
      <c r="K94" s="12"/>
      <c r="L94" s="13"/>
      <c r="M94" s="12"/>
      <c r="N94" s="12"/>
      <c r="O94" s="12"/>
      <c r="P94" s="12"/>
      <c r="Q94" s="12"/>
      <c r="R94" s="12"/>
      <c r="T94" s="15"/>
      <c r="U94" s="16"/>
      <c r="V94" s="13"/>
      <c r="W94" s="13"/>
      <c r="X94" s="13"/>
      <c r="Y94" s="13"/>
      <c r="Z94" s="14"/>
      <c r="AA94" s="14"/>
      <c r="AB94" s="15"/>
      <c r="AC94" s="15"/>
    </row>
    <row r="95" spans="1:29" x14ac:dyDescent="0.2">
      <c r="A95" s="11"/>
      <c r="B95" s="12"/>
      <c r="C95" s="13"/>
      <c r="D95" s="13"/>
      <c r="E95" s="13"/>
      <c r="F95" s="13"/>
      <c r="G95" s="12"/>
      <c r="H95" s="14"/>
      <c r="I95" s="14"/>
      <c r="J95" s="14"/>
      <c r="K95" s="12"/>
      <c r="L95" s="13"/>
      <c r="M95" s="12"/>
      <c r="N95" s="12"/>
      <c r="O95" s="12"/>
      <c r="P95" s="12"/>
      <c r="Q95" s="12"/>
      <c r="R95" s="12"/>
      <c r="T95" s="15"/>
      <c r="U95" s="16"/>
      <c r="V95" s="13"/>
      <c r="W95" s="13"/>
      <c r="X95" s="13"/>
      <c r="Y95" s="13"/>
      <c r="Z95" s="14"/>
      <c r="AA95" s="14"/>
      <c r="AB95" s="15"/>
      <c r="AC95" s="15"/>
    </row>
    <row r="96" spans="1:29" x14ac:dyDescent="0.2">
      <c r="A96" s="11"/>
      <c r="B96" s="12"/>
      <c r="C96" s="13"/>
      <c r="D96" s="13"/>
      <c r="E96" s="13"/>
      <c r="F96" s="13"/>
      <c r="G96" s="12"/>
      <c r="H96" s="14"/>
      <c r="I96" s="14"/>
      <c r="J96" s="14"/>
      <c r="K96" s="12"/>
      <c r="L96" s="13"/>
      <c r="M96" s="12"/>
      <c r="N96" s="12"/>
      <c r="O96" s="12"/>
      <c r="P96" s="12"/>
      <c r="Q96" s="12"/>
      <c r="R96" s="12"/>
      <c r="T96" s="15"/>
      <c r="U96" s="16"/>
      <c r="V96" s="13"/>
      <c r="W96" s="13"/>
      <c r="X96" s="13"/>
      <c r="Y96" s="13"/>
      <c r="Z96" s="14"/>
      <c r="AA96" s="14"/>
      <c r="AB96" s="15"/>
      <c r="AC96" s="15"/>
    </row>
    <row r="97" spans="1:29" x14ac:dyDescent="0.2">
      <c r="A97" s="11"/>
      <c r="B97" s="12"/>
      <c r="C97" s="13"/>
      <c r="D97" s="13"/>
      <c r="E97" s="13"/>
      <c r="F97" s="13"/>
      <c r="G97" s="12"/>
      <c r="H97" s="14"/>
      <c r="I97" s="14"/>
      <c r="J97" s="14"/>
      <c r="K97" s="12"/>
      <c r="L97" s="13"/>
      <c r="M97" s="12"/>
      <c r="N97" s="12"/>
      <c r="O97" s="12"/>
      <c r="P97" s="12"/>
      <c r="Q97" s="12"/>
      <c r="R97" s="12"/>
      <c r="T97" s="15"/>
      <c r="U97" s="16"/>
      <c r="V97" s="13"/>
      <c r="W97" s="13"/>
      <c r="X97" s="13"/>
      <c r="Y97" s="13"/>
      <c r="Z97" s="14"/>
      <c r="AA97" s="14"/>
      <c r="AB97" s="15"/>
      <c r="AC97" s="15"/>
    </row>
    <row r="98" spans="1:29" x14ac:dyDescent="0.2">
      <c r="A98" s="11"/>
      <c r="B98" s="12"/>
      <c r="C98" s="13"/>
      <c r="D98" s="13"/>
      <c r="E98" s="13"/>
      <c r="F98" s="13"/>
      <c r="G98" s="12"/>
      <c r="H98" s="14"/>
      <c r="I98" s="14"/>
      <c r="J98" s="14"/>
      <c r="K98" s="12"/>
      <c r="L98" s="13"/>
      <c r="M98" s="12"/>
      <c r="N98" s="12"/>
      <c r="O98" s="12"/>
      <c r="P98" s="12"/>
      <c r="Q98" s="12"/>
      <c r="R98" s="12"/>
      <c r="T98" s="15"/>
      <c r="U98" s="16"/>
      <c r="V98" s="13"/>
      <c r="W98" s="13"/>
      <c r="X98" s="13"/>
      <c r="Y98" s="13"/>
      <c r="Z98" s="14"/>
      <c r="AA98" s="14"/>
      <c r="AB98" s="15"/>
      <c r="AC98" s="15"/>
    </row>
    <row r="99" spans="1:29" x14ac:dyDescent="0.2">
      <c r="A99" s="11"/>
      <c r="B99" s="12"/>
      <c r="C99" s="13"/>
      <c r="D99" s="13"/>
      <c r="E99" s="13"/>
      <c r="F99" s="13"/>
      <c r="G99" s="12"/>
      <c r="H99" s="14"/>
      <c r="I99" s="14"/>
      <c r="J99" s="14"/>
      <c r="K99" s="12"/>
      <c r="L99" s="13"/>
      <c r="M99" s="12"/>
      <c r="N99" s="12"/>
      <c r="O99" s="12"/>
      <c r="P99" s="12"/>
      <c r="Q99" s="12"/>
      <c r="R99" s="12"/>
      <c r="T99" s="15"/>
      <c r="U99" s="16"/>
      <c r="V99" s="13"/>
      <c r="W99" s="13"/>
      <c r="X99" s="13"/>
      <c r="Y99" s="13"/>
      <c r="Z99" s="14"/>
      <c r="AA99" s="14"/>
      <c r="AB99" s="15"/>
      <c r="AC99" s="15"/>
    </row>
    <row r="100" spans="1:29" x14ac:dyDescent="0.2">
      <c r="A100" s="11"/>
      <c r="B100" s="12"/>
      <c r="C100" s="13"/>
      <c r="D100" s="13"/>
      <c r="E100" s="13"/>
      <c r="F100" s="13"/>
      <c r="G100" s="12"/>
      <c r="H100" s="14"/>
      <c r="I100" s="14"/>
      <c r="J100" s="14"/>
      <c r="K100" s="12"/>
      <c r="L100" s="13"/>
      <c r="M100" s="12"/>
      <c r="N100" s="12"/>
      <c r="O100" s="12"/>
      <c r="P100" s="12"/>
      <c r="Q100" s="12"/>
      <c r="R100" s="12"/>
      <c r="T100" s="15"/>
      <c r="U100" s="16"/>
      <c r="V100" s="13"/>
      <c r="W100" s="13"/>
      <c r="X100" s="13"/>
      <c r="Y100" s="13"/>
      <c r="Z100" s="14"/>
      <c r="AA100" s="14"/>
      <c r="AB100" s="15"/>
      <c r="AC100" s="15"/>
    </row>
    <row r="101" spans="1:29" x14ac:dyDescent="0.2">
      <c r="A101" s="11"/>
      <c r="B101" s="12"/>
      <c r="C101" s="13"/>
      <c r="D101" s="13"/>
      <c r="E101" s="13"/>
      <c r="F101" s="13"/>
      <c r="G101" s="12"/>
      <c r="H101" s="14"/>
      <c r="I101" s="14"/>
      <c r="J101" s="14"/>
      <c r="K101" s="12"/>
      <c r="L101" s="13"/>
      <c r="M101" s="12"/>
      <c r="N101" s="12"/>
      <c r="O101" s="12"/>
      <c r="P101" s="12"/>
      <c r="Q101" s="12"/>
      <c r="R101" s="12"/>
      <c r="T101" s="15"/>
      <c r="U101" s="16"/>
      <c r="V101" s="13"/>
      <c r="W101" s="13"/>
      <c r="X101" s="13"/>
      <c r="Y101" s="13"/>
      <c r="Z101" s="14"/>
      <c r="AA101" s="14"/>
      <c r="AB101" s="15"/>
      <c r="AC101" s="15"/>
    </row>
    <row r="102" spans="1:29" x14ac:dyDescent="0.2">
      <c r="A102" s="11"/>
      <c r="B102" s="12"/>
      <c r="C102" s="13"/>
      <c r="D102" s="13"/>
      <c r="E102" s="13"/>
      <c r="F102" s="13"/>
      <c r="G102" s="12"/>
      <c r="H102" s="14"/>
      <c r="I102" s="14"/>
      <c r="J102" s="14"/>
      <c r="K102" s="12"/>
      <c r="L102" s="13"/>
      <c r="M102" s="12"/>
      <c r="N102" s="12"/>
      <c r="O102" s="12"/>
      <c r="P102" s="12"/>
      <c r="Q102" s="12"/>
      <c r="R102" s="12"/>
      <c r="T102" s="15"/>
      <c r="U102" s="16"/>
      <c r="V102" s="13"/>
      <c r="W102" s="13"/>
      <c r="X102" s="13"/>
      <c r="Y102" s="13"/>
      <c r="Z102" s="14"/>
      <c r="AA102" s="14"/>
      <c r="AB102" s="15"/>
      <c r="AC102" s="15"/>
    </row>
    <row r="103" spans="1:29" x14ac:dyDescent="0.2">
      <c r="A103" s="11"/>
      <c r="B103" s="12"/>
      <c r="C103" s="13"/>
      <c r="D103" s="13"/>
      <c r="E103" s="13"/>
      <c r="F103" s="13"/>
      <c r="G103" s="12"/>
      <c r="H103" s="14"/>
      <c r="I103" s="14"/>
      <c r="J103" s="14"/>
      <c r="K103" s="12"/>
      <c r="L103" s="13"/>
      <c r="M103" s="12"/>
      <c r="N103" s="12"/>
      <c r="O103" s="12"/>
      <c r="P103" s="12"/>
      <c r="Q103" s="12"/>
      <c r="R103" s="12"/>
      <c r="T103" s="15"/>
      <c r="U103" s="16"/>
      <c r="V103" s="13"/>
      <c r="W103" s="13"/>
      <c r="X103" s="13"/>
      <c r="Y103" s="13"/>
      <c r="Z103" s="14"/>
      <c r="AA103" s="14"/>
      <c r="AB103" s="15"/>
      <c r="AC103" s="15"/>
    </row>
    <row r="104" spans="1:29" x14ac:dyDescent="0.2">
      <c r="A104" s="11"/>
      <c r="B104" s="12"/>
      <c r="C104" s="13"/>
      <c r="D104" s="13"/>
      <c r="E104" s="13"/>
      <c r="F104" s="13"/>
      <c r="G104" s="12"/>
      <c r="H104" s="14"/>
      <c r="I104" s="14"/>
      <c r="J104" s="14"/>
      <c r="K104" s="12"/>
      <c r="L104" s="13"/>
      <c r="M104" s="12"/>
      <c r="N104" s="12"/>
      <c r="O104" s="12"/>
      <c r="P104" s="12"/>
      <c r="Q104" s="12"/>
      <c r="R104" s="12"/>
      <c r="T104" s="15"/>
      <c r="U104" s="16"/>
      <c r="V104" s="13"/>
      <c r="W104" s="13"/>
      <c r="X104" s="13"/>
      <c r="Y104" s="13"/>
      <c r="Z104" s="14"/>
      <c r="AA104" s="14"/>
      <c r="AB104" s="15"/>
      <c r="AC104" s="15"/>
    </row>
    <row r="105" spans="1:29" x14ac:dyDescent="0.2">
      <c r="A105" s="11"/>
      <c r="B105" s="12"/>
      <c r="C105" s="13"/>
      <c r="D105" s="13"/>
      <c r="E105" s="13"/>
      <c r="F105" s="13"/>
      <c r="G105" s="12"/>
      <c r="H105" s="14"/>
      <c r="I105" s="14"/>
      <c r="J105" s="14"/>
      <c r="K105" s="12"/>
      <c r="L105" s="13"/>
      <c r="M105" s="12"/>
      <c r="N105" s="12"/>
      <c r="O105" s="12"/>
      <c r="P105" s="12"/>
      <c r="Q105" s="12"/>
      <c r="R105" s="12"/>
      <c r="T105" s="15"/>
      <c r="U105" s="16"/>
      <c r="V105" s="13"/>
      <c r="W105" s="13"/>
      <c r="X105" s="13"/>
      <c r="Y105" s="13"/>
      <c r="Z105" s="14"/>
      <c r="AA105" s="14"/>
      <c r="AB105" s="15"/>
      <c r="AC105" s="15"/>
    </row>
    <row r="106" spans="1:29" x14ac:dyDescent="0.2">
      <c r="A106" s="11"/>
      <c r="B106" s="12"/>
      <c r="C106" s="13"/>
      <c r="D106" s="13"/>
      <c r="E106" s="13"/>
      <c r="F106" s="13"/>
      <c r="G106" s="12"/>
      <c r="H106" s="14"/>
      <c r="I106" s="14"/>
      <c r="J106" s="14"/>
      <c r="K106" s="12"/>
      <c r="L106" s="13"/>
      <c r="M106" s="12"/>
      <c r="N106" s="12"/>
      <c r="O106" s="12"/>
      <c r="P106" s="12"/>
      <c r="Q106" s="12"/>
      <c r="R106" s="12"/>
      <c r="T106" s="15"/>
      <c r="U106" s="16"/>
      <c r="V106" s="13"/>
      <c r="W106" s="13"/>
      <c r="X106" s="13"/>
      <c r="Y106" s="13"/>
      <c r="Z106" s="14"/>
      <c r="AA106" s="14"/>
      <c r="AB106" s="15"/>
      <c r="AC106" s="15"/>
    </row>
    <row r="107" spans="1:29" x14ac:dyDescent="0.2">
      <c r="A107" s="11"/>
      <c r="B107" s="12"/>
      <c r="C107" s="13"/>
      <c r="D107" s="13"/>
      <c r="E107" s="13"/>
      <c r="F107" s="13"/>
      <c r="G107" s="12"/>
      <c r="H107" s="14"/>
      <c r="I107" s="14"/>
      <c r="J107" s="14"/>
      <c r="K107" s="12"/>
      <c r="L107" s="13"/>
      <c r="M107" s="12"/>
      <c r="N107" s="12"/>
      <c r="O107" s="12"/>
      <c r="P107" s="12"/>
      <c r="Q107" s="12"/>
      <c r="R107" s="12"/>
      <c r="T107" s="15"/>
      <c r="U107" s="16"/>
      <c r="V107" s="13"/>
      <c r="W107" s="13"/>
      <c r="X107" s="13"/>
      <c r="Y107" s="13"/>
      <c r="Z107" s="14"/>
      <c r="AA107" s="14"/>
      <c r="AB107" s="15"/>
      <c r="AC107" s="15"/>
    </row>
    <row r="108" spans="1:29" x14ac:dyDescent="0.2">
      <c r="A108" s="11"/>
      <c r="B108" s="12"/>
      <c r="C108" s="13"/>
      <c r="D108" s="13"/>
      <c r="E108" s="13"/>
      <c r="F108" s="13"/>
      <c r="G108" s="12"/>
      <c r="H108" s="14"/>
      <c r="I108" s="14"/>
      <c r="J108" s="14"/>
      <c r="K108" s="12"/>
      <c r="L108" s="13"/>
      <c r="M108" s="12"/>
      <c r="N108" s="12"/>
      <c r="O108" s="12"/>
      <c r="P108" s="12"/>
      <c r="Q108" s="12"/>
      <c r="R108" s="12"/>
      <c r="T108" s="15"/>
      <c r="U108" s="16"/>
      <c r="V108" s="13"/>
      <c r="W108" s="13"/>
      <c r="X108" s="13"/>
      <c r="Y108" s="13"/>
      <c r="Z108" s="14"/>
      <c r="AA108" s="14"/>
      <c r="AB108" s="15"/>
      <c r="AC108" s="15"/>
    </row>
    <row r="109" spans="1:29" x14ac:dyDescent="0.2">
      <c r="A109" s="11"/>
      <c r="B109" s="12"/>
      <c r="C109" s="13"/>
      <c r="D109" s="13"/>
      <c r="E109" s="13"/>
      <c r="F109" s="13"/>
      <c r="G109" s="12"/>
      <c r="H109" s="14"/>
      <c r="I109" s="14"/>
      <c r="J109" s="14"/>
      <c r="K109" s="12"/>
      <c r="L109" s="13"/>
      <c r="M109" s="12"/>
      <c r="N109" s="12"/>
      <c r="O109" s="12"/>
      <c r="P109" s="12"/>
      <c r="Q109" s="12"/>
      <c r="R109" s="12"/>
      <c r="T109" s="15"/>
      <c r="U109" s="16"/>
      <c r="V109" s="13"/>
      <c r="W109" s="13"/>
      <c r="X109" s="13"/>
      <c r="Y109" s="13"/>
      <c r="Z109" s="14"/>
      <c r="AA109" s="14"/>
      <c r="AB109" s="15"/>
      <c r="AC109" s="15"/>
    </row>
    <row r="110" spans="1:29" x14ac:dyDescent="0.2">
      <c r="A110" s="11"/>
      <c r="B110" s="12"/>
      <c r="C110" s="13"/>
      <c r="D110" s="13"/>
      <c r="E110" s="13"/>
      <c r="F110" s="13"/>
      <c r="G110" s="12"/>
      <c r="H110" s="14"/>
      <c r="I110" s="14"/>
      <c r="J110" s="14"/>
      <c r="K110" s="12"/>
      <c r="L110" s="13"/>
      <c r="M110" s="12"/>
      <c r="N110" s="12"/>
      <c r="O110" s="12"/>
      <c r="P110" s="12"/>
      <c r="Q110" s="12"/>
      <c r="R110" s="12"/>
      <c r="T110" s="15"/>
      <c r="U110" s="16"/>
      <c r="V110" s="13"/>
      <c r="W110" s="13"/>
      <c r="X110" s="13"/>
      <c r="Y110" s="13"/>
      <c r="Z110" s="14"/>
      <c r="AA110" s="14"/>
      <c r="AB110" s="15"/>
      <c r="AC110" s="15"/>
    </row>
    <row r="111" spans="1:29" x14ac:dyDescent="0.2">
      <c r="A111" s="11"/>
      <c r="B111" s="12"/>
      <c r="C111" s="13"/>
      <c r="D111" s="13"/>
      <c r="E111" s="13"/>
      <c r="F111" s="13"/>
      <c r="G111" s="12"/>
      <c r="H111" s="14"/>
      <c r="I111" s="14"/>
      <c r="J111" s="14"/>
      <c r="K111" s="12"/>
      <c r="L111" s="13"/>
      <c r="M111" s="12"/>
      <c r="N111" s="12"/>
      <c r="O111" s="12"/>
      <c r="P111" s="12"/>
      <c r="Q111" s="12"/>
      <c r="R111" s="12"/>
      <c r="T111" s="15"/>
      <c r="U111" s="16"/>
      <c r="V111" s="13"/>
      <c r="W111" s="13"/>
      <c r="X111" s="13"/>
      <c r="Y111" s="13"/>
      <c r="Z111" s="14"/>
      <c r="AA111" s="14"/>
      <c r="AB111" s="15"/>
      <c r="AC111" s="15"/>
    </row>
    <row r="112" spans="1:29" x14ac:dyDescent="0.2">
      <c r="A112" s="11"/>
      <c r="B112" s="12"/>
      <c r="C112" s="13"/>
      <c r="D112" s="13"/>
      <c r="E112" s="13"/>
      <c r="F112" s="13"/>
      <c r="G112" s="12"/>
      <c r="H112" s="14"/>
      <c r="I112" s="14"/>
      <c r="J112" s="14"/>
      <c r="K112" s="12"/>
      <c r="L112" s="13"/>
      <c r="M112" s="12"/>
      <c r="N112" s="12"/>
      <c r="O112" s="12"/>
      <c r="P112" s="12"/>
      <c r="Q112" s="12"/>
      <c r="R112" s="12"/>
      <c r="T112" s="15"/>
      <c r="U112" s="16"/>
      <c r="V112" s="13"/>
      <c r="W112" s="13"/>
      <c r="X112" s="13"/>
      <c r="Y112" s="13"/>
      <c r="Z112" s="14"/>
      <c r="AA112" s="14"/>
      <c r="AB112" s="15"/>
      <c r="AC112" s="15"/>
    </row>
    <row r="113" spans="1:29" x14ac:dyDescent="0.2">
      <c r="A113" s="11"/>
      <c r="B113" s="12"/>
      <c r="C113" s="13"/>
      <c r="D113" s="13"/>
      <c r="E113" s="13"/>
      <c r="F113" s="13"/>
      <c r="G113" s="12"/>
      <c r="H113" s="14"/>
      <c r="I113" s="14"/>
      <c r="J113" s="14"/>
      <c r="K113" s="12"/>
      <c r="L113" s="13"/>
      <c r="M113" s="12"/>
      <c r="N113" s="12"/>
      <c r="O113" s="12"/>
      <c r="P113" s="12"/>
      <c r="Q113" s="12"/>
      <c r="R113" s="12"/>
      <c r="T113" s="15"/>
      <c r="U113" s="16"/>
      <c r="V113" s="13"/>
      <c r="W113" s="13"/>
      <c r="X113" s="13"/>
      <c r="Y113" s="13"/>
      <c r="Z113" s="14"/>
      <c r="AA113" s="14"/>
      <c r="AB113" s="15"/>
      <c r="AC113" s="15"/>
    </row>
    <row r="114" spans="1:29" x14ac:dyDescent="0.2">
      <c r="A114" s="11"/>
      <c r="B114" s="12"/>
      <c r="C114" s="13"/>
      <c r="D114" s="13"/>
      <c r="E114" s="13"/>
      <c r="F114" s="13"/>
      <c r="G114" s="12"/>
      <c r="H114" s="14"/>
      <c r="I114" s="14"/>
      <c r="J114" s="14"/>
      <c r="K114" s="12"/>
      <c r="L114" s="13"/>
      <c r="M114" s="12"/>
      <c r="N114" s="12"/>
      <c r="O114" s="12"/>
      <c r="P114" s="12"/>
      <c r="Q114" s="12"/>
      <c r="R114" s="12"/>
      <c r="T114" s="15"/>
      <c r="U114" s="16"/>
      <c r="V114" s="13"/>
      <c r="W114" s="13"/>
      <c r="X114" s="13"/>
      <c r="Y114" s="13"/>
      <c r="Z114" s="14"/>
      <c r="AA114" s="14"/>
      <c r="AB114" s="15"/>
      <c r="AC114" s="15"/>
    </row>
    <row r="115" spans="1:29" x14ac:dyDescent="0.2">
      <c r="A115" s="11"/>
      <c r="B115" s="12"/>
      <c r="C115" s="13"/>
      <c r="D115" s="13"/>
      <c r="E115" s="13"/>
      <c r="F115" s="13"/>
      <c r="G115" s="12"/>
      <c r="H115" s="14"/>
      <c r="I115" s="14"/>
      <c r="J115" s="14"/>
      <c r="K115" s="12"/>
      <c r="L115" s="13"/>
      <c r="M115" s="12"/>
      <c r="N115" s="12"/>
      <c r="O115" s="12"/>
      <c r="P115" s="12"/>
      <c r="Q115" s="12"/>
      <c r="R115" s="12"/>
      <c r="T115" s="15"/>
      <c r="U115" s="16"/>
      <c r="V115" s="13"/>
      <c r="W115" s="13"/>
      <c r="X115" s="13"/>
      <c r="Y115" s="13"/>
      <c r="Z115" s="14"/>
      <c r="AA115" s="14"/>
      <c r="AB115" s="15"/>
      <c r="AC115" s="15"/>
    </row>
    <row r="116" spans="1:29" x14ac:dyDescent="0.2">
      <c r="A116" s="11"/>
      <c r="B116" s="12"/>
      <c r="C116" s="13"/>
      <c r="D116" s="13"/>
      <c r="E116" s="13"/>
      <c r="F116" s="13"/>
      <c r="G116" s="12"/>
      <c r="H116" s="14"/>
      <c r="I116" s="14"/>
      <c r="J116" s="14"/>
      <c r="K116" s="12"/>
      <c r="L116" s="13"/>
      <c r="M116" s="12"/>
      <c r="N116" s="12"/>
      <c r="O116" s="12"/>
      <c r="P116" s="12"/>
      <c r="Q116" s="12"/>
      <c r="R116" s="12"/>
      <c r="T116" s="15"/>
      <c r="U116" s="16"/>
      <c r="V116" s="13"/>
      <c r="W116" s="13"/>
      <c r="X116" s="13"/>
      <c r="Y116" s="13"/>
      <c r="Z116" s="14"/>
      <c r="AA116" s="14"/>
      <c r="AB116" s="15"/>
      <c r="AC116" s="15"/>
    </row>
    <row r="117" spans="1:29" x14ac:dyDescent="0.2">
      <c r="A117" s="11"/>
      <c r="B117" s="12"/>
      <c r="C117" s="13"/>
      <c r="D117" s="13"/>
      <c r="E117" s="13"/>
      <c r="F117" s="13"/>
      <c r="G117" s="12"/>
      <c r="H117" s="14"/>
      <c r="I117" s="14"/>
      <c r="J117" s="14"/>
      <c r="K117" s="12"/>
      <c r="L117" s="13"/>
      <c r="M117" s="12"/>
      <c r="N117" s="12"/>
      <c r="O117" s="12"/>
      <c r="P117" s="12"/>
      <c r="Q117" s="12"/>
      <c r="R117" s="12"/>
      <c r="T117" s="15"/>
      <c r="U117" s="16"/>
      <c r="V117" s="13"/>
      <c r="W117" s="13"/>
      <c r="X117" s="13"/>
      <c r="Y117" s="13"/>
      <c r="Z117" s="14"/>
      <c r="AA117" s="14"/>
      <c r="AB117" s="15"/>
      <c r="AC117" s="15"/>
    </row>
    <row r="118" spans="1:29" x14ac:dyDescent="0.2">
      <c r="A118" s="11"/>
      <c r="B118" s="12"/>
      <c r="C118" s="13"/>
      <c r="D118" s="13"/>
      <c r="E118" s="13"/>
      <c r="F118" s="13"/>
      <c r="G118" s="12"/>
      <c r="H118" s="14"/>
      <c r="I118" s="14"/>
      <c r="J118" s="14"/>
      <c r="K118" s="12"/>
      <c r="L118" s="13"/>
      <c r="M118" s="12"/>
      <c r="N118" s="12"/>
      <c r="O118" s="12"/>
      <c r="P118" s="12"/>
      <c r="Q118" s="12"/>
      <c r="R118" s="12"/>
      <c r="T118" s="15"/>
      <c r="U118" s="16"/>
      <c r="V118" s="13"/>
      <c r="W118" s="13"/>
      <c r="X118" s="13"/>
      <c r="Y118" s="13"/>
      <c r="Z118" s="14"/>
      <c r="AA118" s="14"/>
      <c r="AB118" s="15"/>
      <c r="AC118" s="15"/>
    </row>
    <row r="119" spans="1:29" x14ac:dyDescent="0.2">
      <c r="A119" s="11"/>
      <c r="B119" s="12"/>
      <c r="C119" s="13"/>
      <c r="D119" s="13"/>
      <c r="E119" s="13"/>
      <c r="F119" s="13"/>
      <c r="G119" s="12"/>
      <c r="H119" s="14"/>
      <c r="I119" s="14"/>
      <c r="J119" s="14"/>
      <c r="K119" s="12"/>
      <c r="L119" s="13"/>
      <c r="M119" s="12"/>
      <c r="N119" s="12"/>
      <c r="O119" s="12"/>
      <c r="P119" s="12"/>
      <c r="Q119" s="12"/>
      <c r="R119" s="12"/>
      <c r="T119" s="15"/>
      <c r="U119" s="16"/>
      <c r="V119" s="13"/>
      <c r="W119" s="13"/>
      <c r="X119" s="13"/>
      <c r="Y119" s="13"/>
      <c r="Z119" s="14"/>
      <c r="AA119" s="14"/>
      <c r="AB119" s="15"/>
      <c r="AC119" s="15"/>
    </row>
    <row r="120" spans="1:29" x14ac:dyDescent="0.2">
      <c r="A120" s="11"/>
      <c r="B120" s="12"/>
      <c r="C120" s="13"/>
      <c r="D120" s="13"/>
      <c r="E120" s="13"/>
      <c r="F120" s="13"/>
      <c r="G120" s="12"/>
      <c r="H120" s="14"/>
      <c r="I120" s="14"/>
      <c r="J120" s="14"/>
      <c r="K120" s="12"/>
      <c r="L120" s="13"/>
      <c r="M120" s="12"/>
      <c r="N120" s="12"/>
      <c r="O120" s="12"/>
      <c r="P120" s="12"/>
      <c r="Q120" s="12"/>
      <c r="R120" s="12"/>
      <c r="T120" s="15"/>
      <c r="U120" s="16"/>
      <c r="V120" s="13"/>
      <c r="W120" s="13"/>
      <c r="X120" s="13"/>
      <c r="Y120" s="13"/>
      <c r="Z120" s="14"/>
      <c r="AA120" s="14"/>
      <c r="AB120" s="15"/>
      <c r="AC120" s="15"/>
    </row>
    <row r="121" spans="1:29" x14ac:dyDescent="0.2">
      <c r="A121" s="11"/>
      <c r="B121" s="12"/>
      <c r="C121" s="13"/>
      <c r="D121" s="13"/>
      <c r="E121" s="13"/>
      <c r="F121" s="13"/>
      <c r="G121" s="12"/>
      <c r="H121" s="14"/>
      <c r="I121" s="14"/>
      <c r="J121" s="14"/>
      <c r="K121" s="12"/>
      <c r="L121" s="13"/>
      <c r="M121" s="12"/>
      <c r="N121" s="12"/>
      <c r="O121" s="12"/>
      <c r="P121" s="12"/>
      <c r="Q121" s="12"/>
      <c r="R121" s="12"/>
      <c r="T121" s="15"/>
      <c r="U121" s="16"/>
      <c r="V121" s="13"/>
      <c r="W121" s="13"/>
      <c r="X121" s="13"/>
      <c r="Y121" s="13"/>
      <c r="Z121" s="14"/>
      <c r="AA121" s="14"/>
      <c r="AB121" s="15"/>
      <c r="AC121" s="15"/>
    </row>
    <row r="122" spans="1:29" x14ac:dyDescent="0.2">
      <c r="A122" s="11"/>
      <c r="B122" s="12"/>
      <c r="C122" s="13"/>
      <c r="D122" s="13"/>
      <c r="E122" s="13"/>
      <c r="F122" s="13"/>
      <c r="G122" s="12"/>
      <c r="H122" s="14"/>
      <c r="I122" s="14"/>
      <c r="J122" s="14"/>
      <c r="K122" s="12"/>
      <c r="L122" s="13"/>
      <c r="M122" s="12"/>
      <c r="N122" s="12"/>
      <c r="O122" s="12"/>
      <c r="P122" s="12"/>
      <c r="Q122" s="12"/>
      <c r="R122" s="12"/>
      <c r="T122" s="15"/>
      <c r="U122" s="16"/>
      <c r="V122" s="13"/>
      <c r="W122" s="13"/>
      <c r="X122" s="13"/>
      <c r="Y122" s="13"/>
      <c r="Z122" s="14"/>
      <c r="AA122" s="14"/>
      <c r="AB122" s="15"/>
      <c r="AC122" s="15"/>
    </row>
    <row r="123" spans="1:29" x14ac:dyDescent="0.2">
      <c r="A123" s="11"/>
      <c r="B123" s="12"/>
      <c r="C123" s="13"/>
      <c r="D123" s="13"/>
      <c r="E123" s="13"/>
      <c r="F123" s="13"/>
      <c r="G123" s="12"/>
      <c r="H123" s="14"/>
      <c r="I123" s="14"/>
      <c r="J123" s="14"/>
      <c r="K123" s="12"/>
      <c r="L123" s="13"/>
      <c r="M123" s="12"/>
      <c r="N123" s="12"/>
      <c r="O123" s="12"/>
      <c r="P123" s="12"/>
      <c r="Q123" s="12"/>
      <c r="R123" s="12"/>
      <c r="T123" s="15"/>
      <c r="U123" s="16"/>
      <c r="V123" s="13"/>
      <c r="W123" s="13"/>
      <c r="X123" s="13"/>
      <c r="Y123" s="13"/>
      <c r="Z123" s="14"/>
      <c r="AA123" s="14"/>
      <c r="AB123" s="15"/>
      <c r="AC123" s="15"/>
    </row>
    <row r="124" spans="1:29" x14ac:dyDescent="0.2">
      <c r="A124" s="11"/>
      <c r="B124" s="12"/>
      <c r="C124" s="13"/>
      <c r="D124" s="13"/>
      <c r="E124" s="13"/>
      <c r="F124" s="13"/>
      <c r="G124" s="12"/>
      <c r="H124" s="14"/>
      <c r="I124" s="14"/>
      <c r="J124" s="14"/>
      <c r="K124" s="12"/>
      <c r="L124" s="13"/>
      <c r="M124" s="12"/>
      <c r="N124" s="12"/>
      <c r="O124" s="12"/>
      <c r="P124" s="12"/>
      <c r="Q124" s="12"/>
      <c r="R124" s="12"/>
      <c r="T124" s="15"/>
      <c r="U124" s="16"/>
      <c r="V124" s="13"/>
      <c r="W124" s="13"/>
      <c r="X124" s="13"/>
      <c r="Y124" s="13"/>
      <c r="Z124" s="14"/>
      <c r="AA124" s="14"/>
      <c r="AB124" s="15"/>
      <c r="AC124" s="15"/>
    </row>
    <row r="125" spans="1:29" x14ac:dyDescent="0.2">
      <c r="A125" s="11"/>
      <c r="B125" s="12"/>
      <c r="C125" s="13"/>
      <c r="D125" s="13"/>
      <c r="E125" s="13"/>
      <c r="F125" s="13"/>
      <c r="G125" s="12"/>
      <c r="H125" s="14"/>
      <c r="I125" s="14"/>
      <c r="J125" s="14"/>
      <c r="K125" s="12"/>
      <c r="L125" s="13"/>
      <c r="M125" s="12"/>
      <c r="N125" s="12"/>
      <c r="O125" s="12"/>
      <c r="P125" s="12"/>
      <c r="Q125" s="12"/>
      <c r="R125" s="12"/>
      <c r="T125" s="15"/>
      <c r="U125" s="16"/>
      <c r="V125" s="13"/>
      <c r="W125" s="13"/>
      <c r="X125" s="13"/>
      <c r="Y125" s="13"/>
      <c r="Z125" s="14"/>
      <c r="AA125" s="14"/>
      <c r="AB125" s="15"/>
      <c r="AC125" s="15"/>
    </row>
    <row r="126" spans="1:29" x14ac:dyDescent="0.2">
      <c r="A126" s="11"/>
      <c r="B126" s="12"/>
      <c r="C126" s="13"/>
      <c r="D126" s="13"/>
      <c r="E126" s="13"/>
      <c r="F126" s="13"/>
      <c r="G126" s="12"/>
      <c r="H126" s="14"/>
      <c r="I126" s="14"/>
      <c r="J126" s="14"/>
      <c r="K126" s="12"/>
      <c r="L126" s="13"/>
      <c r="M126" s="12"/>
      <c r="N126" s="12"/>
      <c r="O126" s="12"/>
      <c r="P126" s="12"/>
      <c r="Q126" s="12"/>
      <c r="R126" s="12"/>
      <c r="T126" s="15"/>
      <c r="U126" s="16"/>
      <c r="V126" s="13"/>
      <c r="W126" s="13"/>
      <c r="X126" s="13"/>
      <c r="Y126" s="13"/>
      <c r="Z126" s="14"/>
      <c r="AA126" s="14"/>
      <c r="AB126" s="15"/>
      <c r="AC126" s="15"/>
    </row>
    <row r="127" spans="1:29" x14ac:dyDescent="0.2">
      <c r="A127" s="11"/>
      <c r="B127" s="12"/>
      <c r="C127" s="13"/>
      <c r="D127" s="13"/>
      <c r="E127" s="13"/>
      <c r="F127" s="13"/>
      <c r="G127" s="12"/>
      <c r="H127" s="14"/>
      <c r="I127" s="14"/>
      <c r="J127" s="14"/>
      <c r="K127" s="12"/>
      <c r="L127" s="13"/>
      <c r="M127" s="12"/>
      <c r="N127" s="12"/>
      <c r="O127" s="12"/>
      <c r="P127" s="12"/>
      <c r="Q127" s="12"/>
      <c r="R127" s="12"/>
      <c r="T127" s="15"/>
      <c r="U127" s="16"/>
      <c r="V127" s="13"/>
      <c r="W127" s="13"/>
      <c r="X127" s="13"/>
      <c r="Y127" s="13"/>
      <c r="Z127" s="14"/>
      <c r="AA127" s="14"/>
      <c r="AB127" s="15"/>
      <c r="AC127" s="15"/>
    </row>
    <row r="128" spans="1:29" x14ac:dyDescent="0.2">
      <c r="A128" s="11"/>
      <c r="B128" s="12"/>
      <c r="C128" s="13"/>
      <c r="D128" s="13"/>
      <c r="E128" s="13"/>
      <c r="F128" s="13"/>
      <c r="G128" s="12"/>
      <c r="H128" s="14"/>
      <c r="I128" s="14"/>
      <c r="J128" s="14"/>
      <c r="K128" s="12"/>
      <c r="L128" s="13"/>
      <c r="M128" s="12"/>
      <c r="N128" s="12"/>
      <c r="O128" s="12"/>
      <c r="P128" s="12"/>
      <c r="Q128" s="12"/>
      <c r="R128" s="12"/>
      <c r="T128" s="15"/>
      <c r="U128" s="16"/>
      <c r="V128" s="13"/>
      <c r="W128" s="13"/>
      <c r="X128" s="13"/>
      <c r="Y128" s="13"/>
      <c r="Z128" s="14"/>
      <c r="AA128" s="14"/>
      <c r="AB128" s="15"/>
      <c r="AC128" s="15"/>
    </row>
    <row r="129" spans="1:29" x14ac:dyDescent="0.2">
      <c r="A129" s="11"/>
      <c r="B129" s="12"/>
      <c r="C129" s="13"/>
      <c r="D129" s="13"/>
      <c r="E129" s="13"/>
      <c r="F129" s="13"/>
      <c r="G129" s="12"/>
      <c r="H129" s="14"/>
      <c r="I129" s="14"/>
      <c r="J129" s="14"/>
      <c r="K129" s="12"/>
      <c r="L129" s="13"/>
      <c r="M129" s="12"/>
      <c r="N129" s="12"/>
      <c r="O129" s="12"/>
      <c r="P129" s="12"/>
      <c r="Q129" s="12"/>
      <c r="R129" s="12"/>
      <c r="T129" s="15"/>
      <c r="U129" s="16"/>
      <c r="V129" s="13"/>
      <c r="W129" s="13"/>
      <c r="X129" s="13"/>
      <c r="Y129" s="13"/>
      <c r="Z129" s="14"/>
      <c r="AA129" s="14"/>
      <c r="AB129" s="15"/>
      <c r="AC129" s="15"/>
    </row>
    <row r="130" spans="1:29" x14ac:dyDescent="0.2">
      <c r="A130" s="11"/>
      <c r="B130" s="12"/>
      <c r="C130" s="13"/>
      <c r="D130" s="13"/>
      <c r="E130" s="13"/>
      <c r="F130" s="13"/>
      <c r="G130" s="12"/>
      <c r="H130" s="14"/>
      <c r="I130" s="14"/>
      <c r="J130" s="14"/>
      <c r="K130" s="12"/>
      <c r="L130" s="13"/>
      <c r="M130" s="12"/>
      <c r="N130" s="12"/>
      <c r="O130" s="12"/>
      <c r="P130" s="12"/>
      <c r="Q130" s="12"/>
      <c r="R130" s="12"/>
      <c r="T130" s="15"/>
      <c r="U130" s="16"/>
      <c r="V130" s="13"/>
      <c r="W130" s="13"/>
      <c r="X130" s="13"/>
      <c r="Y130" s="13"/>
      <c r="Z130" s="14"/>
      <c r="AA130" s="14"/>
      <c r="AB130" s="15"/>
      <c r="AC130" s="15"/>
    </row>
    <row r="131" spans="1:29" x14ac:dyDescent="0.2">
      <c r="A131" s="11"/>
      <c r="B131" s="12"/>
      <c r="C131" s="13"/>
      <c r="D131" s="13"/>
      <c r="E131" s="13"/>
      <c r="F131" s="13"/>
      <c r="G131" s="12"/>
      <c r="H131" s="14"/>
      <c r="I131" s="14"/>
      <c r="J131" s="14"/>
      <c r="K131" s="12"/>
      <c r="L131" s="13"/>
      <c r="M131" s="12"/>
      <c r="N131" s="12"/>
      <c r="O131" s="12"/>
      <c r="P131" s="12"/>
      <c r="Q131" s="12"/>
      <c r="R131" s="12"/>
      <c r="T131" s="15"/>
      <c r="U131" s="16"/>
      <c r="V131" s="13"/>
      <c r="W131" s="13"/>
      <c r="X131" s="13"/>
      <c r="Y131" s="13"/>
      <c r="Z131" s="14"/>
      <c r="AA131" s="14"/>
      <c r="AB131" s="15"/>
      <c r="AC131" s="15"/>
    </row>
    <row r="132" spans="1:29" x14ac:dyDescent="0.2">
      <c r="A132" s="11"/>
      <c r="B132" s="12"/>
      <c r="C132" s="13"/>
      <c r="D132" s="13"/>
      <c r="E132" s="13"/>
      <c r="F132" s="13"/>
      <c r="G132" s="12"/>
      <c r="H132" s="14"/>
      <c r="I132" s="14"/>
      <c r="J132" s="14"/>
      <c r="K132" s="12"/>
      <c r="L132" s="13"/>
      <c r="M132" s="12"/>
      <c r="N132" s="12"/>
      <c r="O132" s="12"/>
      <c r="P132" s="12"/>
      <c r="Q132" s="12"/>
      <c r="R132" s="12"/>
      <c r="T132" s="15"/>
      <c r="U132" s="16"/>
      <c r="V132" s="13"/>
      <c r="W132" s="13"/>
      <c r="X132" s="13"/>
      <c r="Y132" s="13"/>
      <c r="Z132" s="14"/>
      <c r="AA132" s="14"/>
      <c r="AB132" s="15"/>
      <c r="AC132" s="15"/>
    </row>
    <row r="133" spans="1:29" x14ac:dyDescent="0.2">
      <c r="A133" s="11"/>
      <c r="B133" s="12"/>
      <c r="C133" s="13"/>
      <c r="D133" s="13"/>
      <c r="E133" s="13"/>
      <c r="F133" s="13"/>
      <c r="G133" s="12"/>
      <c r="H133" s="14"/>
      <c r="I133" s="14"/>
      <c r="J133" s="14"/>
      <c r="K133" s="12"/>
      <c r="L133" s="13"/>
      <c r="M133" s="12"/>
      <c r="N133" s="12"/>
      <c r="O133" s="12"/>
      <c r="P133" s="12"/>
      <c r="Q133" s="12"/>
      <c r="R133" s="12"/>
      <c r="T133" s="15"/>
      <c r="U133" s="16"/>
      <c r="V133" s="13"/>
      <c r="W133" s="13"/>
      <c r="X133" s="13"/>
      <c r="Y133" s="13"/>
      <c r="Z133" s="14"/>
      <c r="AA133" s="14"/>
      <c r="AB133" s="15"/>
      <c r="AC133" s="15"/>
    </row>
    <row r="134" spans="1:29" x14ac:dyDescent="0.2">
      <c r="A134" s="11"/>
      <c r="B134" s="12"/>
      <c r="C134" s="13"/>
      <c r="D134" s="13"/>
      <c r="E134" s="13"/>
      <c r="F134" s="13"/>
      <c r="G134" s="12"/>
      <c r="H134" s="14"/>
      <c r="I134" s="14"/>
      <c r="J134" s="14"/>
      <c r="K134" s="12"/>
      <c r="L134" s="13"/>
      <c r="M134" s="12"/>
      <c r="N134" s="12"/>
      <c r="O134" s="12"/>
      <c r="P134" s="12"/>
      <c r="Q134" s="12"/>
      <c r="R134" s="12"/>
      <c r="T134" s="15"/>
      <c r="U134" s="16"/>
      <c r="V134" s="13"/>
      <c r="W134" s="13"/>
      <c r="X134" s="13"/>
      <c r="Y134" s="13"/>
      <c r="Z134" s="14"/>
      <c r="AA134" s="14"/>
      <c r="AB134" s="15"/>
      <c r="AC134" s="15"/>
    </row>
    <row r="135" spans="1:29" x14ac:dyDescent="0.2">
      <c r="A135" s="11"/>
      <c r="B135" s="12"/>
      <c r="C135" s="13"/>
      <c r="D135" s="13"/>
      <c r="E135" s="13"/>
      <c r="F135" s="13"/>
      <c r="G135" s="12"/>
      <c r="H135" s="14"/>
      <c r="I135" s="14"/>
      <c r="J135" s="14"/>
      <c r="K135" s="12"/>
      <c r="L135" s="13"/>
      <c r="M135" s="12"/>
      <c r="N135" s="12"/>
      <c r="O135" s="12"/>
      <c r="P135" s="12"/>
      <c r="Q135" s="12"/>
      <c r="R135" s="12"/>
      <c r="T135" s="15"/>
      <c r="U135" s="16"/>
      <c r="V135" s="13"/>
      <c r="W135" s="13"/>
      <c r="X135" s="13"/>
      <c r="Y135" s="13"/>
      <c r="Z135" s="14"/>
      <c r="AA135" s="14"/>
      <c r="AB135" s="15"/>
      <c r="AC135" s="15"/>
    </row>
    <row r="136" spans="1:29" x14ac:dyDescent="0.2">
      <c r="A136" s="11"/>
      <c r="B136" s="12"/>
      <c r="C136" s="13"/>
      <c r="D136" s="13"/>
      <c r="E136" s="13"/>
      <c r="F136" s="13"/>
      <c r="G136" s="12"/>
      <c r="H136" s="14"/>
      <c r="I136" s="14"/>
      <c r="J136" s="14"/>
      <c r="K136" s="12"/>
      <c r="L136" s="13"/>
      <c r="M136" s="12"/>
      <c r="N136" s="12"/>
      <c r="O136" s="12"/>
      <c r="P136" s="12"/>
      <c r="Q136" s="12"/>
      <c r="R136" s="12"/>
      <c r="T136" s="15"/>
      <c r="U136" s="16"/>
      <c r="V136" s="13"/>
      <c r="W136" s="13"/>
      <c r="X136" s="13"/>
      <c r="Y136" s="13"/>
      <c r="Z136" s="14"/>
      <c r="AA136" s="14"/>
      <c r="AB136" s="15"/>
      <c r="AC136" s="15"/>
    </row>
    <row r="137" spans="1:29" x14ac:dyDescent="0.2">
      <c r="A137" s="11"/>
      <c r="B137" s="12"/>
      <c r="C137" s="13"/>
      <c r="D137" s="13"/>
      <c r="E137" s="13"/>
      <c r="F137" s="13"/>
      <c r="G137" s="12"/>
      <c r="H137" s="14"/>
      <c r="I137" s="14"/>
      <c r="J137" s="14"/>
      <c r="K137" s="12"/>
      <c r="L137" s="13"/>
      <c r="M137" s="12"/>
      <c r="N137" s="12"/>
      <c r="O137" s="12"/>
      <c r="P137" s="12"/>
      <c r="Q137" s="12"/>
      <c r="R137" s="12"/>
      <c r="T137" s="15"/>
      <c r="U137" s="16"/>
      <c r="V137" s="13"/>
      <c r="W137" s="13"/>
      <c r="X137" s="13"/>
      <c r="Y137" s="13"/>
      <c r="Z137" s="14"/>
      <c r="AA137" s="14"/>
      <c r="AB137" s="15"/>
      <c r="AC137" s="15"/>
    </row>
    <row r="138" spans="1:29" x14ac:dyDescent="0.2">
      <c r="A138" s="11"/>
      <c r="B138" s="12"/>
      <c r="C138" s="13"/>
      <c r="D138" s="13"/>
      <c r="E138" s="13"/>
      <c r="F138" s="13"/>
      <c r="G138" s="12"/>
      <c r="H138" s="14"/>
      <c r="I138" s="14"/>
      <c r="J138" s="14"/>
      <c r="K138" s="12"/>
      <c r="L138" s="13"/>
      <c r="M138" s="12"/>
      <c r="N138" s="12"/>
      <c r="O138" s="12"/>
      <c r="P138" s="12"/>
      <c r="Q138" s="12"/>
      <c r="R138" s="12"/>
      <c r="T138" s="15"/>
      <c r="U138" s="16"/>
      <c r="V138" s="13"/>
      <c r="W138" s="13"/>
      <c r="X138" s="13"/>
      <c r="Y138" s="13"/>
      <c r="Z138" s="14"/>
      <c r="AA138" s="14"/>
      <c r="AB138" s="15"/>
      <c r="AC138" s="15"/>
    </row>
    <row r="139" spans="1:29" x14ac:dyDescent="0.2">
      <c r="A139" s="11"/>
      <c r="B139" s="12"/>
      <c r="C139" s="13"/>
      <c r="D139" s="13"/>
      <c r="E139" s="13"/>
      <c r="F139" s="13"/>
      <c r="G139" s="12"/>
      <c r="H139" s="14"/>
      <c r="I139" s="14"/>
      <c r="J139" s="14"/>
      <c r="K139" s="12"/>
      <c r="L139" s="13"/>
      <c r="M139" s="12"/>
      <c r="N139" s="12"/>
      <c r="O139" s="12"/>
      <c r="P139" s="12"/>
      <c r="Q139" s="12"/>
      <c r="R139" s="12"/>
      <c r="T139" s="15"/>
      <c r="U139" s="16"/>
      <c r="V139" s="13"/>
      <c r="W139" s="13"/>
      <c r="X139" s="13"/>
      <c r="Y139" s="13"/>
      <c r="Z139" s="14"/>
      <c r="AA139" s="14"/>
      <c r="AB139" s="15"/>
      <c r="AC139" s="15"/>
    </row>
    <row r="140" spans="1:29" x14ac:dyDescent="0.2">
      <c r="A140" s="11"/>
      <c r="B140" s="12"/>
      <c r="C140" s="13"/>
      <c r="D140" s="13"/>
      <c r="E140" s="13"/>
      <c r="F140" s="13"/>
      <c r="G140" s="12"/>
      <c r="H140" s="14"/>
      <c r="I140" s="14"/>
      <c r="J140" s="14"/>
      <c r="K140" s="12"/>
      <c r="L140" s="13"/>
      <c r="M140" s="12"/>
      <c r="N140" s="12"/>
      <c r="O140" s="12"/>
      <c r="P140" s="12"/>
      <c r="Q140" s="12"/>
      <c r="R140" s="12"/>
      <c r="T140" s="15"/>
      <c r="U140" s="16"/>
      <c r="V140" s="13"/>
      <c r="W140" s="13"/>
      <c r="X140" s="13"/>
      <c r="Y140" s="13"/>
      <c r="Z140" s="14"/>
      <c r="AA140" s="14"/>
      <c r="AB140" s="15"/>
      <c r="AC140" s="15"/>
    </row>
    <row r="141" spans="1:29" x14ac:dyDescent="0.2">
      <c r="A141" s="11"/>
      <c r="B141" s="12"/>
      <c r="C141" s="13"/>
      <c r="D141" s="13"/>
      <c r="E141" s="13"/>
      <c r="F141" s="13"/>
      <c r="G141" s="12"/>
      <c r="H141" s="14"/>
      <c r="I141" s="14"/>
      <c r="J141" s="14"/>
      <c r="K141" s="12"/>
      <c r="L141" s="13"/>
      <c r="M141" s="12"/>
      <c r="N141" s="12"/>
      <c r="O141" s="12"/>
      <c r="P141" s="12"/>
      <c r="Q141" s="12"/>
      <c r="R141" s="12"/>
      <c r="T141" s="15"/>
      <c r="U141" s="16"/>
      <c r="V141" s="13"/>
      <c r="W141" s="13"/>
      <c r="X141" s="13"/>
      <c r="Y141" s="13"/>
      <c r="Z141" s="14"/>
      <c r="AA141" s="14"/>
      <c r="AB141" s="15"/>
      <c r="AC141" s="15"/>
    </row>
    <row r="142" spans="1:29" x14ac:dyDescent="0.2">
      <c r="A142" s="11"/>
      <c r="B142" s="12"/>
      <c r="C142" s="13"/>
      <c r="D142" s="13"/>
      <c r="E142" s="13"/>
      <c r="F142" s="13"/>
      <c r="G142" s="12"/>
      <c r="H142" s="14"/>
      <c r="I142" s="14"/>
      <c r="J142" s="14"/>
      <c r="K142" s="12"/>
      <c r="L142" s="13"/>
      <c r="M142" s="12"/>
      <c r="N142" s="12"/>
      <c r="O142" s="12"/>
      <c r="P142" s="12"/>
      <c r="Q142" s="12"/>
      <c r="R142" s="12"/>
      <c r="T142" s="15"/>
      <c r="U142" s="16"/>
      <c r="V142" s="13"/>
      <c r="W142" s="13"/>
      <c r="X142" s="13"/>
      <c r="Y142" s="13"/>
      <c r="Z142" s="14"/>
      <c r="AA142" s="14"/>
      <c r="AB142" s="15"/>
      <c r="AC142" s="15"/>
    </row>
    <row r="143" spans="1:29" x14ac:dyDescent="0.2">
      <c r="A143" s="11"/>
      <c r="B143" s="12"/>
      <c r="C143" s="13"/>
      <c r="D143" s="13"/>
      <c r="E143" s="13"/>
      <c r="F143" s="13"/>
      <c r="G143" s="12"/>
      <c r="H143" s="14"/>
      <c r="I143" s="14"/>
      <c r="J143" s="14"/>
      <c r="K143" s="12"/>
      <c r="L143" s="13"/>
      <c r="M143" s="12"/>
      <c r="N143" s="12"/>
      <c r="O143" s="12"/>
      <c r="P143" s="12"/>
      <c r="Q143" s="12"/>
      <c r="R143" s="12"/>
      <c r="T143" s="15"/>
      <c r="U143" s="16"/>
      <c r="V143" s="13"/>
      <c r="W143" s="13"/>
      <c r="X143" s="13"/>
      <c r="Y143" s="13"/>
      <c r="Z143" s="14"/>
      <c r="AA143" s="14"/>
      <c r="AB143" s="15"/>
      <c r="AC143" s="15"/>
    </row>
    <row r="144" spans="1:29" x14ac:dyDescent="0.2">
      <c r="A144" s="11"/>
      <c r="B144" s="12"/>
      <c r="C144" s="13"/>
      <c r="D144" s="13"/>
      <c r="E144" s="13"/>
      <c r="F144" s="13"/>
      <c r="G144" s="12"/>
      <c r="H144" s="14"/>
      <c r="I144" s="14"/>
      <c r="J144" s="14"/>
      <c r="K144" s="12"/>
      <c r="L144" s="13"/>
      <c r="M144" s="12"/>
      <c r="N144" s="12"/>
      <c r="O144" s="12"/>
      <c r="P144" s="12"/>
      <c r="Q144" s="12"/>
      <c r="R144" s="12"/>
      <c r="T144" s="15"/>
      <c r="U144" s="16"/>
      <c r="V144" s="13"/>
      <c r="W144" s="13"/>
      <c r="X144" s="13"/>
      <c r="Y144" s="13"/>
      <c r="Z144" s="14"/>
      <c r="AA144" s="14"/>
      <c r="AB144" s="15"/>
      <c r="AC144" s="15"/>
    </row>
    <row r="145" spans="1:29" x14ac:dyDescent="0.2">
      <c r="A145" s="11"/>
      <c r="B145" s="12"/>
      <c r="C145" s="13"/>
      <c r="D145" s="13"/>
      <c r="E145" s="13"/>
      <c r="F145" s="13"/>
      <c r="G145" s="12"/>
      <c r="H145" s="14"/>
      <c r="I145" s="14"/>
      <c r="J145" s="14"/>
      <c r="K145" s="12"/>
      <c r="L145" s="13"/>
      <c r="M145" s="12"/>
      <c r="N145" s="12"/>
      <c r="O145" s="12"/>
      <c r="P145" s="12"/>
      <c r="Q145" s="12"/>
      <c r="R145" s="12"/>
      <c r="T145" s="15"/>
      <c r="U145" s="16"/>
      <c r="V145" s="13"/>
      <c r="W145" s="13"/>
      <c r="X145" s="13"/>
      <c r="Y145" s="13"/>
      <c r="Z145" s="14"/>
      <c r="AA145" s="14"/>
      <c r="AB145" s="15"/>
      <c r="AC145" s="15"/>
    </row>
    <row r="146" spans="1:29" x14ac:dyDescent="0.2">
      <c r="A146" s="11"/>
      <c r="B146" s="12"/>
      <c r="C146" s="13"/>
      <c r="D146" s="13"/>
      <c r="E146" s="13"/>
      <c r="F146" s="13"/>
      <c r="G146" s="12"/>
      <c r="H146" s="14"/>
      <c r="I146" s="14"/>
      <c r="J146" s="14"/>
      <c r="K146" s="12"/>
      <c r="L146" s="13"/>
      <c r="M146" s="12"/>
      <c r="N146" s="12"/>
      <c r="O146" s="12"/>
      <c r="P146" s="12"/>
      <c r="Q146" s="12"/>
      <c r="R146" s="12"/>
      <c r="T146" s="15"/>
      <c r="U146" s="16"/>
      <c r="V146" s="13"/>
      <c r="W146" s="13"/>
      <c r="X146" s="13"/>
      <c r="Y146" s="13"/>
      <c r="Z146" s="14"/>
      <c r="AA146" s="14"/>
      <c r="AB146" s="15"/>
      <c r="AC146" s="15"/>
    </row>
    <row r="147" spans="1:29" x14ac:dyDescent="0.2">
      <c r="A147" s="11"/>
      <c r="B147" s="12"/>
      <c r="C147" s="13"/>
      <c r="D147" s="13"/>
      <c r="E147" s="13"/>
      <c r="F147" s="13"/>
      <c r="G147" s="12"/>
      <c r="H147" s="14"/>
      <c r="I147" s="14"/>
      <c r="J147" s="14"/>
      <c r="K147" s="12"/>
      <c r="L147" s="13"/>
      <c r="M147" s="12"/>
      <c r="N147" s="12"/>
      <c r="O147" s="12"/>
      <c r="P147" s="12"/>
      <c r="Q147" s="12"/>
      <c r="R147" s="12"/>
      <c r="T147" s="15"/>
      <c r="U147" s="16"/>
      <c r="V147" s="13"/>
      <c r="W147" s="13"/>
      <c r="X147" s="13"/>
      <c r="Y147" s="13"/>
      <c r="Z147" s="14"/>
      <c r="AA147" s="14"/>
      <c r="AB147" s="15"/>
      <c r="AC147" s="15"/>
    </row>
    <row r="148" spans="1:29" x14ac:dyDescent="0.2">
      <c r="A148" s="11"/>
      <c r="B148" s="12"/>
      <c r="C148" s="13"/>
      <c r="D148" s="13"/>
      <c r="E148" s="13"/>
      <c r="F148" s="13"/>
      <c r="G148" s="12"/>
      <c r="H148" s="14"/>
      <c r="I148" s="14"/>
      <c r="J148" s="14"/>
      <c r="K148" s="12"/>
      <c r="L148" s="13"/>
      <c r="M148" s="12"/>
      <c r="N148" s="12"/>
      <c r="O148" s="12"/>
      <c r="P148" s="12"/>
      <c r="Q148" s="12"/>
      <c r="R148" s="12"/>
      <c r="T148" s="15"/>
      <c r="U148" s="16"/>
      <c r="V148" s="13"/>
      <c r="W148" s="13"/>
      <c r="X148" s="13"/>
      <c r="Y148" s="13"/>
      <c r="Z148" s="14"/>
      <c r="AA148" s="14"/>
      <c r="AB148" s="15"/>
      <c r="AC148" s="15"/>
    </row>
    <row r="149" spans="1:29" x14ac:dyDescent="0.2">
      <c r="A149" s="11"/>
      <c r="B149" s="12"/>
      <c r="C149" s="13"/>
      <c r="D149" s="13"/>
      <c r="E149" s="13"/>
      <c r="F149" s="13"/>
      <c r="G149" s="12"/>
      <c r="H149" s="14"/>
      <c r="I149" s="14"/>
      <c r="J149" s="14"/>
      <c r="K149" s="12"/>
      <c r="L149" s="13"/>
      <c r="M149" s="12"/>
      <c r="N149" s="12"/>
      <c r="O149" s="12"/>
      <c r="P149" s="12"/>
      <c r="Q149" s="12"/>
      <c r="R149" s="12"/>
      <c r="T149" s="15"/>
      <c r="U149" s="16"/>
      <c r="V149" s="13"/>
      <c r="W149" s="13"/>
      <c r="X149" s="13"/>
      <c r="Y149" s="13"/>
      <c r="Z149" s="14"/>
      <c r="AA149" s="14"/>
      <c r="AB149" s="15"/>
      <c r="AC149" s="15"/>
    </row>
    <row r="150" spans="1:29" x14ac:dyDescent="0.2">
      <c r="A150" s="11"/>
      <c r="B150" s="12"/>
      <c r="C150" s="13"/>
      <c r="D150" s="13"/>
      <c r="E150" s="13"/>
      <c r="F150" s="13"/>
      <c r="G150" s="12"/>
      <c r="H150" s="14"/>
      <c r="I150" s="14"/>
      <c r="J150" s="14"/>
      <c r="K150" s="12"/>
      <c r="L150" s="13"/>
      <c r="M150" s="12"/>
      <c r="N150" s="12"/>
      <c r="O150" s="12"/>
      <c r="P150" s="12"/>
      <c r="Q150" s="12"/>
      <c r="R150" s="12"/>
      <c r="T150" s="15"/>
      <c r="U150" s="16"/>
      <c r="V150" s="13"/>
      <c r="W150" s="13"/>
      <c r="X150" s="13"/>
      <c r="Y150" s="13"/>
      <c r="Z150" s="14"/>
      <c r="AA150" s="14"/>
      <c r="AB150" s="15"/>
      <c r="AC150" s="15"/>
    </row>
    <row r="151" spans="1:29" x14ac:dyDescent="0.2">
      <c r="A151" s="11"/>
      <c r="B151" s="12"/>
      <c r="C151" s="13"/>
      <c r="D151" s="13"/>
      <c r="E151" s="13"/>
      <c r="F151" s="13"/>
      <c r="G151" s="12"/>
      <c r="H151" s="14"/>
      <c r="I151" s="14"/>
      <c r="J151" s="14"/>
      <c r="K151" s="12"/>
      <c r="L151" s="13"/>
      <c r="M151" s="12"/>
      <c r="N151" s="12"/>
      <c r="O151" s="12"/>
      <c r="P151" s="12"/>
      <c r="Q151" s="12"/>
      <c r="R151" s="12"/>
      <c r="T151" s="15"/>
      <c r="U151" s="16"/>
      <c r="V151" s="13"/>
      <c r="W151" s="13"/>
      <c r="X151" s="13"/>
      <c r="Y151" s="13"/>
      <c r="Z151" s="14"/>
      <c r="AA151" s="14"/>
      <c r="AB151" s="15"/>
      <c r="AC151" s="15"/>
    </row>
    <row r="152" spans="1:29" x14ac:dyDescent="0.2">
      <c r="A152" s="11"/>
      <c r="B152" s="12"/>
      <c r="C152" s="13"/>
      <c r="D152" s="13"/>
      <c r="E152" s="13"/>
      <c r="F152" s="13"/>
      <c r="G152" s="12"/>
      <c r="H152" s="14"/>
      <c r="I152" s="14"/>
      <c r="J152" s="14"/>
      <c r="K152" s="12"/>
      <c r="L152" s="13"/>
      <c r="M152" s="12"/>
      <c r="N152" s="12"/>
      <c r="O152" s="12"/>
      <c r="P152" s="12"/>
      <c r="Q152" s="12"/>
      <c r="R152" s="12"/>
      <c r="T152" s="15"/>
      <c r="U152" s="16"/>
      <c r="V152" s="13"/>
      <c r="W152" s="13"/>
      <c r="X152" s="13"/>
      <c r="Y152" s="13"/>
      <c r="Z152" s="14"/>
      <c r="AA152" s="14"/>
      <c r="AB152" s="15"/>
      <c r="AC152" s="15"/>
    </row>
    <row r="153" spans="1:29" x14ac:dyDescent="0.2">
      <c r="A153" s="11"/>
      <c r="B153" s="12"/>
      <c r="C153" s="13"/>
      <c r="D153" s="13"/>
      <c r="E153" s="13"/>
      <c r="F153" s="13"/>
      <c r="G153" s="12"/>
      <c r="H153" s="14"/>
      <c r="I153" s="14"/>
      <c r="J153" s="14"/>
      <c r="K153" s="12"/>
      <c r="L153" s="13"/>
      <c r="M153" s="12"/>
      <c r="N153" s="12"/>
      <c r="O153" s="12"/>
      <c r="P153" s="12"/>
      <c r="Q153" s="12"/>
      <c r="R153" s="12"/>
      <c r="T153" s="15"/>
      <c r="U153" s="16"/>
      <c r="V153" s="13"/>
      <c r="W153" s="13"/>
      <c r="X153" s="13"/>
      <c r="Y153" s="13"/>
      <c r="Z153" s="14"/>
      <c r="AA153" s="14"/>
      <c r="AB153" s="15"/>
      <c r="AC153" s="15"/>
    </row>
    <row r="154" spans="1:29" x14ac:dyDescent="0.2">
      <c r="A154" s="11"/>
      <c r="B154" s="12"/>
      <c r="C154" s="13"/>
      <c r="D154" s="13"/>
      <c r="E154" s="13"/>
      <c r="F154" s="13"/>
      <c r="G154" s="12"/>
      <c r="H154" s="14"/>
      <c r="I154" s="14"/>
      <c r="J154" s="14"/>
      <c r="K154" s="12"/>
      <c r="L154" s="13"/>
      <c r="M154" s="12"/>
      <c r="N154" s="12"/>
      <c r="O154" s="12"/>
      <c r="P154" s="12"/>
      <c r="Q154" s="12"/>
      <c r="R154" s="12"/>
      <c r="T154" s="15"/>
      <c r="U154" s="16"/>
      <c r="V154" s="13"/>
      <c r="W154" s="13"/>
      <c r="X154" s="13"/>
      <c r="Y154" s="13"/>
      <c r="Z154" s="14"/>
      <c r="AA154" s="14"/>
      <c r="AB154" s="15"/>
      <c r="AC154" s="15"/>
    </row>
    <row r="155" spans="1:29" x14ac:dyDescent="0.2">
      <c r="A155" s="11"/>
      <c r="B155" s="12"/>
      <c r="C155" s="13"/>
      <c r="D155" s="13"/>
      <c r="E155" s="13"/>
      <c r="F155" s="13"/>
      <c r="G155" s="12"/>
      <c r="H155" s="14"/>
      <c r="I155" s="14"/>
      <c r="J155" s="14"/>
      <c r="K155" s="12"/>
      <c r="L155" s="13"/>
      <c r="M155" s="12"/>
      <c r="N155" s="12"/>
      <c r="O155" s="12"/>
      <c r="P155" s="12"/>
      <c r="Q155" s="12"/>
      <c r="R155" s="12"/>
      <c r="T155" s="15"/>
      <c r="U155" s="16"/>
      <c r="V155" s="13"/>
      <c r="W155" s="13"/>
      <c r="X155" s="13"/>
      <c r="Y155" s="13"/>
      <c r="Z155" s="14"/>
      <c r="AA155" s="14"/>
      <c r="AB155" s="15"/>
      <c r="AC155" s="15"/>
    </row>
    <row r="156" spans="1:29" x14ac:dyDescent="0.2">
      <c r="A156" s="11"/>
      <c r="B156" s="12"/>
      <c r="C156" s="13"/>
      <c r="D156" s="13"/>
      <c r="E156" s="13"/>
      <c r="F156" s="13"/>
      <c r="G156" s="12"/>
      <c r="H156" s="14"/>
      <c r="I156" s="14"/>
      <c r="J156" s="14"/>
      <c r="K156" s="12"/>
      <c r="L156" s="13"/>
      <c r="M156" s="12"/>
      <c r="N156" s="12"/>
      <c r="O156" s="12"/>
      <c r="P156" s="12"/>
      <c r="Q156" s="12"/>
      <c r="R156" s="12"/>
      <c r="T156" s="15"/>
      <c r="U156" s="16"/>
      <c r="V156" s="13"/>
      <c r="W156" s="13"/>
      <c r="X156" s="13"/>
      <c r="Y156" s="13"/>
      <c r="Z156" s="14"/>
      <c r="AA156" s="14"/>
      <c r="AB156" s="15"/>
      <c r="AC156" s="15"/>
    </row>
    <row r="157" spans="1:29" x14ac:dyDescent="0.2">
      <c r="A157" s="11"/>
      <c r="B157" s="12"/>
      <c r="C157" s="13"/>
      <c r="D157" s="13"/>
      <c r="E157" s="13"/>
      <c r="F157" s="13"/>
      <c r="G157" s="12"/>
      <c r="H157" s="14"/>
      <c r="I157" s="14"/>
      <c r="J157" s="14"/>
      <c r="K157" s="12"/>
      <c r="L157" s="13"/>
      <c r="M157" s="12"/>
      <c r="N157" s="12"/>
      <c r="O157" s="12"/>
      <c r="P157" s="12"/>
      <c r="Q157" s="12"/>
      <c r="R157" s="12"/>
      <c r="T157" s="15"/>
      <c r="U157" s="16"/>
      <c r="V157" s="13"/>
      <c r="W157" s="13"/>
      <c r="X157" s="13"/>
      <c r="Y157" s="13"/>
      <c r="Z157" s="14"/>
      <c r="AA157" s="14"/>
      <c r="AB157" s="15"/>
      <c r="AC157" s="15"/>
    </row>
    <row r="158" spans="1:29" x14ac:dyDescent="0.2">
      <c r="A158" s="11"/>
      <c r="B158" s="12"/>
      <c r="C158" s="13"/>
      <c r="D158" s="13"/>
      <c r="E158" s="13"/>
      <c r="F158" s="13"/>
      <c r="G158" s="12"/>
      <c r="H158" s="14"/>
      <c r="I158" s="14"/>
      <c r="J158" s="14"/>
      <c r="K158" s="12"/>
      <c r="L158" s="13"/>
      <c r="M158" s="12"/>
      <c r="N158" s="12"/>
      <c r="O158" s="12"/>
      <c r="P158" s="12"/>
      <c r="Q158" s="12"/>
      <c r="R158" s="12"/>
      <c r="T158" s="15"/>
      <c r="U158" s="16"/>
      <c r="V158" s="13"/>
      <c r="W158" s="13"/>
      <c r="X158" s="13"/>
      <c r="Y158" s="13"/>
      <c r="Z158" s="14"/>
      <c r="AA158" s="14"/>
      <c r="AB158" s="15"/>
      <c r="AC158" s="15"/>
    </row>
    <row r="159" spans="1:29" x14ac:dyDescent="0.2">
      <c r="A159" s="11"/>
      <c r="B159" s="12"/>
      <c r="C159" s="13"/>
      <c r="D159" s="13"/>
      <c r="E159" s="13"/>
      <c r="F159" s="13"/>
      <c r="G159" s="12"/>
      <c r="H159" s="14"/>
      <c r="I159" s="14"/>
      <c r="J159" s="14"/>
      <c r="K159" s="12"/>
      <c r="L159" s="13"/>
      <c r="M159" s="12"/>
      <c r="N159" s="12"/>
      <c r="O159" s="12"/>
      <c r="P159" s="12"/>
      <c r="Q159" s="12"/>
      <c r="R159" s="12"/>
      <c r="T159" s="15"/>
      <c r="U159" s="16"/>
      <c r="V159" s="13"/>
      <c r="W159" s="13"/>
      <c r="X159" s="13"/>
      <c r="Y159" s="13"/>
      <c r="Z159" s="14"/>
      <c r="AA159" s="14"/>
      <c r="AB159" s="15"/>
      <c r="AC159" s="15"/>
    </row>
    <row r="160" spans="1:29" x14ac:dyDescent="0.2">
      <c r="A160" s="11"/>
      <c r="B160" s="12"/>
      <c r="C160" s="13"/>
      <c r="D160" s="13"/>
      <c r="E160" s="13"/>
      <c r="F160" s="13"/>
      <c r="G160" s="12"/>
      <c r="H160" s="14"/>
      <c r="I160" s="14"/>
      <c r="J160" s="14"/>
      <c r="K160" s="12"/>
      <c r="L160" s="13"/>
      <c r="M160" s="12"/>
      <c r="N160" s="12"/>
      <c r="O160" s="12"/>
      <c r="P160" s="12"/>
      <c r="Q160" s="12"/>
      <c r="R160" s="12"/>
      <c r="T160" s="15"/>
      <c r="U160" s="16"/>
      <c r="V160" s="13"/>
      <c r="W160" s="13"/>
      <c r="X160" s="13"/>
      <c r="Y160" s="13"/>
      <c r="Z160" s="14"/>
      <c r="AA160" s="14"/>
      <c r="AB160" s="15"/>
      <c r="AC160" s="15"/>
    </row>
    <row r="161" spans="1:29" x14ac:dyDescent="0.2">
      <c r="A161" s="11"/>
      <c r="B161" s="12"/>
      <c r="C161" s="13"/>
      <c r="D161" s="13"/>
      <c r="E161" s="13"/>
      <c r="F161" s="13"/>
      <c r="G161" s="12"/>
      <c r="H161" s="14"/>
      <c r="I161" s="14"/>
      <c r="J161" s="14"/>
      <c r="K161" s="12"/>
      <c r="L161" s="13"/>
      <c r="M161" s="12"/>
      <c r="N161" s="12"/>
      <c r="O161" s="12"/>
      <c r="P161" s="12"/>
      <c r="Q161" s="12"/>
      <c r="R161" s="12"/>
      <c r="T161" s="15"/>
      <c r="U161" s="16"/>
      <c r="V161" s="13"/>
      <c r="W161" s="13"/>
      <c r="X161" s="13"/>
      <c r="Y161" s="13"/>
      <c r="Z161" s="14"/>
      <c r="AA161" s="14"/>
      <c r="AB161" s="15"/>
      <c r="AC161" s="15"/>
    </row>
    <row r="162" spans="1:29" x14ac:dyDescent="0.2">
      <c r="A162" s="11"/>
      <c r="B162" s="12"/>
      <c r="C162" s="13"/>
      <c r="D162" s="13"/>
      <c r="E162" s="13"/>
      <c r="F162" s="13"/>
      <c r="G162" s="12"/>
      <c r="H162" s="14"/>
      <c r="I162" s="14"/>
      <c r="J162" s="14"/>
      <c r="K162" s="12"/>
      <c r="L162" s="13"/>
      <c r="M162" s="12"/>
      <c r="N162" s="12"/>
      <c r="O162" s="12"/>
      <c r="P162" s="12"/>
      <c r="Q162" s="12"/>
      <c r="R162" s="12"/>
      <c r="T162" s="15"/>
      <c r="U162" s="16"/>
      <c r="V162" s="13"/>
      <c r="W162" s="13"/>
      <c r="X162" s="13"/>
      <c r="Y162" s="13"/>
      <c r="Z162" s="14"/>
      <c r="AA162" s="14"/>
      <c r="AB162" s="15"/>
      <c r="AC162" s="15"/>
    </row>
    <row r="163" spans="1:29" x14ac:dyDescent="0.2">
      <c r="A163" s="11"/>
      <c r="B163" s="12"/>
      <c r="C163" s="13"/>
      <c r="D163" s="13"/>
      <c r="E163" s="13"/>
      <c r="F163" s="13"/>
      <c r="G163" s="12"/>
      <c r="H163" s="14"/>
      <c r="I163" s="14"/>
      <c r="J163" s="14"/>
      <c r="K163" s="12"/>
      <c r="L163" s="13"/>
      <c r="M163" s="12"/>
      <c r="N163" s="12"/>
      <c r="O163" s="12"/>
      <c r="P163" s="12"/>
      <c r="Q163" s="12"/>
      <c r="R163" s="12"/>
      <c r="T163" s="15"/>
      <c r="U163" s="16"/>
      <c r="V163" s="13"/>
      <c r="W163" s="13"/>
      <c r="X163" s="13"/>
      <c r="Y163" s="13"/>
      <c r="Z163" s="14"/>
      <c r="AA163" s="14"/>
      <c r="AB163" s="15"/>
      <c r="AC163" s="15"/>
    </row>
    <row r="164" spans="1:29" x14ac:dyDescent="0.2">
      <c r="A164" s="11"/>
      <c r="B164" s="12"/>
      <c r="C164" s="13"/>
      <c r="D164" s="13"/>
      <c r="E164" s="13"/>
      <c r="F164" s="13"/>
      <c r="G164" s="12"/>
      <c r="H164" s="14"/>
      <c r="I164" s="14"/>
      <c r="J164" s="14"/>
      <c r="K164" s="12"/>
      <c r="L164" s="13"/>
      <c r="M164" s="12"/>
      <c r="N164" s="12"/>
      <c r="O164" s="12"/>
      <c r="P164" s="12"/>
      <c r="Q164" s="12"/>
      <c r="R164" s="12"/>
      <c r="T164" s="15"/>
      <c r="U164" s="16"/>
      <c r="V164" s="13"/>
      <c r="W164" s="13"/>
      <c r="X164" s="13"/>
      <c r="Y164" s="13"/>
      <c r="Z164" s="14"/>
      <c r="AA164" s="14"/>
      <c r="AB164" s="15"/>
      <c r="AC164" s="15"/>
    </row>
    <row r="165" spans="1:29" x14ac:dyDescent="0.2">
      <c r="A165" s="11"/>
      <c r="B165" s="12"/>
      <c r="C165" s="13"/>
      <c r="D165" s="13"/>
      <c r="E165" s="13"/>
      <c r="F165" s="13"/>
      <c r="G165" s="12"/>
      <c r="H165" s="14"/>
      <c r="I165" s="14"/>
      <c r="J165" s="14"/>
      <c r="K165" s="12"/>
      <c r="L165" s="13"/>
      <c r="M165" s="12"/>
      <c r="N165" s="12"/>
      <c r="O165" s="12"/>
      <c r="P165" s="12"/>
      <c r="Q165" s="12"/>
      <c r="R165" s="12"/>
      <c r="T165" s="15"/>
      <c r="U165" s="16"/>
      <c r="V165" s="13"/>
      <c r="W165" s="13"/>
      <c r="X165" s="13"/>
      <c r="Y165" s="13"/>
      <c r="Z165" s="14"/>
      <c r="AA165" s="14"/>
      <c r="AB165" s="15"/>
      <c r="AC165" s="15"/>
    </row>
    <row r="166" spans="1:29" x14ac:dyDescent="0.2">
      <c r="A166" s="11"/>
      <c r="B166" s="12"/>
      <c r="C166" s="13"/>
      <c r="D166" s="13"/>
      <c r="E166" s="13"/>
      <c r="F166" s="13"/>
      <c r="G166" s="12"/>
      <c r="H166" s="14"/>
      <c r="I166" s="14"/>
      <c r="J166" s="14"/>
      <c r="K166" s="12"/>
      <c r="L166" s="13"/>
      <c r="M166" s="12"/>
      <c r="N166" s="12"/>
      <c r="O166" s="12"/>
      <c r="P166" s="12"/>
      <c r="Q166" s="12"/>
      <c r="R166" s="12"/>
      <c r="T166" s="15"/>
      <c r="U166" s="16"/>
      <c r="V166" s="13"/>
      <c r="W166" s="13"/>
      <c r="X166" s="13"/>
      <c r="Y166" s="13"/>
      <c r="Z166" s="14"/>
      <c r="AA166" s="14"/>
      <c r="AB166" s="15"/>
      <c r="AC166" s="15"/>
    </row>
    <row r="167" spans="1:29" x14ac:dyDescent="0.2">
      <c r="A167" s="11"/>
      <c r="B167" s="12"/>
      <c r="C167" s="13"/>
      <c r="D167" s="13"/>
      <c r="E167" s="13"/>
      <c r="F167" s="13"/>
      <c r="G167" s="12"/>
      <c r="H167" s="14"/>
      <c r="I167" s="14"/>
      <c r="J167" s="14"/>
      <c r="K167" s="12"/>
      <c r="L167" s="13"/>
      <c r="M167" s="12"/>
      <c r="N167" s="12"/>
      <c r="O167" s="12"/>
      <c r="P167" s="12"/>
      <c r="Q167" s="12"/>
      <c r="R167" s="12"/>
      <c r="T167" s="15"/>
      <c r="U167" s="16"/>
      <c r="V167" s="13"/>
      <c r="W167" s="13"/>
      <c r="X167" s="13"/>
      <c r="Y167" s="13"/>
      <c r="Z167" s="14"/>
      <c r="AA167" s="14"/>
      <c r="AB167" s="15"/>
      <c r="AC167" s="15"/>
    </row>
    <row r="168" spans="1:29" x14ac:dyDescent="0.2">
      <c r="A168" s="11"/>
      <c r="B168" s="12"/>
      <c r="C168" s="13"/>
      <c r="D168" s="13"/>
      <c r="E168" s="13"/>
      <c r="F168" s="13"/>
      <c r="G168" s="12"/>
      <c r="H168" s="14"/>
      <c r="I168" s="14"/>
      <c r="J168" s="14"/>
      <c r="K168" s="12"/>
      <c r="L168" s="13"/>
      <c r="M168" s="12"/>
      <c r="N168" s="12"/>
      <c r="O168" s="12"/>
      <c r="P168" s="12"/>
      <c r="Q168" s="12"/>
      <c r="R168" s="12"/>
      <c r="T168" s="15"/>
      <c r="U168" s="16"/>
      <c r="V168" s="13"/>
      <c r="W168" s="13"/>
      <c r="X168" s="13"/>
      <c r="Y168" s="13"/>
      <c r="Z168" s="14"/>
      <c r="AA168" s="14"/>
      <c r="AB168" s="15"/>
      <c r="AC168" s="15"/>
    </row>
    <row r="169" spans="1:29" x14ac:dyDescent="0.2">
      <c r="A169" s="11"/>
      <c r="B169" s="12"/>
      <c r="C169" s="13"/>
      <c r="D169" s="13"/>
      <c r="E169" s="13"/>
      <c r="F169" s="13"/>
      <c r="G169" s="12"/>
      <c r="H169" s="14"/>
      <c r="I169" s="14"/>
      <c r="J169" s="14"/>
      <c r="K169" s="12"/>
      <c r="L169" s="13"/>
      <c r="M169" s="12"/>
      <c r="N169" s="12"/>
      <c r="O169" s="12"/>
      <c r="P169" s="12"/>
      <c r="Q169" s="12"/>
      <c r="R169" s="12"/>
      <c r="T169" s="15"/>
      <c r="U169" s="16"/>
      <c r="V169" s="13"/>
      <c r="W169" s="13"/>
      <c r="X169" s="13"/>
      <c r="Y169" s="13"/>
      <c r="Z169" s="14"/>
      <c r="AA169" s="14"/>
      <c r="AB169" s="15"/>
      <c r="AC169" s="15"/>
    </row>
    <row r="170" spans="1:29" x14ac:dyDescent="0.2">
      <c r="A170" s="11"/>
      <c r="B170" s="12"/>
      <c r="C170" s="13"/>
      <c r="D170" s="13"/>
      <c r="E170" s="13"/>
      <c r="F170" s="13"/>
      <c r="G170" s="12"/>
      <c r="H170" s="14"/>
      <c r="I170" s="14"/>
      <c r="J170" s="14"/>
      <c r="K170" s="12"/>
      <c r="L170" s="13"/>
      <c r="M170" s="12"/>
      <c r="N170" s="12"/>
      <c r="O170" s="12"/>
      <c r="P170" s="12"/>
      <c r="Q170" s="12"/>
      <c r="R170" s="12"/>
      <c r="T170" s="15"/>
      <c r="U170" s="16"/>
      <c r="V170" s="13"/>
      <c r="W170" s="13"/>
      <c r="X170" s="13"/>
      <c r="Y170" s="13"/>
      <c r="Z170" s="14"/>
      <c r="AA170" s="14"/>
      <c r="AB170" s="15"/>
      <c r="AC170" s="15"/>
    </row>
    <row r="171" spans="1:29" x14ac:dyDescent="0.2">
      <c r="A171" s="11"/>
      <c r="B171" s="12"/>
      <c r="C171" s="13"/>
      <c r="D171" s="13"/>
      <c r="E171" s="13"/>
      <c r="F171" s="13"/>
      <c r="G171" s="12"/>
      <c r="H171" s="14"/>
      <c r="I171" s="14"/>
      <c r="J171" s="14"/>
      <c r="K171" s="12"/>
      <c r="L171" s="13"/>
      <c r="M171" s="12"/>
      <c r="N171" s="12"/>
      <c r="O171" s="12"/>
      <c r="P171" s="12"/>
      <c r="Q171" s="12"/>
      <c r="R171" s="12"/>
      <c r="T171" s="15"/>
      <c r="U171" s="16"/>
      <c r="V171" s="13"/>
      <c r="W171" s="13"/>
      <c r="X171" s="13"/>
      <c r="Y171" s="13"/>
      <c r="Z171" s="14"/>
      <c r="AA171" s="14"/>
      <c r="AB171" s="15"/>
      <c r="AC171" s="15"/>
    </row>
    <row r="172" spans="1:29" x14ac:dyDescent="0.2">
      <c r="A172" s="11"/>
      <c r="B172" s="12"/>
      <c r="C172" s="13"/>
      <c r="D172" s="13"/>
      <c r="E172" s="13"/>
      <c r="F172" s="13"/>
      <c r="G172" s="12"/>
      <c r="H172" s="14"/>
      <c r="I172" s="14"/>
      <c r="J172" s="14"/>
      <c r="K172" s="12"/>
      <c r="L172" s="13"/>
      <c r="M172" s="12"/>
      <c r="N172" s="12"/>
      <c r="O172" s="12"/>
      <c r="P172" s="12"/>
      <c r="Q172" s="12"/>
      <c r="R172" s="12"/>
      <c r="T172" s="15"/>
      <c r="U172" s="16"/>
      <c r="V172" s="13"/>
      <c r="W172" s="13"/>
      <c r="X172" s="13"/>
      <c r="Y172" s="13"/>
      <c r="Z172" s="14"/>
      <c r="AA172" s="14"/>
      <c r="AB172" s="15"/>
      <c r="AC172" s="15"/>
    </row>
    <row r="173" spans="1:29" x14ac:dyDescent="0.2">
      <c r="A173" s="11"/>
      <c r="B173" s="12"/>
      <c r="C173" s="13"/>
      <c r="D173" s="13"/>
      <c r="E173" s="13"/>
      <c r="F173" s="13"/>
      <c r="G173" s="12"/>
      <c r="H173" s="14"/>
      <c r="I173" s="14"/>
      <c r="J173" s="14"/>
      <c r="K173" s="12"/>
      <c r="L173" s="13"/>
      <c r="M173" s="12"/>
      <c r="N173" s="12"/>
      <c r="O173" s="12"/>
      <c r="P173" s="12"/>
      <c r="Q173" s="12"/>
      <c r="R173" s="12"/>
      <c r="T173" s="15"/>
      <c r="U173" s="16"/>
      <c r="V173" s="13"/>
      <c r="W173" s="13"/>
      <c r="X173" s="13"/>
      <c r="Y173" s="13"/>
      <c r="Z173" s="14"/>
      <c r="AA173" s="14"/>
      <c r="AB173" s="15"/>
      <c r="AC173" s="15"/>
    </row>
    <row r="174" spans="1:29" x14ac:dyDescent="0.2">
      <c r="A174" s="11"/>
      <c r="B174" s="12"/>
      <c r="C174" s="13"/>
      <c r="D174" s="13"/>
      <c r="E174" s="13"/>
      <c r="F174" s="13"/>
      <c r="G174" s="12"/>
      <c r="H174" s="14"/>
      <c r="I174" s="14"/>
      <c r="J174" s="14"/>
      <c r="K174" s="12"/>
      <c r="L174" s="13"/>
      <c r="M174" s="12"/>
      <c r="N174" s="12"/>
      <c r="O174" s="12"/>
      <c r="P174" s="12"/>
      <c r="Q174" s="12"/>
      <c r="R174" s="12"/>
      <c r="T174" s="15"/>
      <c r="U174" s="16"/>
      <c r="V174" s="13"/>
      <c r="W174" s="13"/>
      <c r="X174" s="13"/>
      <c r="Y174" s="13"/>
      <c r="Z174" s="14"/>
      <c r="AA174" s="14"/>
      <c r="AB174" s="15"/>
      <c r="AC174" s="15"/>
    </row>
    <row r="175" spans="1:29" x14ac:dyDescent="0.2">
      <c r="A175" s="11"/>
      <c r="B175" s="12"/>
      <c r="C175" s="13"/>
      <c r="D175" s="13"/>
      <c r="E175" s="13"/>
      <c r="F175" s="13"/>
      <c r="G175" s="12"/>
      <c r="H175" s="14"/>
      <c r="I175" s="14"/>
      <c r="J175" s="14"/>
      <c r="K175" s="12"/>
      <c r="L175" s="13"/>
      <c r="M175" s="12"/>
      <c r="N175" s="12"/>
      <c r="O175" s="12"/>
      <c r="P175" s="12"/>
      <c r="Q175" s="12"/>
      <c r="R175" s="12"/>
      <c r="T175" s="15"/>
      <c r="U175" s="16"/>
      <c r="V175" s="13"/>
      <c r="W175" s="13"/>
      <c r="X175" s="13"/>
      <c r="Y175" s="13"/>
      <c r="Z175" s="14"/>
      <c r="AA175" s="14"/>
      <c r="AB175" s="15"/>
      <c r="AC175" s="15"/>
    </row>
    <row r="176" spans="1:29" x14ac:dyDescent="0.2">
      <c r="A176" s="11"/>
      <c r="B176" s="12"/>
      <c r="C176" s="13"/>
      <c r="D176" s="13"/>
      <c r="E176" s="13"/>
      <c r="F176" s="13"/>
      <c r="G176" s="12"/>
      <c r="H176" s="14"/>
      <c r="I176" s="14"/>
      <c r="J176" s="14"/>
      <c r="K176" s="12"/>
      <c r="L176" s="13"/>
      <c r="M176" s="12"/>
      <c r="N176" s="12"/>
      <c r="O176" s="12"/>
      <c r="P176" s="12"/>
      <c r="Q176" s="12"/>
      <c r="R176" s="12"/>
      <c r="T176" s="15"/>
      <c r="U176" s="16"/>
      <c r="V176" s="13"/>
      <c r="W176" s="13"/>
      <c r="X176" s="13"/>
      <c r="Y176" s="13"/>
      <c r="Z176" s="14"/>
      <c r="AA176" s="14"/>
      <c r="AB176" s="15"/>
      <c r="AC176" s="15"/>
    </row>
    <row r="177" spans="1:29" x14ac:dyDescent="0.2">
      <c r="A177" s="11"/>
      <c r="B177" s="12"/>
      <c r="C177" s="13"/>
      <c r="D177" s="13"/>
      <c r="E177" s="13"/>
      <c r="F177" s="13"/>
      <c r="G177" s="12"/>
      <c r="H177" s="14"/>
      <c r="I177" s="14"/>
      <c r="J177" s="14"/>
      <c r="K177" s="12"/>
      <c r="L177" s="13"/>
      <c r="M177" s="12"/>
      <c r="N177" s="12"/>
      <c r="O177" s="12"/>
      <c r="P177" s="12"/>
      <c r="Q177" s="12"/>
      <c r="R177" s="12"/>
      <c r="T177" s="15"/>
      <c r="U177" s="16"/>
      <c r="V177" s="13"/>
      <c r="W177" s="13"/>
      <c r="X177" s="13"/>
      <c r="Y177" s="13"/>
      <c r="Z177" s="14"/>
      <c r="AA177" s="14"/>
      <c r="AB177" s="15"/>
      <c r="AC177" s="15"/>
    </row>
    <row r="178" spans="1:29" x14ac:dyDescent="0.2">
      <c r="A178" s="11"/>
      <c r="B178" s="12"/>
      <c r="C178" s="13"/>
      <c r="D178" s="13"/>
      <c r="E178" s="13"/>
      <c r="F178" s="13"/>
      <c r="G178" s="12"/>
      <c r="H178" s="14"/>
      <c r="I178" s="14"/>
      <c r="J178" s="14"/>
      <c r="K178" s="12"/>
      <c r="L178" s="13"/>
      <c r="M178" s="12"/>
      <c r="N178" s="12"/>
      <c r="O178" s="12"/>
      <c r="P178" s="12"/>
      <c r="Q178" s="12"/>
      <c r="R178" s="12"/>
      <c r="T178" s="15"/>
      <c r="U178" s="16"/>
      <c r="V178" s="13"/>
      <c r="W178" s="13"/>
      <c r="X178" s="13"/>
      <c r="Y178" s="13"/>
      <c r="Z178" s="14"/>
      <c r="AA178" s="14"/>
      <c r="AB178" s="15"/>
      <c r="AC178" s="15"/>
    </row>
    <row r="179" spans="1:29" x14ac:dyDescent="0.2">
      <c r="A179" s="11"/>
      <c r="B179" s="12"/>
      <c r="C179" s="13"/>
      <c r="D179" s="13"/>
      <c r="E179" s="13"/>
      <c r="F179" s="13"/>
      <c r="G179" s="12"/>
      <c r="H179" s="14"/>
      <c r="I179" s="14"/>
      <c r="J179" s="14"/>
      <c r="K179" s="12"/>
      <c r="L179" s="13"/>
      <c r="M179" s="12"/>
      <c r="N179" s="12"/>
      <c r="O179" s="12"/>
      <c r="P179" s="12"/>
      <c r="Q179" s="12"/>
      <c r="R179" s="12"/>
      <c r="T179" s="15"/>
      <c r="U179" s="16"/>
      <c r="V179" s="13"/>
      <c r="W179" s="13"/>
      <c r="X179" s="13"/>
      <c r="Y179" s="13"/>
      <c r="Z179" s="14"/>
      <c r="AA179" s="14"/>
      <c r="AB179" s="15"/>
      <c r="AC179" s="15"/>
    </row>
    <row r="180" spans="1:29" x14ac:dyDescent="0.2">
      <c r="A180" s="11"/>
      <c r="B180" s="12"/>
      <c r="C180" s="13"/>
      <c r="D180" s="13"/>
      <c r="E180" s="13"/>
      <c r="F180" s="13"/>
      <c r="G180" s="12"/>
      <c r="H180" s="14"/>
      <c r="I180" s="14"/>
      <c r="J180" s="14"/>
      <c r="K180" s="12"/>
      <c r="L180" s="13"/>
      <c r="M180" s="12"/>
      <c r="N180" s="12"/>
      <c r="O180" s="12"/>
      <c r="P180" s="12"/>
      <c r="Q180" s="12"/>
      <c r="R180" s="12"/>
      <c r="T180" s="15"/>
      <c r="U180" s="16"/>
      <c r="V180" s="13"/>
      <c r="W180" s="13"/>
      <c r="X180" s="13"/>
      <c r="Y180" s="13"/>
      <c r="Z180" s="14"/>
      <c r="AA180" s="14"/>
      <c r="AB180" s="15"/>
      <c r="AC180" s="15"/>
    </row>
    <row r="181" spans="1:29" x14ac:dyDescent="0.2">
      <c r="A181" s="11"/>
      <c r="B181" s="12"/>
      <c r="C181" s="13"/>
      <c r="D181" s="13"/>
      <c r="E181" s="13"/>
      <c r="F181" s="13"/>
      <c r="G181" s="12"/>
      <c r="H181" s="14"/>
      <c r="I181" s="14"/>
      <c r="J181" s="14"/>
      <c r="K181" s="12"/>
      <c r="L181" s="13"/>
      <c r="M181" s="12"/>
      <c r="N181" s="12"/>
      <c r="O181" s="12"/>
      <c r="P181" s="12"/>
      <c r="Q181" s="12"/>
      <c r="R181" s="12"/>
      <c r="T181" s="15"/>
      <c r="U181" s="16"/>
      <c r="V181" s="13"/>
      <c r="W181" s="13"/>
      <c r="X181" s="13"/>
      <c r="Y181" s="13"/>
      <c r="Z181" s="14"/>
      <c r="AA181" s="14"/>
      <c r="AB181" s="15"/>
      <c r="AC181" s="15"/>
    </row>
    <row r="182" spans="1:29" x14ac:dyDescent="0.2">
      <c r="A182" s="11"/>
      <c r="B182" s="12"/>
      <c r="C182" s="13"/>
      <c r="D182" s="13"/>
      <c r="E182" s="13"/>
      <c r="F182" s="13"/>
      <c r="G182" s="12"/>
      <c r="H182" s="14"/>
      <c r="I182" s="14"/>
      <c r="J182" s="14"/>
      <c r="K182" s="12"/>
      <c r="L182" s="13"/>
      <c r="M182" s="12"/>
      <c r="N182" s="12"/>
      <c r="O182" s="12"/>
      <c r="P182" s="12"/>
      <c r="Q182" s="12"/>
      <c r="R182" s="12"/>
      <c r="T182" s="15"/>
      <c r="U182" s="16"/>
      <c r="V182" s="13"/>
      <c r="W182" s="13"/>
      <c r="X182" s="13"/>
      <c r="Y182" s="13"/>
      <c r="Z182" s="14"/>
      <c r="AA182" s="14"/>
      <c r="AB182" s="15"/>
      <c r="AC182" s="15"/>
    </row>
    <row r="183" spans="1:29" x14ac:dyDescent="0.2">
      <c r="A183" s="11"/>
      <c r="B183" s="12"/>
      <c r="C183" s="13"/>
      <c r="D183" s="13"/>
      <c r="E183" s="13"/>
      <c r="F183" s="13"/>
      <c r="G183" s="12"/>
      <c r="H183" s="14"/>
      <c r="I183" s="14"/>
      <c r="J183" s="14"/>
      <c r="K183" s="12"/>
      <c r="L183" s="13"/>
      <c r="M183" s="12"/>
      <c r="N183" s="12"/>
      <c r="O183" s="12"/>
      <c r="P183" s="12"/>
      <c r="Q183" s="12"/>
      <c r="R183" s="12"/>
      <c r="T183" s="15"/>
      <c r="U183" s="16"/>
      <c r="V183" s="13"/>
      <c r="W183" s="13"/>
      <c r="X183" s="13"/>
      <c r="Y183" s="13"/>
      <c r="Z183" s="14"/>
      <c r="AA183" s="14"/>
      <c r="AB183" s="15"/>
      <c r="AC183" s="15"/>
    </row>
    <row r="184" spans="1:29" x14ac:dyDescent="0.2">
      <c r="A184" s="11"/>
      <c r="B184" s="12"/>
      <c r="C184" s="13"/>
      <c r="D184" s="13"/>
      <c r="E184" s="13"/>
      <c r="F184" s="13"/>
      <c r="G184" s="12"/>
      <c r="H184" s="14"/>
      <c r="I184" s="14"/>
      <c r="J184" s="14"/>
      <c r="K184" s="12"/>
      <c r="L184" s="13"/>
      <c r="M184" s="12"/>
      <c r="N184" s="12"/>
      <c r="O184" s="12"/>
      <c r="P184" s="12"/>
      <c r="Q184" s="12"/>
      <c r="R184" s="12"/>
      <c r="T184" s="15"/>
      <c r="U184" s="16"/>
      <c r="V184" s="13"/>
      <c r="W184" s="13"/>
      <c r="X184" s="13"/>
      <c r="Y184" s="13"/>
      <c r="Z184" s="14"/>
      <c r="AA184" s="14"/>
      <c r="AB184" s="15"/>
      <c r="AC184" s="15"/>
    </row>
    <row r="185" spans="1:29" x14ac:dyDescent="0.2">
      <c r="A185" s="11"/>
      <c r="B185" s="12"/>
      <c r="C185" s="13"/>
      <c r="D185" s="13"/>
      <c r="E185" s="13"/>
      <c r="F185" s="13"/>
      <c r="G185" s="12"/>
      <c r="H185" s="14"/>
      <c r="I185" s="14"/>
      <c r="J185" s="14"/>
      <c r="K185" s="12"/>
      <c r="L185" s="13"/>
      <c r="M185" s="12"/>
      <c r="N185" s="12"/>
      <c r="O185" s="12"/>
      <c r="P185" s="12"/>
      <c r="Q185" s="12"/>
      <c r="R185" s="12"/>
      <c r="T185" s="15"/>
      <c r="U185" s="16"/>
      <c r="V185" s="13"/>
      <c r="W185" s="13"/>
      <c r="X185" s="13"/>
      <c r="Y185" s="13"/>
      <c r="Z185" s="14"/>
      <c r="AA185" s="14"/>
      <c r="AB185" s="15"/>
      <c r="AC185" s="15"/>
    </row>
    <row r="186" spans="1:29" x14ac:dyDescent="0.2">
      <c r="A186" s="11"/>
      <c r="B186" s="12"/>
      <c r="C186" s="13"/>
      <c r="D186" s="13"/>
      <c r="E186" s="13"/>
      <c r="F186" s="13"/>
      <c r="G186" s="12"/>
      <c r="H186" s="14"/>
      <c r="I186" s="14"/>
      <c r="J186" s="14"/>
      <c r="K186" s="12"/>
      <c r="L186" s="13"/>
      <c r="M186" s="12"/>
      <c r="N186" s="12"/>
      <c r="O186" s="12"/>
      <c r="P186" s="12"/>
      <c r="Q186" s="12"/>
      <c r="R186" s="12"/>
      <c r="T186" s="15"/>
      <c r="U186" s="16"/>
      <c r="V186" s="13"/>
      <c r="W186" s="13"/>
      <c r="X186" s="13"/>
      <c r="Y186" s="13"/>
      <c r="Z186" s="14"/>
      <c r="AA186" s="14"/>
      <c r="AB186" s="15"/>
      <c r="AC186" s="15"/>
    </row>
    <row r="187" spans="1:29" x14ac:dyDescent="0.2">
      <c r="A187" s="11"/>
      <c r="B187" s="12"/>
      <c r="C187" s="13"/>
      <c r="D187" s="13"/>
      <c r="E187" s="13"/>
      <c r="F187" s="13"/>
      <c r="G187" s="12"/>
      <c r="H187" s="14"/>
      <c r="I187" s="14"/>
      <c r="J187" s="14"/>
      <c r="K187" s="12"/>
      <c r="L187" s="13"/>
      <c r="M187" s="12"/>
      <c r="N187" s="12"/>
      <c r="O187" s="12"/>
      <c r="P187" s="12"/>
      <c r="Q187" s="12"/>
      <c r="R187" s="12"/>
      <c r="T187" s="15"/>
      <c r="U187" s="16"/>
      <c r="V187" s="13"/>
      <c r="W187" s="13"/>
      <c r="X187" s="13"/>
      <c r="Y187" s="13"/>
      <c r="Z187" s="14"/>
      <c r="AA187" s="14"/>
      <c r="AB187" s="15"/>
      <c r="AC187" s="15"/>
    </row>
    <row r="188" spans="1:29" x14ac:dyDescent="0.2">
      <c r="A188" s="11"/>
      <c r="B188" s="12"/>
      <c r="C188" s="13"/>
      <c r="D188" s="13"/>
      <c r="E188" s="13"/>
      <c r="F188" s="13"/>
      <c r="G188" s="12"/>
      <c r="H188" s="14"/>
      <c r="I188" s="14"/>
      <c r="J188" s="14"/>
      <c r="K188" s="12"/>
      <c r="L188" s="13"/>
      <c r="M188" s="12"/>
      <c r="N188" s="12"/>
      <c r="O188" s="12"/>
      <c r="P188" s="12"/>
      <c r="Q188" s="12"/>
      <c r="R188" s="12"/>
      <c r="T188" s="15"/>
      <c r="U188" s="16"/>
      <c r="V188" s="13"/>
      <c r="W188" s="13"/>
      <c r="X188" s="13"/>
      <c r="Y188" s="13"/>
      <c r="Z188" s="14"/>
      <c r="AA188" s="14"/>
      <c r="AB188" s="15"/>
      <c r="AC188" s="15"/>
    </row>
    <row r="189" spans="1:29" x14ac:dyDescent="0.2">
      <c r="A189" s="11"/>
      <c r="B189" s="12"/>
      <c r="C189" s="13"/>
      <c r="D189" s="13"/>
      <c r="E189" s="13"/>
      <c r="F189" s="13"/>
      <c r="G189" s="12"/>
      <c r="H189" s="14"/>
      <c r="I189" s="14"/>
      <c r="J189" s="14"/>
      <c r="K189" s="12"/>
      <c r="L189" s="13"/>
      <c r="M189" s="12"/>
      <c r="N189" s="12"/>
      <c r="O189" s="12"/>
      <c r="P189" s="12"/>
      <c r="Q189" s="12"/>
      <c r="R189" s="12"/>
      <c r="T189" s="15"/>
      <c r="U189" s="16"/>
      <c r="V189" s="13"/>
      <c r="W189" s="13"/>
      <c r="X189" s="13"/>
      <c r="Y189" s="13"/>
      <c r="Z189" s="14"/>
      <c r="AA189" s="14"/>
      <c r="AB189" s="15"/>
      <c r="AC189" s="15"/>
    </row>
    <row r="190" spans="1:29" x14ac:dyDescent="0.2">
      <c r="A190" s="11"/>
      <c r="B190" s="12"/>
      <c r="C190" s="13"/>
      <c r="D190" s="13"/>
      <c r="E190" s="13"/>
      <c r="F190" s="13"/>
      <c r="G190" s="12"/>
      <c r="H190" s="14"/>
      <c r="I190" s="14"/>
      <c r="J190" s="14"/>
      <c r="K190" s="12"/>
      <c r="L190" s="13"/>
      <c r="M190" s="12"/>
      <c r="N190" s="12"/>
      <c r="O190" s="12"/>
      <c r="P190" s="12"/>
      <c r="Q190" s="12"/>
      <c r="R190" s="12"/>
      <c r="T190" s="15"/>
      <c r="U190" s="16"/>
      <c r="V190" s="13"/>
      <c r="W190" s="13"/>
      <c r="X190" s="13"/>
      <c r="Y190" s="13"/>
      <c r="Z190" s="14"/>
      <c r="AA190" s="14"/>
      <c r="AB190" s="15"/>
      <c r="AC190" s="15"/>
    </row>
    <row r="191" spans="1:29" x14ac:dyDescent="0.2">
      <c r="A191" s="11"/>
      <c r="B191" s="12"/>
      <c r="C191" s="13"/>
      <c r="D191" s="13"/>
      <c r="E191" s="13"/>
      <c r="F191" s="13"/>
      <c r="G191" s="12"/>
      <c r="H191" s="14"/>
      <c r="I191" s="14"/>
      <c r="J191" s="14"/>
      <c r="K191" s="12"/>
      <c r="L191" s="13"/>
      <c r="M191" s="12"/>
      <c r="N191" s="12"/>
      <c r="O191" s="12"/>
      <c r="P191" s="12"/>
      <c r="Q191" s="12"/>
      <c r="R191" s="12"/>
      <c r="T191" s="15"/>
      <c r="U191" s="16"/>
      <c r="V191" s="13"/>
      <c r="W191" s="13"/>
      <c r="X191" s="13"/>
      <c r="Y191" s="13"/>
      <c r="Z191" s="14"/>
      <c r="AA191" s="14"/>
      <c r="AB191" s="15"/>
      <c r="AC191" s="15"/>
    </row>
    <row r="192" spans="1:29" x14ac:dyDescent="0.2">
      <c r="A192" s="11"/>
      <c r="B192" s="12"/>
      <c r="C192" s="13"/>
      <c r="D192" s="13"/>
      <c r="E192" s="13"/>
      <c r="F192" s="13"/>
      <c r="G192" s="12"/>
      <c r="H192" s="14"/>
      <c r="I192" s="14"/>
      <c r="J192" s="14"/>
      <c r="K192" s="12"/>
      <c r="L192" s="13"/>
      <c r="M192" s="12"/>
      <c r="N192" s="12"/>
      <c r="O192" s="12"/>
      <c r="P192" s="12"/>
      <c r="Q192" s="12"/>
      <c r="R192" s="12"/>
      <c r="T192" s="15"/>
      <c r="U192" s="16"/>
      <c r="V192" s="13"/>
      <c r="W192" s="13"/>
      <c r="X192" s="13"/>
      <c r="Y192" s="13"/>
      <c r="Z192" s="14"/>
      <c r="AA192" s="14"/>
      <c r="AB192" s="15"/>
      <c r="AC192" s="15"/>
    </row>
    <row r="193" spans="1:29" x14ac:dyDescent="0.2">
      <c r="A193" s="11"/>
      <c r="B193" s="12"/>
      <c r="C193" s="13"/>
      <c r="D193" s="13"/>
      <c r="E193" s="13"/>
      <c r="F193" s="13"/>
      <c r="G193" s="12"/>
      <c r="H193" s="14"/>
      <c r="I193" s="14"/>
      <c r="J193" s="14"/>
      <c r="K193" s="12"/>
      <c r="L193" s="13"/>
      <c r="M193" s="12"/>
      <c r="N193" s="12"/>
      <c r="O193" s="12"/>
      <c r="P193" s="12"/>
      <c r="Q193" s="12"/>
      <c r="R193" s="12"/>
      <c r="T193" s="15"/>
      <c r="U193" s="16"/>
      <c r="V193" s="13"/>
      <c r="W193" s="13"/>
      <c r="X193" s="13"/>
      <c r="Y193" s="13"/>
      <c r="Z193" s="14"/>
      <c r="AA193" s="14"/>
      <c r="AB193" s="15"/>
      <c r="AC193" s="15"/>
    </row>
    <row r="194" spans="1:29" x14ac:dyDescent="0.2">
      <c r="A194" s="11"/>
      <c r="B194" s="12"/>
      <c r="C194" s="13"/>
      <c r="D194" s="13"/>
      <c r="E194" s="13"/>
      <c r="F194" s="13"/>
      <c r="G194" s="12"/>
      <c r="H194" s="14"/>
      <c r="I194" s="14"/>
      <c r="J194" s="14"/>
      <c r="K194" s="12"/>
      <c r="L194" s="13"/>
      <c r="M194" s="12"/>
      <c r="N194" s="12"/>
      <c r="O194" s="12"/>
      <c r="P194" s="12"/>
      <c r="Q194" s="12"/>
      <c r="R194" s="12"/>
      <c r="T194" s="15"/>
      <c r="U194" s="16"/>
      <c r="V194" s="13"/>
      <c r="W194" s="13"/>
      <c r="X194" s="13"/>
      <c r="Y194" s="13"/>
      <c r="Z194" s="14"/>
      <c r="AA194" s="14"/>
      <c r="AB194" s="15"/>
      <c r="AC194" s="15"/>
    </row>
    <row r="195" spans="1:29" x14ac:dyDescent="0.2">
      <c r="A195" s="11"/>
      <c r="B195" s="12"/>
      <c r="C195" s="13"/>
      <c r="D195" s="13"/>
      <c r="E195" s="13"/>
      <c r="F195" s="13"/>
      <c r="G195" s="12"/>
      <c r="H195" s="14"/>
      <c r="I195" s="14"/>
      <c r="J195" s="14"/>
      <c r="K195" s="12"/>
      <c r="L195" s="13"/>
      <c r="M195" s="12"/>
      <c r="N195" s="12"/>
      <c r="O195" s="12"/>
      <c r="P195" s="12"/>
      <c r="Q195" s="12"/>
      <c r="R195" s="12"/>
      <c r="T195" s="15"/>
      <c r="U195" s="16"/>
      <c r="V195" s="13"/>
      <c r="W195" s="13"/>
      <c r="X195" s="13"/>
      <c r="Y195" s="13"/>
      <c r="Z195" s="14"/>
      <c r="AA195" s="14"/>
      <c r="AB195" s="15"/>
      <c r="AC195" s="15"/>
    </row>
    <row r="196" spans="1:29" x14ac:dyDescent="0.2">
      <c r="A196" s="11"/>
      <c r="B196" s="12"/>
      <c r="C196" s="13"/>
      <c r="D196" s="13"/>
      <c r="E196" s="13"/>
      <c r="F196" s="13"/>
      <c r="G196" s="12"/>
      <c r="H196" s="14"/>
      <c r="I196" s="14"/>
      <c r="J196" s="14"/>
      <c r="K196" s="12"/>
      <c r="L196" s="13"/>
      <c r="M196" s="12"/>
      <c r="N196" s="12"/>
      <c r="O196" s="12"/>
      <c r="P196" s="12"/>
      <c r="Q196" s="12"/>
      <c r="R196" s="12"/>
      <c r="T196" s="15"/>
      <c r="U196" s="16"/>
      <c r="V196" s="13"/>
      <c r="W196" s="13"/>
      <c r="X196" s="13"/>
      <c r="Y196" s="13"/>
      <c r="Z196" s="14"/>
      <c r="AA196" s="14"/>
      <c r="AB196" s="15"/>
      <c r="AC196" s="15"/>
    </row>
    <row r="197" spans="1:29" x14ac:dyDescent="0.2">
      <c r="A197" s="11"/>
      <c r="B197" s="12"/>
      <c r="C197" s="13"/>
      <c r="D197" s="13"/>
      <c r="E197" s="13"/>
      <c r="F197" s="13"/>
      <c r="G197" s="12"/>
      <c r="H197" s="14"/>
      <c r="I197" s="14"/>
      <c r="J197" s="14"/>
      <c r="K197" s="12"/>
      <c r="L197" s="13"/>
      <c r="M197" s="12"/>
      <c r="N197" s="12"/>
      <c r="O197" s="12"/>
      <c r="P197" s="12"/>
      <c r="Q197" s="12"/>
      <c r="R197" s="12"/>
      <c r="T197" s="15"/>
      <c r="U197" s="16"/>
      <c r="V197" s="13"/>
      <c r="W197" s="13"/>
      <c r="X197" s="13"/>
      <c r="Y197" s="13"/>
      <c r="Z197" s="14"/>
      <c r="AA197" s="14"/>
      <c r="AB197" s="15"/>
      <c r="AC197" s="15"/>
    </row>
    <row r="198" spans="1:29" x14ac:dyDescent="0.2">
      <c r="A198" s="11"/>
      <c r="B198" s="12"/>
      <c r="C198" s="13"/>
      <c r="D198" s="13"/>
      <c r="E198" s="13"/>
      <c r="F198" s="13"/>
      <c r="G198" s="12"/>
      <c r="H198" s="14"/>
      <c r="I198" s="14"/>
      <c r="J198" s="14"/>
      <c r="K198" s="12"/>
      <c r="L198" s="13"/>
      <c r="M198" s="12"/>
      <c r="N198" s="12"/>
      <c r="O198" s="12"/>
      <c r="P198" s="12"/>
      <c r="Q198" s="12"/>
      <c r="R198" s="12"/>
      <c r="T198" s="15"/>
      <c r="U198" s="16"/>
      <c r="V198" s="13"/>
      <c r="W198" s="13"/>
      <c r="X198" s="13"/>
      <c r="Y198" s="13"/>
      <c r="Z198" s="14"/>
      <c r="AA198" s="14"/>
      <c r="AB198" s="15"/>
      <c r="AC198" s="15"/>
    </row>
    <row r="199" spans="1:29" x14ac:dyDescent="0.2">
      <c r="A199" s="11"/>
      <c r="B199" s="12"/>
      <c r="C199" s="13"/>
      <c r="D199" s="13"/>
      <c r="E199" s="13"/>
      <c r="F199" s="13"/>
      <c r="G199" s="12"/>
      <c r="H199" s="14"/>
      <c r="I199" s="14"/>
      <c r="J199" s="14"/>
      <c r="K199" s="12"/>
      <c r="L199" s="13"/>
      <c r="M199" s="12"/>
      <c r="N199" s="12"/>
      <c r="O199" s="12"/>
      <c r="P199" s="12"/>
      <c r="Q199" s="12"/>
      <c r="R199" s="12"/>
      <c r="T199" s="15"/>
      <c r="U199" s="16"/>
      <c r="V199" s="13"/>
      <c r="W199" s="13"/>
      <c r="X199" s="13"/>
      <c r="Y199" s="13"/>
      <c r="Z199" s="14"/>
      <c r="AA199" s="14"/>
      <c r="AB199" s="15"/>
      <c r="AC199" s="15"/>
    </row>
    <row r="200" spans="1:29" x14ac:dyDescent="0.2">
      <c r="A200" s="11"/>
      <c r="B200" s="12"/>
      <c r="C200" s="13"/>
      <c r="D200" s="13"/>
      <c r="E200" s="13"/>
      <c r="F200" s="13"/>
      <c r="G200" s="12"/>
      <c r="H200" s="14"/>
      <c r="I200" s="14"/>
      <c r="J200" s="14"/>
      <c r="K200" s="12"/>
      <c r="L200" s="13"/>
      <c r="M200" s="12"/>
      <c r="N200" s="12"/>
      <c r="O200" s="12"/>
      <c r="P200" s="12"/>
      <c r="Q200" s="12"/>
      <c r="R200" s="12"/>
      <c r="T200" s="15"/>
      <c r="U200" s="16"/>
      <c r="V200" s="13"/>
      <c r="W200" s="13"/>
      <c r="X200" s="13"/>
      <c r="Y200" s="13"/>
      <c r="Z200" s="14"/>
      <c r="AA200" s="14"/>
      <c r="AB200" s="15"/>
      <c r="AC200" s="15"/>
    </row>
    <row r="201" spans="1:29" x14ac:dyDescent="0.2">
      <c r="A201" s="11"/>
      <c r="B201" s="12"/>
      <c r="C201" s="13"/>
      <c r="D201" s="13"/>
      <c r="E201" s="13"/>
      <c r="F201" s="13"/>
      <c r="G201" s="12"/>
      <c r="H201" s="14"/>
      <c r="I201" s="14"/>
      <c r="J201" s="14"/>
      <c r="K201" s="12"/>
      <c r="L201" s="13"/>
      <c r="M201" s="12"/>
      <c r="N201" s="12"/>
      <c r="O201" s="12"/>
      <c r="P201" s="12"/>
      <c r="Q201" s="12"/>
      <c r="R201" s="12"/>
      <c r="T201" s="15"/>
      <c r="U201" s="16"/>
      <c r="V201" s="13"/>
      <c r="W201" s="13"/>
      <c r="X201" s="13"/>
      <c r="Y201" s="13"/>
      <c r="Z201" s="14"/>
      <c r="AA201" s="14"/>
      <c r="AB201" s="15"/>
      <c r="AC201" s="15"/>
    </row>
    <row r="202" spans="1:29" x14ac:dyDescent="0.2">
      <c r="A202" s="11"/>
      <c r="B202" s="12"/>
      <c r="C202" s="13"/>
      <c r="D202" s="13"/>
      <c r="E202" s="13"/>
      <c r="F202" s="13"/>
      <c r="G202" s="12"/>
      <c r="H202" s="14"/>
      <c r="I202" s="14"/>
      <c r="J202" s="14"/>
      <c r="K202" s="12"/>
      <c r="L202" s="13"/>
      <c r="M202" s="12"/>
      <c r="N202" s="12"/>
      <c r="O202" s="12"/>
      <c r="P202" s="12"/>
      <c r="Q202" s="12"/>
      <c r="R202" s="12"/>
      <c r="T202" s="15"/>
      <c r="U202" s="16"/>
      <c r="V202" s="13"/>
      <c r="W202" s="13"/>
      <c r="X202" s="13"/>
      <c r="Y202" s="13"/>
      <c r="Z202" s="14"/>
      <c r="AA202" s="14"/>
      <c r="AB202" s="15"/>
      <c r="AC202" s="15"/>
    </row>
    <row r="203" spans="1:29" x14ac:dyDescent="0.2">
      <c r="A203" s="11"/>
      <c r="B203" s="12"/>
      <c r="C203" s="13"/>
      <c r="D203" s="13"/>
      <c r="E203" s="13"/>
      <c r="F203" s="13"/>
      <c r="G203" s="12"/>
      <c r="H203" s="14"/>
      <c r="I203" s="14"/>
      <c r="J203" s="14"/>
      <c r="K203" s="12"/>
      <c r="L203" s="13"/>
      <c r="M203" s="12"/>
      <c r="N203" s="12"/>
      <c r="O203" s="12"/>
      <c r="P203" s="12"/>
      <c r="Q203" s="12"/>
      <c r="R203" s="12"/>
      <c r="T203" s="15"/>
      <c r="U203" s="16"/>
      <c r="V203" s="13"/>
      <c r="W203" s="13"/>
      <c r="X203" s="13"/>
      <c r="Y203" s="13"/>
      <c r="Z203" s="14"/>
      <c r="AA203" s="14"/>
      <c r="AB203" s="15"/>
      <c r="AC203" s="15"/>
    </row>
    <row r="204" spans="1:29" x14ac:dyDescent="0.2">
      <c r="A204" s="11"/>
      <c r="B204" s="12"/>
      <c r="C204" s="13"/>
      <c r="D204" s="13"/>
      <c r="E204" s="13"/>
      <c r="F204" s="13"/>
      <c r="G204" s="12"/>
      <c r="H204" s="14"/>
      <c r="I204" s="14"/>
      <c r="J204" s="14"/>
      <c r="K204" s="12"/>
      <c r="L204" s="13"/>
      <c r="M204" s="12"/>
      <c r="N204" s="12"/>
      <c r="O204" s="12"/>
      <c r="P204" s="12"/>
      <c r="Q204" s="12"/>
      <c r="R204" s="12"/>
      <c r="T204" s="15"/>
      <c r="U204" s="16"/>
      <c r="V204" s="13"/>
      <c r="W204" s="13"/>
      <c r="X204" s="13"/>
      <c r="Y204" s="13"/>
      <c r="Z204" s="14"/>
      <c r="AA204" s="14"/>
      <c r="AB204" s="15"/>
      <c r="AC204" s="15"/>
    </row>
    <row r="205" spans="1:29" x14ac:dyDescent="0.2">
      <c r="A205" s="11"/>
      <c r="B205" s="12"/>
      <c r="C205" s="13"/>
      <c r="D205" s="13"/>
      <c r="E205" s="13"/>
      <c r="F205" s="13"/>
      <c r="G205" s="12"/>
      <c r="H205" s="14"/>
      <c r="I205" s="14"/>
      <c r="J205" s="14"/>
      <c r="K205" s="12"/>
      <c r="L205" s="13"/>
      <c r="M205" s="12"/>
      <c r="N205" s="12"/>
      <c r="O205" s="12"/>
      <c r="P205" s="12"/>
      <c r="Q205" s="12"/>
      <c r="R205" s="12"/>
      <c r="T205" s="15"/>
      <c r="U205" s="16"/>
      <c r="V205" s="13"/>
      <c r="W205" s="13"/>
      <c r="X205" s="13"/>
      <c r="Y205" s="13"/>
      <c r="Z205" s="14"/>
      <c r="AA205" s="14"/>
      <c r="AB205" s="15"/>
      <c r="AC205" s="15"/>
    </row>
    <row r="206" spans="1:29" x14ac:dyDescent="0.2">
      <c r="A206" s="11"/>
      <c r="B206" s="12"/>
      <c r="C206" s="13"/>
      <c r="D206" s="13"/>
      <c r="E206" s="13"/>
      <c r="F206" s="13"/>
      <c r="G206" s="12"/>
      <c r="H206" s="14"/>
      <c r="I206" s="14"/>
      <c r="J206" s="14"/>
      <c r="K206" s="12"/>
      <c r="L206" s="13"/>
      <c r="M206" s="12"/>
      <c r="N206" s="12"/>
      <c r="O206" s="12"/>
      <c r="P206" s="12"/>
      <c r="Q206" s="12"/>
      <c r="R206" s="12"/>
      <c r="T206" s="15"/>
      <c r="U206" s="16"/>
      <c r="V206" s="13"/>
      <c r="W206" s="13"/>
      <c r="X206" s="13"/>
      <c r="Y206" s="13"/>
      <c r="Z206" s="14"/>
      <c r="AA206" s="14"/>
      <c r="AB206" s="15"/>
      <c r="AC206" s="15"/>
    </row>
    <row r="207" spans="1:29" x14ac:dyDescent="0.2">
      <c r="A207" s="11"/>
      <c r="B207" s="12"/>
      <c r="C207" s="13"/>
      <c r="D207" s="13"/>
      <c r="E207" s="13"/>
      <c r="F207" s="13"/>
      <c r="G207" s="12"/>
      <c r="H207" s="14"/>
      <c r="I207" s="14"/>
      <c r="J207" s="14"/>
      <c r="K207" s="12"/>
      <c r="L207" s="13"/>
      <c r="M207" s="12"/>
      <c r="N207" s="12"/>
      <c r="O207" s="12"/>
      <c r="P207" s="12"/>
      <c r="Q207" s="12"/>
      <c r="R207" s="12"/>
      <c r="T207" s="15"/>
      <c r="U207" s="16"/>
      <c r="V207" s="13"/>
      <c r="W207" s="13"/>
      <c r="X207" s="13"/>
      <c r="Y207" s="13"/>
      <c r="Z207" s="14"/>
      <c r="AA207" s="14"/>
      <c r="AB207" s="15"/>
      <c r="AC207" s="15"/>
    </row>
    <row r="208" spans="1:29" x14ac:dyDescent="0.2">
      <c r="A208" s="11"/>
      <c r="B208" s="12"/>
      <c r="C208" s="13"/>
      <c r="D208" s="13"/>
      <c r="E208" s="13"/>
      <c r="F208" s="13"/>
      <c r="G208" s="12"/>
      <c r="H208" s="14"/>
      <c r="I208" s="14"/>
      <c r="J208" s="14"/>
      <c r="K208" s="12"/>
      <c r="L208" s="13"/>
      <c r="M208" s="12"/>
      <c r="N208" s="12"/>
      <c r="O208" s="12"/>
      <c r="P208" s="12"/>
      <c r="Q208" s="12"/>
      <c r="R208" s="12"/>
      <c r="T208" s="15"/>
      <c r="U208" s="16"/>
      <c r="V208" s="13"/>
      <c r="W208" s="13"/>
      <c r="X208" s="13"/>
      <c r="Y208" s="13"/>
      <c r="Z208" s="14"/>
      <c r="AA208" s="14"/>
      <c r="AB208" s="15"/>
      <c r="AC208" s="15"/>
    </row>
    <row r="209" spans="1:29" x14ac:dyDescent="0.2">
      <c r="A209" s="11"/>
      <c r="B209" s="12"/>
      <c r="C209" s="13"/>
      <c r="D209" s="13"/>
      <c r="E209" s="13"/>
      <c r="F209" s="13"/>
      <c r="G209" s="12"/>
      <c r="H209" s="14"/>
      <c r="I209" s="14"/>
      <c r="J209" s="14"/>
      <c r="K209" s="12"/>
      <c r="L209" s="13"/>
      <c r="M209" s="12"/>
      <c r="N209" s="12"/>
      <c r="O209" s="12"/>
      <c r="P209" s="12"/>
      <c r="Q209" s="12"/>
      <c r="R209" s="12"/>
      <c r="T209" s="15"/>
      <c r="U209" s="16"/>
      <c r="V209" s="13"/>
      <c r="W209" s="13"/>
      <c r="X209" s="13"/>
      <c r="Y209" s="13"/>
      <c r="Z209" s="14"/>
      <c r="AA209" s="14"/>
      <c r="AB209" s="15"/>
      <c r="AC209" s="15"/>
    </row>
    <row r="210" spans="1:29" x14ac:dyDescent="0.2">
      <c r="A210" s="11"/>
      <c r="B210" s="12"/>
      <c r="C210" s="13"/>
      <c r="D210" s="13"/>
      <c r="E210" s="13"/>
      <c r="F210" s="13"/>
      <c r="G210" s="12"/>
      <c r="H210" s="14"/>
      <c r="I210" s="14"/>
      <c r="J210" s="14"/>
      <c r="K210" s="12"/>
      <c r="L210" s="13"/>
      <c r="M210" s="12"/>
      <c r="N210" s="12"/>
      <c r="O210" s="12"/>
      <c r="P210" s="12"/>
      <c r="Q210" s="12"/>
      <c r="R210" s="12"/>
      <c r="T210" s="15"/>
      <c r="U210" s="16"/>
      <c r="V210" s="13"/>
      <c r="W210" s="13"/>
      <c r="X210" s="13"/>
      <c r="Y210" s="13"/>
      <c r="Z210" s="14"/>
      <c r="AA210" s="14"/>
      <c r="AB210" s="15"/>
      <c r="AC210" s="15"/>
    </row>
    <row r="211" spans="1:29" x14ac:dyDescent="0.2">
      <c r="A211" s="11"/>
      <c r="B211" s="12"/>
      <c r="C211" s="13"/>
      <c r="D211" s="13"/>
      <c r="E211" s="13"/>
      <c r="F211" s="13"/>
      <c r="G211" s="12"/>
      <c r="H211" s="14"/>
      <c r="I211" s="14"/>
      <c r="J211" s="14"/>
      <c r="K211" s="12"/>
      <c r="L211" s="13"/>
      <c r="M211" s="12"/>
      <c r="N211" s="12"/>
      <c r="O211" s="12"/>
      <c r="P211" s="12"/>
      <c r="Q211" s="12"/>
      <c r="R211" s="12"/>
      <c r="T211" s="15"/>
      <c r="U211" s="16"/>
      <c r="V211" s="13"/>
      <c r="W211" s="13"/>
      <c r="X211" s="13"/>
      <c r="Y211" s="13"/>
      <c r="Z211" s="14"/>
      <c r="AA211" s="14"/>
      <c r="AB211" s="15"/>
      <c r="AC211" s="15"/>
    </row>
    <row r="212" spans="1:29" x14ac:dyDescent="0.2">
      <c r="A212" s="11"/>
      <c r="B212" s="12"/>
      <c r="C212" s="13"/>
      <c r="D212" s="13"/>
      <c r="E212" s="13"/>
      <c r="F212" s="13"/>
      <c r="G212" s="12"/>
      <c r="H212" s="14"/>
      <c r="I212" s="14"/>
      <c r="J212" s="14"/>
      <c r="K212" s="12"/>
      <c r="L212" s="13"/>
      <c r="M212" s="12"/>
      <c r="N212" s="12"/>
      <c r="O212" s="12"/>
      <c r="P212" s="12"/>
      <c r="Q212" s="12"/>
      <c r="R212" s="12"/>
      <c r="T212" s="15"/>
      <c r="U212" s="16"/>
      <c r="V212" s="13"/>
      <c r="W212" s="13"/>
      <c r="X212" s="13"/>
      <c r="Y212" s="13"/>
      <c r="Z212" s="14"/>
      <c r="AA212" s="14"/>
      <c r="AB212" s="15"/>
      <c r="AC212" s="15"/>
    </row>
    <row r="213" spans="1:29" x14ac:dyDescent="0.2">
      <c r="A213" s="11"/>
      <c r="B213" s="12"/>
      <c r="C213" s="13"/>
      <c r="D213" s="13"/>
      <c r="E213" s="13"/>
      <c r="F213" s="13"/>
      <c r="G213" s="12"/>
      <c r="H213" s="14"/>
      <c r="I213" s="14"/>
      <c r="J213" s="14"/>
      <c r="K213" s="12"/>
      <c r="L213" s="13"/>
      <c r="M213" s="12"/>
      <c r="N213" s="12"/>
      <c r="O213" s="12"/>
      <c r="P213" s="12"/>
      <c r="Q213" s="12"/>
      <c r="R213" s="12"/>
      <c r="T213" s="15"/>
      <c r="U213" s="16"/>
      <c r="V213" s="13"/>
      <c r="W213" s="13"/>
      <c r="X213" s="13"/>
      <c r="Y213" s="13"/>
      <c r="Z213" s="14"/>
      <c r="AA213" s="14"/>
      <c r="AB213" s="15"/>
      <c r="AC213" s="15"/>
    </row>
    <row r="214" spans="1:29" x14ac:dyDescent="0.2">
      <c r="A214" s="11"/>
      <c r="B214" s="12"/>
      <c r="C214" s="13"/>
      <c r="D214" s="13"/>
      <c r="E214" s="13"/>
      <c r="F214" s="13"/>
      <c r="G214" s="12"/>
      <c r="H214" s="14"/>
      <c r="I214" s="14"/>
      <c r="J214" s="14"/>
      <c r="K214" s="12"/>
      <c r="L214" s="13"/>
      <c r="M214" s="12"/>
      <c r="N214" s="12"/>
      <c r="O214" s="12"/>
      <c r="P214" s="12"/>
      <c r="Q214" s="12"/>
      <c r="R214" s="12"/>
      <c r="T214" s="15"/>
      <c r="U214" s="16"/>
      <c r="V214" s="13"/>
      <c r="W214" s="13"/>
      <c r="X214" s="13"/>
      <c r="Y214" s="13"/>
      <c r="Z214" s="14"/>
      <c r="AA214" s="14"/>
      <c r="AB214" s="15"/>
      <c r="AC214" s="15"/>
    </row>
    <row r="215" spans="1:29" x14ac:dyDescent="0.2">
      <c r="A215" s="11"/>
      <c r="B215" s="12"/>
      <c r="C215" s="13"/>
      <c r="D215" s="13"/>
      <c r="E215" s="13"/>
      <c r="F215" s="13"/>
      <c r="G215" s="12"/>
      <c r="H215" s="14"/>
      <c r="I215" s="14"/>
      <c r="J215" s="14"/>
      <c r="K215" s="12"/>
      <c r="L215" s="13"/>
      <c r="M215" s="12"/>
      <c r="N215" s="12"/>
      <c r="O215" s="12"/>
      <c r="P215" s="12"/>
      <c r="Q215" s="12"/>
      <c r="R215" s="12"/>
      <c r="T215" s="15"/>
      <c r="U215" s="16"/>
      <c r="V215" s="13"/>
      <c r="W215" s="13"/>
      <c r="X215" s="13"/>
      <c r="Y215" s="13"/>
      <c r="Z215" s="14"/>
      <c r="AA215" s="14"/>
      <c r="AB215" s="15"/>
      <c r="AC215" s="15"/>
    </row>
    <row r="216" spans="1:29" x14ac:dyDescent="0.2">
      <c r="A216" s="11"/>
      <c r="B216" s="12"/>
      <c r="C216" s="13"/>
      <c r="D216" s="13"/>
      <c r="E216" s="13"/>
      <c r="F216" s="13"/>
      <c r="G216" s="12"/>
      <c r="H216" s="14"/>
      <c r="I216" s="14"/>
      <c r="J216" s="14"/>
      <c r="K216" s="12"/>
      <c r="L216" s="13"/>
      <c r="M216" s="12"/>
      <c r="N216" s="12"/>
      <c r="O216" s="12"/>
      <c r="P216" s="12"/>
      <c r="Q216" s="12"/>
      <c r="R216" s="12"/>
      <c r="T216" s="15"/>
      <c r="U216" s="16"/>
      <c r="V216" s="13"/>
      <c r="W216" s="13"/>
      <c r="X216" s="13"/>
      <c r="Y216" s="13"/>
      <c r="Z216" s="14"/>
      <c r="AA216" s="14"/>
      <c r="AB216" s="15"/>
      <c r="AC216" s="15"/>
    </row>
    <row r="217" spans="1:29" x14ac:dyDescent="0.2">
      <c r="A217" s="11"/>
      <c r="B217" s="12"/>
      <c r="C217" s="13"/>
      <c r="D217" s="13"/>
      <c r="E217" s="13"/>
      <c r="F217" s="13"/>
      <c r="G217" s="12"/>
      <c r="H217" s="14"/>
      <c r="I217" s="14"/>
      <c r="J217" s="14"/>
      <c r="K217" s="12"/>
      <c r="L217" s="13"/>
      <c r="M217" s="12"/>
      <c r="N217" s="12"/>
      <c r="O217" s="12"/>
      <c r="P217" s="12"/>
      <c r="Q217" s="12"/>
      <c r="R217" s="12"/>
      <c r="T217" s="15"/>
      <c r="U217" s="16"/>
      <c r="V217" s="13"/>
      <c r="W217" s="13"/>
      <c r="X217" s="13"/>
      <c r="Y217" s="13"/>
      <c r="Z217" s="14"/>
      <c r="AA217" s="14"/>
      <c r="AB217" s="15"/>
      <c r="AC217" s="15"/>
    </row>
    <row r="218" spans="1:29" x14ac:dyDescent="0.2">
      <c r="A218" s="11"/>
      <c r="B218" s="12"/>
      <c r="C218" s="13"/>
      <c r="D218" s="13"/>
      <c r="E218" s="13"/>
      <c r="F218" s="13"/>
      <c r="G218" s="12"/>
      <c r="H218" s="14"/>
      <c r="I218" s="14"/>
      <c r="J218" s="14"/>
      <c r="K218" s="12"/>
      <c r="L218" s="13"/>
      <c r="M218" s="12"/>
      <c r="N218" s="12"/>
      <c r="O218" s="12"/>
      <c r="P218" s="12"/>
      <c r="Q218" s="12"/>
      <c r="R218" s="12"/>
      <c r="T218" s="15"/>
      <c r="U218" s="16"/>
      <c r="V218" s="13"/>
      <c r="W218" s="13"/>
      <c r="X218" s="13"/>
      <c r="Y218" s="13"/>
      <c r="Z218" s="14"/>
      <c r="AA218" s="14"/>
      <c r="AB218" s="15"/>
      <c r="AC218" s="15"/>
    </row>
    <row r="219" spans="1:29" x14ac:dyDescent="0.2">
      <c r="A219" s="11"/>
      <c r="B219" s="12"/>
      <c r="C219" s="13"/>
      <c r="D219" s="13"/>
      <c r="E219" s="13"/>
      <c r="F219" s="13"/>
      <c r="G219" s="12"/>
      <c r="H219" s="14"/>
      <c r="I219" s="14"/>
      <c r="J219" s="14"/>
      <c r="K219" s="12"/>
      <c r="L219" s="13"/>
      <c r="M219" s="12"/>
      <c r="N219" s="12"/>
      <c r="O219" s="12"/>
      <c r="P219" s="12"/>
      <c r="Q219" s="12"/>
      <c r="R219" s="12"/>
      <c r="T219" s="15"/>
      <c r="U219" s="16"/>
      <c r="V219" s="13"/>
      <c r="W219" s="13"/>
      <c r="X219" s="13"/>
      <c r="Y219" s="13"/>
      <c r="Z219" s="14"/>
      <c r="AA219" s="14"/>
      <c r="AB219" s="15"/>
      <c r="AC219" s="15"/>
    </row>
    <row r="220" spans="1:29" x14ac:dyDescent="0.2">
      <c r="A220" s="11"/>
      <c r="B220" s="12"/>
      <c r="C220" s="13"/>
      <c r="D220" s="13"/>
      <c r="E220" s="13"/>
      <c r="F220" s="13"/>
      <c r="G220" s="12"/>
      <c r="H220" s="14"/>
      <c r="I220" s="14"/>
      <c r="J220" s="14"/>
      <c r="K220" s="12"/>
      <c r="L220" s="13"/>
      <c r="M220" s="12"/>
      <c r="N220" s="12"/>
      <c r="O220" s="12"/>
      <c r="P220" s="12"/>
      <c r="Q220" s="12"/>
      <c r="R220" s="12"/>
      <c r="T220" s="15"/>
      <c r="U220" s="16"/>
      <c r="V220" s="13"/>
      <c r="W220" s="13"/>
      <c r="X220" s="13"/>
      <c r="Y220" s="13"/>
      <c r="Z220" s="14"/>
      <c r="AA220" s="14"/>
      <c r="AB220" s="15"/>
      <c r="AC220" s="15"/>
    </row>
    <row r="221" spans="1:29" x14ac:dyDescent="0.2">
      <c r="A221" s="11"/>
      <c r="B221" s="12"/>
      <c r="C221" s="13"/>
      <c r="D221" s="13"/>
      <c r="E221" s="13"/>
      <c r="F221" s="13"/>
      <c r="G221" s="12"/>
      <c r="H221" s="14"/>
      <c r="I221" s="14"/>
      <c r="J221" s="14"/>
      <c r="K221" s="12"/>
      <c r="L221" s="13"/>
      <c r="M221" s="12"/>
      <c r="N221" s="12"/>
      <c r="O221" s="12"/>
      <c r="P221" s="12"/>
      <c r="Q221" s="12"/>
      <c r="R221" s="12"/>
      <c r="T221" s="15"/>
      <c r="U221" s="16"/>
      <c r="V221" s="13"/>
      <c r="W221" s="13"/>
      <c r="X221" s="13"/>
      <c r="Y221" s="13"/>
      <c r="Z221" s="14"/>
      <c r="AA221" s="14"/>
      <c r="AB221" s="15"/>
      <c r="AC221" s="15"/>
    </row>
    <row r="222" spans="1:29" x14ac:dyDescent="0.2">
      <c r="A222" s="11"/>
      <c r="B222" s="12"/>
      <c r="C222" s="13"/>
      <c r="D222" s="13"/>
      <c r="E222" s="13"/>
      <c r="F222" s="13"/>
      <c r="G222" s="12"/>
      <c r="H222" s="14"/>
      <c r="I222" s="14"/>
      <c r="J222" s="14"/>
      <c r="K222" s="12"/>
      <c r="L222" s="13"/>
      <c r="M222" s="12"/>
      <c r="N222" s="12"/>
      <c r="O222" s="12"/>
      <c r="P222" s="12"/>
      <c r="Q222" s="12"/>
      <c r="R222" s="12"/>
      <c r="T222" s="15"/>
      <c r="U222" s="16"/>
      <c r="V222" s="13"/>
      <c r="W222" s="13"/>
      <c r="X222" s="13"/>
      <c r="Y222" s="13"/>
      <c r="Z222" s="14"/>
      <c r="AA222" s="14"/>
      <c r="AB222" s="15"/>
      <c r="AC222" s="15"/>
    </row>
    <row r="223" spans="1:29" x14ac:dyDescent="0.2">
      <c r="A223" s="11"/>
      <c r="B223" s="12"/>
      <c r="C223" s="13"/>
      <c r="D223" s="13"/>
      <c r="E223" s="13"/>
      <c r="F223" s="13"/>
      <c r="G223" s="12"/>
      <c r="H223" s="14"/>
      <c r="I223" s="14"/>
      <c r="J223" s="14"/>
      <c r="K223" s="12"/>
      <c r="L223" s="13"/>
      <c r="M223" s="12"/>
      <c r="N223" s="12"/>
      <c r="O223" s="12"/>
      <c r="P223" s="12"/>
      <c r="Q223" s="12"/>
      <c r="R223" s="12"/>
      <c r="T223" s="15"/>
      <c r="U223" s="16"/>
      <c r="V223" s="13"/>
      <c r="W223" s="13"/>
      <c r="X223" s="13"/>
      <c r="Y223" s="13"/>
      <c r="Z223" s="14"/>
      <c r="AA223" s="14"/>
      <c r="AB223" s="15"/>
      <c r="AC223" s="15"/>
    </row>
    <row r="224" spans="1:29" x14ac:dyDescent="0.2">
      <c r="A224" s="11"/>
      <c r="B224" s="12"/>
      <c r="C224" s="13"/>
      <c r="D224" s="13"/>
      <c r="E224" s="13"/>
      <c r="F224" s="13"/>
      <c r="G224" s="12"/>
      <c r="H224" s="14"/>
      <c r="I224" s="14"/>
      <c r="J224" s="14"/>
      <c r="K224" s="12"/>
      <c r="L224" s="13"/>
      <c r="M224" s="12"/>
      <c r="N224" s="12"/>
      <c r="O224" s="12"/>
      <c r="P224" s="12"/>
      <c r="Q224" s="12"/>
      <c r="R224" s="12"/>
      <c r="T224" s="15"/>
      <c r="U224" s="16"/>
      <c r="V224" s="13"/>
      <c r="W224" s="13"/>
      <c r="X224" s="13"/>
      <c r="Y224" s="13"/>
      <c r="Z224" s="14"/>
      <c r="AA224" s="14"/>
      <c r="AB224" s="15"/>
      <c r="AC224" s="15"/>
    </row>
    <row r="225" spans="1:29" x14ac:dyDescent="0.2">
      <c r="A225" s="11"/>
      <c r="B225" s="12"/>
      <c r="C225" s="13"/>
      <c r="D225" s="13"/>
      <c r="E225" s="13"/>
      <c r="F225" s="13"/>
      <c r="G225" s="12"/>
      <c r="H225" s="14"/>
      <c r="I225" s="14"/>
      <c r="J225" s="14"/>
      <c r="K225" s="12"/>
      <c r="L225" s="13"/>
      <c r="M225" s="12"/>
      <c r="N225" s="12"/>
      <c r="O225" s="12"/>
      <c r="P225" s="12"/>
      <c r="Q225" s="12"/>
      <c r="R225" s="12"/>
      <c r="T225" s="15"/>
      <c r="U225" s="16"/>
      <c r="V225" s="13"/>
      <c r="W225" s="13"/>
      <c r="X225" s="13"/>
      <c r="Y225" s="13"/>
      <c r="Z225" s="14"/>
      <c r="AA225" s="14"/>
      <c r="AB225" s="15"/>
      <c r="AC225" s="15"/>
    </row>
    <row r="226" spans="1:29" x14ac:dyDescent="0.2">
      <c r="A226" s="11"/>
      <c r="B226" s="12"/>
      <c r="C226" s="13"/>
      <c r="D226" s="13"/>
      <c r="E226" s="13"/>
      <c r="F226" s="13"/>
      <c r="G226" s="12"/>
      <c r="H226" s="14"/>
      <c r="I226" s="14"/>
      <c r="J226" s="14"/>
      <c r="K226" s="12"/>
      <c r="L226" s="13"/>
      <c r="M226" s="12"/>
      <c r="N226" s="12"/>
      <c r="O226" s="12"/>
      <c r="P226" s="12"/>
      <c r="Q226" s="12"/>
      <c r="R226" s="12"/>
      <c r="T226" s="15"/>
      <c r="U226" s="16"/>
      <c r="V226" s="13"/>
      <c r="W226" s="13"/>
      <c r="X226" s="13"/>
      <c r="Y226" s="13"/>
      <c r="Z226" s="14"/>
      <c r="AA226" s="14"/>
      <c r="AB226" s="15"/>
      <c r="AC226" s="15"/>
    </row>
    <row r="227" spans="1:29" x14ac:dyDescent="0.2">
      <c r="A227" s="11"/>
      <c r="B227" s="12"/>
      <c r="C227" s="13"/>
      <c r="D227" s="13"/>
      <c r="E227" s="13"/>
      <c r="F227" s="13"/>
      <c r="G227" s="12"/>
      <c r="H227" s="14"/>
      <c r="I227" s="14"/>
      <c r="J227" s="14"/>
      <c r="K227" s="12"/>
      <c r="L227" s="13"/>
      <c r="M227" s="12"/>
      <c r="N227" s="12"/>
      <c r="O227" s="12"/>
      <c r="P227" s="12"/>
      <c r="Q227" s="12"/>
      <c r="R227" s="12"/>
      <c r="T227" s="15"/>
      <c r="U227" s="16"/>
      <c r="V227" s="13"/>
      <c r="W227" s="13"/>
      <c r="X227" s="13"/>
      <c r="Y227" s="13"/>
      <c r="Z227" s="14"/>
      <c r="AA227" s="14"/>
      <c r="AB227" s="15"/>
      <c r="AC227" s="15"/>
    </row>
    <row r="228" spans="1:29" x14ac:dyDescent="0.2">
      <c r="A228" s="11"/>
      <c r="B228" s="12"/>
      <c r="C228" s="13"/>
      <c r="D228" s="13"/>
      <c r="E228" s="13"/>
      <c r="F228" s="13"/>
      <c r="G228" s="12"/>
      <c r="H228" s="14"/>
      <c r="I228" s="14"/>
      <c r="J228" s="14"/>
      <c r="K228" s="12"/>
      <c r="L228" s="13"/>
      <c r="M228" s="12"/>
      <c r="N228" s="12"/>
      <c r="O228" s="12"/>
      <c r="P228" s="12"/>
      <c r="Q228" s="12"/>
      <c r="R228" s="12"/>
      <c r="T228" s="15"/>
      <c r="U228" s="16"/>
      <c r="V228" s="13"/>
      <c r="W228" s="13"/>
      <c r="X228" s="13"/>
      <c r="Y228" s="13"/>
      <c r="Z228" s="14"/>
      <c r="AA228" s="14"/>
      <c r="AB228" s="15"/>
      <c r="AC228" s="15"/>
    </row>
    <row r="229" spans="1:29" x14ac:dyDescent="0.2">
      <c r="A229" s="11"/>
      <c r="B229" s="12"/>
      <c r="C229" s="13"/>
      <c r="D229" s="13"/>
      <c r="E229" s="13"/>
      <c r="F229" s="13"/>
      <c r="G229" s="12"/>
      <c r="H229" s="14"/>
      <c r="I229" s="14"/>
      <c r="J229" s="14"/>
      <c r="K229" s="12"/>
      <c r="L229" s="13"/>
      <c r="M229" s="12"/>
      <c r="N229" s="12"/>
      <c r="O229" s="12"/>
      <c r="P229" s="12"/>
      <c r="Q229" s="12"/>
      <c r="R229" s="12"/>
      <c r="T229" s="15"/>
      <c r="U229" s="16"/>
      <c r="V229" s="13"/>
      <c r="W229" s="13"/>
      <c r="X229" s="13"/>
      <c r="Y229" s="13"/>
      <c r="Z229" s="14"/>
      <c r="AA229" s="14"/>
      <c r="AB229" s="15"/>
      <c r="AC229" s="15"/>
    </row>
    <row r="230" spans="1:29" x14ac:dyDescent="0.2">
      <c r="A230" s="11"/>
      <c r="B230" s="12"/>
      <c r="C230" s="13"/>
      <c r="D230" s="13"/>
      <c r="E230" s="13"/>
      <c r="F230" s="13"/>
      <c r="G230" s="12"/>
      <c r="H230" s="14"/>
      <c r="I230" s="14"/>
      <c r="J230" s="14"/>
      <c r="K230" s="12"/>
      <c r="L230" s="13"/>
      <c r="M230" s="12"/>
      <c r="N230" s="12"/>
      <c r="O230" s="12"/>
      <c r="P230" s="12"/>
      <c r="Q230" s="12"/>
      <c r="R230" s="12"/>
      <c r="T230" s="15"/>
      <c r="U230" s="16"/>
      <c r="V230" s="13"/>
      <c r="W230" s="13"/>
      <c r="X230" s="13"/>
      <c r="Y230" s="13"/>
      <c r="Z230" s="14"/>
      <c r="AA230" s="14"/>
      <c r="AB230" s="15"/>
      <c r="AC230" s="15"/>
    </row>
    <row r="231" spans="1:29" x14ac:dyDescent="0.2">
      <c r="A231" s="11"/>
      <c r="B231" s="12"/>
      <c r="C231" s="13"/>
      <c r="D231" s="13"/>
      <c r="E231" s="13"/>
      <c r="F231" s="13"/>
      <c r="G231" s="12"/>
      <c r="H231" s="14"/>
      <c r="I231" s="14"/>
      <c r="J231" s="14"/>
      <c r="K231" s="12"/>
      <c r="L231" s="13"/>
      <c r="M231" s="12"/>
      <c r="N231" s="12"/>
      <c r="O231" s="12"/>
      <c r="P231" s="12"/>
      <c r="Q231" s="12"/>
      <c r="R231" s="12"/>
      <c r="T231" s="15"/>
      <c r="U231" s="16"/>
      <c r="V231" s="13"/>
      <c r="W231" s="13"/>
      <c r="X231" s="13"/>
      <c r="Y231" s="13"/>
      <c r="Z231" s="14"/>
      <c r="AA231" s="14"/>
      <c r="AB231" s="15"/>
      <c r="AC231" s="15"/>
    </row>
    <row r="232" spans="1:29" x14ac:dyDescent="0.2">
      <c r="A232" s="11"/>
      <c r="B232" s="12"/>
      <c r="C232" s="13"/>
      <c r="D232" s="13"/>
      <c r="E232" s="13"/>
      <c r="F232" s="13"/>
      <c r="G232" s="12"/>
      <c r="H232" s="14"/>
      <c r="I232" s="14"/>
      <c r="J232" s="14"/>
      <c r="K232" s="12"/>
      <c r="L232" s="13"/>
      <c r="M232" s="12"/>
      <c r="N232" s="12"/>
      <c r="O232" s="12"/>
      <c r="P232" s="12"/>
      <c r="Q232" s="12"/>
      <c r="R232" s="12"/>
      <c r="T232" s="15"/>
      <c r="U232" s="16"/>
      <c r="V232" s="13"/>
      <c r="W232" s="13"/>
      <c r="X232" s="13"/>
      <c r="Y232" s="13"/>
      <c r="Z232" s="14"/>
      <c r="AA232" s="14"/>
      <c r="AB232" s="15"/>
      <c r="AC232" s="15"/>
    </row>
    <row r="233" spans="1:29" x14ac:dyDescent="0.2">
      <c r="A233" s="11"/>
      <c r="B233" s="12"/>
      <c r="C233" s="13"/>
      <c r="D233" s="13"/>
      <c r="E233" s="13"/>
      <c r="F233" s="13"/>
      <c r="G233" s="12"/>
      <c r="H233" s="14"/>
      <c r="I233" s="14"/>
      <c r="J233" s="14"/>
      <c r="K233" s="12"/>
      <c r="L233" s="13"/>
      <c r="M233" s="12"/>
      <c r="N233" s="12"/>
      <c r="O233" s="12"/>
      <c r="P233" s="12"/>
      <c r="Q233" s="12"/>
      <c r="R233" s="12"/>
      <c r="T233" s="15"/>
      <c r="U233" s="16"/>
      <c r="V233" s="13"/>
      <c r="W233" s="13"/>
      <c r="X233" s="13"/>
      <c r="Y233" s="13"/>
      <c r="Z233" s="14"/>
      <c r="AA233" s="14"/>
      <c r="AB233" s="15"/>
      <c r="AC233" s="15"/>
    </row>
    <row r="234" spans="1:29" x14ac:dyDescent="0.2">
      <c r="A234" s="11"/>
      <c r="B234" s="12"/>
      <c r="C234" s="13"/>
      <c r="D234" s="13"/>
      <c r="E234" s="13"/>
      <c r="F234" s="13"/>
      <c r="G234" s="12"/>
      <c r="H234" s="14"/>
      <c r="I234" s="14"/>
      <c r="J234" s="14"/>
      <c r="K234" s="12"/>
      <c r="L234" s="13"/>
      <c r="M234" s="12"/>
      <c r="N234" s="12"/>
      <c r="O234" s="12"/>
      <c r="P234" s="12"/>
      <c r="Q234" s="12"/>
      <c r="R234" s="12"/>
      <c r="T234" s="15"/>
      <c r="U234" s="16"/>
      <c r="V234" s="13"/>
      <c r="W234" s="13"/>
      <c r="X234" s="13"/>
      <c r="Y234" s="13"/>
      <c r="Z234" s="14"/>
      <c r="AA234" s="14"/>
      <c r="AB234" s="15"/>
      <c r="AC234" s="15"/>
    </row>
    <row r="235" spans="1:29" x14ac:dyDescent="0.2">
      <c r="A235" s="11"/>
      <c r="B235" s="12"/>
      <c r="C235" s="13"/>
      <c r="D235" s="13"/>
      <c r="E235" s="13"/>
      <c r="F235" s="13"/>
      <c r="G235" s="12"/>
      <c r="H235" s="14"/>
      <c r="I235" s="14"/>
      <c r="J235" s="14"/>
      <c r="K235" s="12"/>
      <c r="L235" s="13"/>
      <c r="M235" s="12"/>
      <c r="N235" s="12"/>
      <c r="O235" s="12"/>
      <c r="P235" s="12"/>
      <c r="Q235" s="12"/>
      <c r="R235" s="12"/>
      <c r="T235" s="15"/>
      <c r="U235" s="16"/>
      <c r="V235" s="13"/>
      <c r="W235" s="13"/>
      <c r="X235" s="13"/>
      <c r="Y235" s="13"/>
      <c r="Z235" s="14"/>
      <c r="AA235" s="14"/>
      <c r="AB235" s="15"/>
      <c r="AC235" s="15"/>
    </row>
    <row r="236" spans="1:29" x14ac:dyDescent="0.2">
      <c r="A236" s="11"/>
      <c r="B236" s="12"/>
      <c r="C236" s="13"/>
      <c r="D236" s="13"/>
      <c r="E236" s="13"/>
      <c r="F236" s="13"/>
      <c r="G236" s="12"/>
      <c r="H236" s="14"/>
      <c r="I236" s="14"/>
      <c r="J236" s="14"/>
      <c r="K236" s="12"/>
      <c r="L236" s="13"/>
      <c r="M236" s="12"/>
      <c r="N236" s="12"/>
      <c r="O236" s="12"/>
      <c r="P236" s="12"/>
      <c r="Q236" s="12"/>
      <c r="R236" s="12"/>
      <c r="T236" s="15"/>
      <c r="U236" s="16"/>
      <c r="V236" s="13"/>
      <c r="W236" s="13"/>
      <c r="X236" s="13"/>
      <c r="Y236" s="13"/>
      <c r="Z236" s="14"/>
      <c r="AA236" s="14"/>
      <c r="AB236" s="15"/>
      <c r="AC236" s="15"/>
    </row>
    <row r="237" spans="1:29" x14ac:dyDescent="0.2">
      <c r="A237" s="11"/>
      <c r="B237" s="12"/>
      <c r="C237" s="13"/>
      <c r="D237" s="13"/>
      <c r="E237" s="13"/>
      <c r="F237" s="13"/>
      <c r="G237" s="12"/>
      <c r="H237" s="14"/>
      <c r="I237" s="14"/>
      <c r="J237" s="14"/>
      <c r="K237" s="12"/>
      <c r="L237" s="13"/>
      <c r="M237" s="12"/>
      <c r="N237" s="12"/>
      <c r="O237" s="12"/>
      <c r="P237" s="12"/>
      <c r="Q237" s="12"/>
      <c r="R237" s="12"/>
      <c r="T237" s="15"/>
      <c r="U237" s="16"/>
      <c r="V237" s="13"/>
      <c r="W237" s="13"/>
      <c r="X237" s="13"/>
      <c r="Y237" s="13"/>
      <c r="Z237" s="14"/>
      <c r="AA237" s="14"/>
      <c r="AB237" s="15"/>
      <c r="AC237" s="15"/>
    </row>
    <row r="238" spans="1:29" x14ac:dyDescent="0.2">
      <c r="A238" s="11"/>
      <c r="B238" s="12"/>
      <c r="C238" s="13"/>
      <c r="D238" s="13"/>
      <c r="E238" s="13"/>
      <c r="F238" s="13"/>
      <c r="G238" s="12"/>
      <c r="H238" s="14"/>
      <c r="I238" s="14"/>
      <c r="J238" s="14"/>
      <c r="K238" s="12"/>
      <c r="L238" s="13"/>
      <c r="M238" s="12"/>
      <c r="N238" s="12"/>
      <c r="O238" s="12"/>
      <c r="P238" s="12"/>
      <c r="Q238" s="12"/>
      <c r="R238" s="12"/>
      <c r="T238" s="15"/>
      <c r="U238" s="16"/>
      <c r="V238" s="13"/>
      <c r="W238" s="13"/>
      <c r="X238" s="13"/>
      <c r="Y238" s="13"/>
      <c r="Z238" s="14"/>
      <c r="AA238" s="14"/>
      <c r="AB238" s="15"/>
      <c r="AC238" s="15"/>
    </row>
    <row r="239" spans="1:29" x14ac:dyDescent="0.2">
      <c r="A239" s="11"/>
      <c r="B239" s="12"/>
      <c r="C239" s="13"/>
      <c r="D239" s="13"/>
      <c r="E239" s="13"/>
      <c r="F239" s="13"/>
      <c r="G239" s="12"/>
      <c r="H239" s="14"/>
      <c r="I239" s="14"/>
      <c r="J239" s="14"/>
      <c r="K239" s="12"/>
      <c r="L239" s="13"/>
      <c r="M239" s="12"/>
      <c r="N239" s="12"/>
      <c r="O239" s="12"/>
      <c r="P239" s="12"/>
      <c r="Q239" s="12"/>
      <c r="R239" s="12"/>
      <c r="T239" s="15"/>
      <c r="U239" s="16"/>
      <c r="V239" s="13"/>
      <c r="W239" s="13"/>
      <c r="X239" s="13"/>
      <c r="Y239" s="13"/>
      <c r="Z239" s="14"/>
      <c r="AA239" s="14"/>
      <c r="AB239" s="15"/>
      <c r="AC239" s="15"/>
    </row>
    <row r="240" spans="1:29" x14ac:dyDescent="0.2">
      <c r="A240" s="11"/>
      <c r="B240" s="12"/>
      <c r="C240" s="13"/>
      <c r="D240" s="13"/>
      <c r="E240" s="13"/>
      <c r="F240" s="13"/>
      <c r="G240" s="12"/>
      <c r="H240" s="14"/>
      <c r="I240" s="14"/>
      <c r="J240" s="14"/>
      <c r="K240" s="12"/>
      <c r="L240" s="13"/>
      <c r="M240" s="12"/>
      <c r="N240" s="12"/>
      <c r="O240" s="12"/>
      <c r="P240" s="12"/>
      <c r="Q240" s="12"/>
      <c r="R240" s="12"/>
      <c r="T240" s="15"/>
      <c r="U240" s="16"/>
      <c r="V240" s="13"/>
      <c r="W240" s="13"/>
      <c r="X240" s="13"/>
      <c r="Y240" s="13"/>
      <c r="Z240" s="14"/>
      <c r="AA240" s="14"/>
      <c r="AB240" s="15"/>
      <c r="AC240" s="15"/>
    </row>
    <row r="241" spans="1:29" x14ac:dyDescent="0.2">
      <c r="A241" s="11"/>
      <c r="B241" s="12"/>
      <c r="C241" s="13"/>
      <c r="D241" s="13"/>
      <c r="E241" s="13"/>
      <c r="F241" s="13"/>
      <c r="G241" s="12"/>
      <c r="H241" s="14"/>
      <c r="I241" s="14"/>
      <c r="J241" s="14"/>
      <c r="K241" s="12"/>
      <c r="L241" s="13"/>
      <c r="M241" s="12"/>
      <c r="N241" s="12"/>
      <c r="O241" s="12"/>
      <c r="P241" s="12"/>
      <c r="Q241" s="12"/>
      <c r="R241" s="12"/>
      <c r="T241" s="15"/>
      <c r="U241" s="16"/>
      <c r="V241" s="13"/>
      <c r="W241" s="13"/>
      <c r="X241" s="13"/>
      <c r="Y241" s="13"/>
      <c r="Z241" s="14"/>
      <c r="AA241" s="14"/>
      <c r="AB241" s="15"/>
      <c r="AC241" s="15"/>
    </row>
    <row r="242" spans="1:29" x14ac:dyDescent="0.2">
      <c r="A242" s="11"/>
      <c r="B242" s="12"/>
      <c r="C242" s="13"/>
      <c r="D242" s="13"/>
      <c r="E242" s="13"/>
      <c r="F242" s="13"/>
      <c r="G242" s="12"/>
      <c r="H242" s="14"/>
      <c r="I242" s="14"/>
      <c r="J242" s="14"/>
      <c r="K242" s="12"/>
      <c r="L242" s="13"/>
      <c r="M242" s="12"/>
      <c r="N242" s="12"/>
      <c r="O242" s="12"/>
      <c r="P242" s="12"/>
      <c r="Q242" s="12"/>
      <c r="R242" s="12"/>
      <c r="T242" s="15"/>
      <c r="U242" s="16"/>
      <c r="V242" s="13"/>
      <c r="W242" s="13"/>
      <c r="X242" s="13"/>
      <c r="Y242" s="13"/>
      <c r="Z242" s="14"/>
      <c r="AA242" s="14"/>
      <c r="AB242" s="15"/>
      <c r="AC242" s="15"/>
    </row>
    <row r="243" spans="1:29" x14ac:dyDescent="0.2">
      <c r="A243" s="11"/>
      <c r="B243" s="12"/>
      <c r="C243" s="13"/>
      <c r="D243" s="13"/>
      <c r="E243" s="13"/>
      <c r="F243" s="13"/>
      <c r="G243" s="12"/>
      <c r="H243" s="14"/>
      <c r="I243" s="14"/>
      <c r="J243" s="14"/>
      <c r="K243" s="12"/>
      <c r="L243" s="13"/>
      <c r="M243" s="12"/>
      <c r="N243" s="12"/>
      <c r="O243" s="12"/>
      <c r="P243" s="12"/>
      <c r="Q243" s="12"/>
      <c r="R243" s="12"/>
      <c r="T243" s="15"/>
      <c r="U243" s="16"/>
      <c r="V243" s="13"/>
      <c r="W243" s="13"/>
      <c r="X243" s="13"/>
      <c r="Y243" s="13"/>
      <c r="Z243" s="14"/>
      <c r="AA243" s="14"/>
      <c r="AB243" s="15"/>
      <c r="AC243" s="15"/>
    </row>
    <row r="244" spans="1:29" x14ac:dyDescent="0.2">
      <c r="A244" s="11"/>
      <c r="B244" s="12"/>
      <c r="C244" s="13"/>
      <c r="D244" s="13"/>
      <c r="E244" s="13"/>
      <c r="F244" s="13"/>
      <c r="G244" s="12"/>
      <c r="H244" s="14"/>
      <c r="I244" s="14"/>
      <c r="J244" s="14"/>
      <c r="K244" s="12"/>
      <c r="L244" s="13"/>
      <c r="M244" s="12"/>
      <c r="N244" s="12"/>
      <c r="O244" s="12"/>
      <c r="P244" s="12"/>
      <c r="Q244" s="12"/>
      <c r="R244" s="12"/>
      <c r="T244" s="15"/>
      <c r="U244" s="16"/>
      <c r="V244" s="13"/>
      <c r="W244" s="13"/>
      <c r="X244" s="13"/>
      <c r="Y244" s="13"/>
      <c r="Z244" s="14"/>
      <c r="AA244" s="14"/>
      <c r="AB244" s="15"/>
      <c r="AC244" s="15"/>
    </row>
    <row r="245" spans="1:29" x14ac:dyDescent="0.2">
      <c r="A245" s="11"/>
      <c r="B245" s="12"/>
      <c r="C245" s="13"/>
      <c r="D245" s="13"/>
      <c r="E245" s="13"/>
      <c r="F245" s="13"/>
      <c r="G245" s="12"/>
      <c r="H245" s="14"/>
      <c r="I245" s="14"/>
      <c r="J245" s="14"/>
      <c r="K245" s="12"/>
      <c r="L245" s="13"/>
      <c r="M245" s="12"/>
      <c r="N245" s="12"/>
      <c r="O245" s="12"/>
      <c r="P245" s="12"/>
      <c r="Q245" s="12"/>
      <c r="R245" s="12"/>
      <c r="T245" s="15"/>
      <c r="U245" s="16"/>
      <c r="V245" s="13"/>
      <c r="W245" s="13"/>
      <c r="X245" s="13"/>
      <c r="Y245" s="13"/>
      <c r="Z245" s="14"/>
      <c r="AA245" s="14"/>
      <c r="AB245" s="15"/>
      <c r="AC245" s="15"/>
    </row>
    <row r="246" spans="1:29" x14ac:dyDescent="0.2">
      <c r="A246" s="11"/>
      <c r="B246" s="12"/>
      <c r="C246" s="13"/>
      <c r="D246" s="13"/>
      <c r="E246" s="13"/>
      <c r="F246" s="13"/>
      <c r="G246" s="12"/>
      <c r="H246" s="14"/>
      <c r="I246" s="14"/>
      <c r="J246" s="14"/>
      <c r="K246" s="12"/>
      <c r="L246" s="13"/>
      <c r="M246" s="12"/>
      <c r="N246" s="12"/>
      <c r="O246" s="12"/>
      <c r="P246" s="12"/>
      <c r="Q246" s="12"/>
      <c r="R246" s="12"/>
      <c r="T246" s="15"/>
      <c r="U246" s="16"/>
      <c r="V246" s="13"/>
      <c r="W246" s="13"/>
      <c r="X246" s="13"/>
      <c r="Y246" s="13"/>
      <c r="Z246" s="14"/>
      <c r="AA246" s="14"/>
      <c r="AB246" s="15"/>
      <c r="AC246" s="15"/>
    </row>
    <row r="247" spans="1:29" x14ac:dyDescent="0.2">
      <c r="A247" s="11"/>
      <c r="B247" s="12"/>
      <c r="C247" s="13"/>
      <c r="D247" s="13"/>
      <c r="E247" s="13"/>
      <c r="F247" s="13"/>
      <c r="G247" s="12"/>
      <c r="H247" s="14"/>
      <c r="I247" s="14"/>
      <c r="J247" s="14"/>
      <c r="K247" s="12"/>
      <c r="L247" s="13"/>
      <c r="M247" s="12"/>
      <c r="N247" s="12"/>
      <c r="O247" s="12"/>
      <c r="P247" s="12"/>
      <c r="Q247" s="12"/>
      <c r="R247" s="12"/>
      <c r="T247" s="15"/>
      <c r="U247" s="16"/>
      <c r="V247" s="13"/>
      <c r="W247" s="13"/>
      <c r="X247" s="13"/>
      <c r="Y247" s="13"/>
      <c r="Z247" s="14"/>
      <c r="AA247" s="14"/>
      <c r="AB247" s="15"/>
      <c r="AC247" s="15"/>
    </row>
    <row r="248" spans="1:29" x14ac:dyDescent="0.2">
      <c r="A248" s="11"/>
      <c r="B248" s="12"/>
      <c r="C248" s="13"/>
      <c r="D248" s="13"/>
      <c r="E248" s="13"/>
      <c r="F248" s="13"/>
      <c r="G248" s="12"/>
      <c r="H248" s="14"/>
      <c r="I248" s="14"/>
      <c r="J248" s="14"/>
      <c r="K248" s="12"/>
      <c r="L248" s="13"/>
      <c r="M248" s="12"/>
      <c r="N248" s="12"/>
      <c r="O248" s="12"/>
      <c r="P248" s="12"/>
      <c r="Q248" s="12"/>
      <c r="R248" s="12"/>
      <c r="T248" s="15"/>
      <c r="U248" s="16"/>
      <c r="V248" s="13"/>
      <c r="W248" s="13"/>
      <c r="X248" s="13"/>
      <c r="Y248" s="13"/>
      <c r="Z248" s="14"/>
      <c r="AA248" s="14"/>
      <c r="AB248" s="15"/>
      <c r="AC248" s="15"/>
    </row>
    <row r="249" spans="1:29" x14ac:dyDescent="0.2">
      <c r="A249" s="11"/>
      <c r="B249" s="12"/>
      <c r="C249" s="13"/>
      <c r="D249" s="13"/>
      <c r="E249" s="13"/>
      <c r="F249" s="13"/>
      <c r="G249" s="12"/>
      <c r="H249" s="14"/>
      <c r="I249" s="14"/>
      <c r="J249" s="14"/>
      <c r="K249" s="12"/>
      <c r="L249" s="13"/>
      <c r="M249" s="12"/>
      <c r="N249" s="12"/>
      <c r="O249" s="12"/>
      <c r="P249" s="12"/>
      <c r="Q249" s="12"/>
      <c r="R249" s="12"/>
      <c r="T249" s="15"/>
      <c r="U249" s="16"/>
      <c r="V249" s="13"/>
      <c r="W249" s="13"/>
      <c r="X249" s="13"/>
      <c r="Y249" s="13"/>
      <c r="Z249" s="14"/>
      <c r="AA249" s="14"/>
      <c r="AB249" s="15"/>
      <c r="AC249" s="15"/>
    </row>
    <row r="250" spans="1:29" x14ac:dyDescent="0.2">
      <c r="A250" s="11"/>
      <c r="B250" s="12"/>
      <c r="C250" s="13"/>
      <c r="D250" s="13"/>
      <c r="E250" s="13"/>
      <c r="F250" s="13"/>
      <c r="G250" s="12"/>
      <c r="H250" s="14"/>
      <c r="I250" s="14"/>
      <c r="J250" s="14"/>
      <c r="K250" s="12"/>
      <c r="L250" s="13"/>
      <c r="M250" s="12"/>
      <c r="N250" s="12"/>
      <c r="O250" s="12"/>
      <c r="P250" s="12"/>
      <c r="Q250" s="12"/>
      <c r="R250" s="12"/>
      <c r="T250" s="15"/>
      <c r="U250" s="16"/>
      <c r="V250" s="13"/>
      <c r="W250" s="13"/>
      <c r="X250" s="13"/>
      <c r="Y250" s="13"/>
      <c r="Z250" s="14"/>
      <c r="AA250" s="14"/>
      <c r="AB250" s="15"/>
      <c r="AC250" s="15"/>
    </row>
    <row r="251" spans="1:29" x14ac:dyDescent="0.2">
      <c r="A251" s="11"/>
      <c r="B251" s="12"/>
      <c r="C251" s="13"/>
      <c r="D251" s="13"/>
      <c r="E251" s="13"/>
      <c r="F251" s="13"/>
      <c r="G251" s="12"/>
      <c r="H251" s="14"/>
      <c r="I251" s="14"/>
      <c r="J251" s="14"/>
      <c r="K251" s="12"/>
      <c r="L251" s="13"/>
      <c r="M251" s="12"/>
      <c r="N251" s="12"/>
      <c r="O251" s="12"/>
      <c r="P251" s="12"/>
      <c r="Q251" s="12"/>
      <c r="R251" s="12"/>
      <c r="T251" s="15"/>
      <c r="U251" s="16"/>
      <c r="V251" s="13"/>
      <c r="W251" s="13"/>
      <c r="X251" s="13"/>
      <c r="Y251" s="13"/>
      <c r="Z251" s="14"/>
      <c r="AA251" s="14"/>
      <c r="AB251" s="15"/>
      <c r="AC251" s="15"/>
    </row>
    <row r="252" spans="1:29" x14ac:dyDescent="0.2">
      <c r="A252" s="11"/>
      <c r="B252" s="12"/>
      <c r="C252" s="13"/>
      <c r="D252" s="13"/>
      <c r="E252" s="13"/>
      <c r="F252" s="13"/>
      <c r="G252" s="12"/>
      <c r="H252" s="14"/>
      <c r="I252" s="14"/>
      <c r="J252" s="14"/>
      <c r="K252" s="12"/>
      <c r="L252" s="13"/>
      <c r="M252" s="12"/>
      <c r="N252" s="12"/>
      <c r="O252" s="12"/>
      <c r="P252" s="12"/>
      <c r="Q252" s="12"/>
      <c r="R252" s="12"/>
      <c r="T252" s="15"/>
      <c r="U252" s="16"/>
      <c r="V252" s="13"/>
      <c r="W252" s="13"/>
      <c r="X252" s="13"/>
      <c r="Y252" s="13"/>
      <c r="Z252" s="14"/>
      <c r="AA252" s="14"/>
      <c r="AB252" s="15"/>
      <c r="AC252" s="15"/>
    </row>
    <row r="253" spans="1:29" x14ac:dyDescent="0.2">
      <c r="A253" s="11"/>
      <c r="B253" s="12"/>
      <c r="C253" s="13"/>
      <c r="D253" s="13"/>
      <c r="E253" s="13"/>
      <c r="F253" s="13"/>
      <c r="G253" s="12"/>
      <c r="H253" s="14"/>
      <c r="I253" s="14"/>
      <c r="J253" s="14"/>
      <c r="K253" s="12"/>
      <c r="L253" s="13"/>
      <c r="M253" s="12"/>
      <c r="N253" s="12"/>
      <c r="O253" s="12"/>
      <c r="P253" s="12"/>
      <c r="Q253" s="12"/>
      <c r="R253" s="12"/>
      <c r="T253" s="15"/>
      <c r="U253" s="16"/>
      <c r="V253" s="13"/>
      <c r="W253" s="13"/>
      <c r="X253" s="13"/>
      <c r="Y253" s="13"/>
      <c r="Z253" s="14"/>
      <c r="AA253" s="14"/>
      <c r="AB253" s="15"/>
      <c r="AC253" s="15"/>
    </row>
    <row r="254" spans="1:29" x14ac:dyDescent="0.2">
      <c r="A254" s="11"/>
      <c r="B254" s="12"/>
      <c r="C254" s="13"/>
      <c r="D254" s="13"/>
      <c r="E254" s="13"/>
      <c r="F254" s="13"/>
      <c r="G254" s="12"/>
      <c r="H254" s="14"/>
      <c r="I254" s="14"/>
      <c r="J254" s="14"/>
      <c r="K254" s="12"/>
      <c r="L254" s="13"/>
      <c r="M254" s="12"/>
      <c r="N254" s="12"/>
      <c r="O254" s="12"/>
      <c r="P254" s="12"/>
      <c r="Q254" s="12"/>
      <c r="R254" s="12"/>
      <c r="T254" s="15"/>
      <c r="U254" s="16"/>
      <c r="V254" s="13"/>
      <c r="W254" s="13"/>
      <c r="X254" s="13"/>
      <c r="Y254" s="13"/>
      <c r="Z254" s="14"/>
      <c r="AA254" s="14"/>
      <c r="AB254" s="15"/>
      <c r="AC254" s="15"/>
    </row>
    <row r="255" spans="1:29" x14ac:dyDescent="0.2">
      <c r="A255" s="11"/>
      <c r="B255" s="12"/>
      <c r="C255" s="13"/>
      <c r="D255" s="13"/>
      <c r="E255" s="13"/>
      <c r="F255" s="13"/>
      <c r="G255" s="12"/>
      <c r="H255" s="14"/>
      <c r="I255" s="14"/>
      <c r="J255" s="14"/>
      <c r="K255" s="12"/>
      <c r="L255" s="13"/>
      <c r="M255" s="12"/>
      <c r="N255" s="12"/>
      <c r="O255" s="12"/>
      <c r="P255" s="12"/>
      <c r="Q255" s="12"/>
      <c r="R255" s="12"/>
      <c r="T255" s="15"/>
      <c r="U255" s="16"/>
      <c r="V255" s="13"/>
      <c r="W255" s="13"/>
      <c r="X255" s="13"/>
      <c r="Y255" s="13"/>
      <c r="Z255" s="14"/>
      <c r="AA255" s="14"/>
      <c r="AB255" s="15"/>
      <c r="AC255" s="15"/>
    </row>
    <row r="256" spans="1:29" x14ac:dyDescent="0.2">
      <c r="A256" s="11"/>
      <c r="B256" s="12"/>
      <c r="C256" s="13"/>
      <c r="D256" s="13"/>
      <c r="E256" s="13"/>
      <c r="F256" s="13"/>
      <c r="G256" s="12"/>
      <c r="H256" s="14"/>
      <c r="I256" s="14"/>
      <c r="J256" s="14"/>
      <c r="K256" s="12"/>
      <c r="L256" s="13"/>
      <c r="M256" s="12"/>
      <c r="N256" s="12"/>
      <c r="O256" s="12"/>
      <c r="P256" s="12"/>
      <c r="Q256" s="12"/>
      <c r="R256" s="12"/>
      <c r="T256" s="15"/>
      <c r="U256" s="16"/>
      <c r="V256" s="13"/>
      <c r="W256" s="13"/>
      <c r="X256" s="13"/>
      <c r="Y256" s="13"/>
      <c r="Z256" s="14"/>
      <c r="AA256" s="14"/>
      <c r="AB256" s="15"/>
      <c r="AC256" s="15"/>
    </row>
    <row r="257" spans="1:29" x14ac:dyDescent="0.2">
      <c r="A257" s="11"/>
      <c r="B257" s="12"/>
      <c r="C257" s="13"/>
      <c r="D257" s="13"/>
      <c r="E257" s="13"/>
      <c r="F257" s="13"/>
      <c r="G257" s="12"/>
      <c r="H257" s="14"/>
      <c r="I257" s="14"/>
      <c r="J257" s="14"/>
      <c r="K257" s="12"/>
      <c r="L257" s="13"/>
      <c r="M257" s="12"/>
      <c r="N257" s="12"/>
      <c r="O257" s="12"/>
      <c r="P257" s="12"/>
      <c r="Q257" s="12"/>
      <c r="R257" s="12"/>
      <c r="T257" s="15"/>
      <c r="U257" s="16"/>
      <c r="V257" s="13"/>
      <c r="W257" s="13"/>
      <c r="X257" s="13"/>
      <c r="Y257" s="13"/>
      <c r="Z257" s="14"/>
      <c r="AA257" s="14"/>
      <c r="AB257" s="15"/>
      <c r="AC257" s="15"/>
    </row>
    <row r="258" spans="1:29" x14ac:dyDescent="0.2">
      <c r="A258" s="11"/>
      <c r="B258" s="12"/>
      <c r="C258" s="13"/>
      <c r="D258" s="13"/>
      <c r="E258" s="13"/>
      <c r="F258" s="13"/>
      <c r="G258" s="12"/>
      <c r="H258" s="14"/>
      <c r="I258" s="14"/>
      <c r="J258" s="14"/>
      <c r="K258" s="12"/>
      <c r="L258" s="13"/>
      <c r="M258" s="12"/>
      <c r="N258" s="12"/>
      <c r="O258" s="12"/>
      <c r="P258" s="12"/>
      <c r="Q258" s="12"/>
      <c r="R258" s="12"/>
      <c r="T258" s="15"/>
      <c r="U258" s="16"/>
      <c r="V258" s="13"/>
      <c r="W258" s="13"/>
      <c r="X258" s="13"/>
      <c r="Y258" s="13"/>
      <c r="Z258" s="14"/>
      <c r="AA258" s="14"/>
      <c r="AB258" s="15"/>
      <c r="AC258" s="15"/>
    </row>
    <row r="259" spans="1:29" x14ac:dyDescent="0.2">
      <c r="A259" s="11"/>
      <c r="B259" s="12"/>
      <c r="C259" s="13"/>
      <c r="D259" s="13"/>
      <c r="E259" s="13"/>
      <c r="F259" s="13"/>
      <c r="G259" s="12"/>
      <c r="H259" s="14"/>
      <c r="I259" s="14"/>
      <c r="J259" s="14"/>
      <c r="K259" s="12"/>
      <c r="L259" s="13"/>
      <c r="M259" s="12"/>
      <c r="N259" s="12"/>
      <c r="O259" s="12"/>
      <c r="P259" s="12"/>
      <c r="Q259" s="12"/>
      <c r="R259" s="12"/>
      <c r="T259" s="15"/>
      <c r="U259" s="16"/>
      <c r="V259" s="13"/>
      <c r="W259" s="13"/>
      <c r="X259" s="13"/>
      <c r="Y259" s="13"/>
      <c r="Z259" s="14"/>
      <c r="AA259" s="14"/>
      <c r="AB259" s="15"/>
      <c r="AC259" s="15"/>
    </row>
    <row r="260" spans="1:29" x14ac:dyDescent="0.2">
      <c r="A260" s="11"/>
      <c r="B260" s="12"/>
      <c r="C260" s="13"/>
      <c r="D260" s="13"/>
      <c r="E260" s="13"/>
      <c r="F260" s="13"/>
      <c r="G260" s="12"/>
      <c r="H260" s="14"/>
      <c r="I260" s="14"/>
      <c r="J260" s="14"/>
      <c r="K260" s="12"/>
      <c r="L260" s="13"/>
      <c r="M260" s="12"/>
      <c r="N260" s="12"/>
      <c r="O260" s="12"/>
      <c r="P260" s="12"/>
      <c r="Q260" s="12"/>
      <c r="R260" s="12"/>
      <c r="T260" s="15"/>
      <c r="U260" s="16"/>
      <c r="V260" s="13"/>
      <c r="W260" s="13"/>
      <c r="X260" s="13"/>
      <c r="Y260" s="13"/>
      <c r="Z260" s="14"/>
      <c r="AA260" s="14"/>
      <c r="AB260" s="15"/>
      <c r="AC260" s="15"/>
    </row>
    <row r="261" spans="1:29" x14ac:dyDescent="0.2">
      <c r="A261" s="11"/>
      <c r="B261" s="12"/>
      <c r="C261" s="13"/>
      <c r="D261" s="13"/>
      <c r="E261" s="13"/>
      <c r="F261" s="13"/>
      <c r="G261" s="12"/>
      <c r="H261" s="14"/>
      <c r="I261" s="14"/>
      <c r="J261" s="14"/>
      <c r="K261" s="12"/>
      <c r="L261" s="13"/>
      <c r="M261" s="12"/>
      <c r="N261" s="12"/>
      <c r="O261" s="12"/>
      <c r="P261" s="12"/>
      <c r="Q261" s="12"/>
      <c r="R261" s="12"/>
      <c r="T261" s="15"/>
      <c r="U261" s="16"/>
      <c r="V261" s="13"/>
      <c r="W261" s="13"/>
      <c r="X261" s="13"/>
      <c r="Y261" s="13"/>
      <c r="Z261" s="14"/>
      <c r="AA261" s="14"/>
      <c r="AB261" s="15"/>
      <c r="AC261" s="15"/>
    </row>
    <row r="262" spans="1:29" x14ac:dyDescent="0.2">
      <c r="A262" s="11"/>
      <c r="B262" s="12"/>
      <c r="C262" s="13"/>
      <c r="D262" s="13"/>
      <c r="E262" s="13"/>
      <c r="F262" s="13"/>
      <c r="G262" s="12"/>
      <c r="H262" s="14"/>
      <c r="I262" s="14"/>
      <c r="J262" s="14"/>
      <c r="K262" s="12"/>
      <c r="L262" s="13"/>
      <c r="M262" s="12"/>
      <c r="N262" s="12"/>
      <c r="O262" s="12"/>
      <c r="P262" s="12"/>
      <c r="Q262" s="12"/>
      <c r="R262" s="12"/>
      <c r="T262" s="15"/>
      <c r="U262" s="16"/>
      <c r="V262" s="13"/>
      <c r="W262" s="13"/>
      <c r="X262" s="13"/>
      <c r="Y262" s="13"/>
      <c r="Z262" s="14"/>
      <c r="AA262" s="14"/>
      <c r="AB262" s="15"/>
      <c r="AC262" s="15"/>
    </row>
    <row r="263" spans="1:29" x14ac:dyDescent="0.2">
      <c r="A263" s="11"/>
      <c r="B263" s="12"/>
      <c r="C263" s="13"/>
      <c r="D263" s="13"/>
      <c r="E263" s="13"/>
      <c r="F263" s="13"/>
      <c r="G263" s="12"/>
      <c r="H263" s="14"/>
      <c r="I263" s="14"/>
      <c r="J263" s="14"/>
      <c r="K263" s="12"/>
      <c r="L263" s="13"/>
      <c r="M263" s="12"/>
      <c r="N263" s="12"/>
      <c r="O263" s="12"/>
      <c r="P263" s="12"/>
      <c r="Q263" s="12"/>
      <c r="R263" s="12"/>
      <c r="T263" s="15"/>
      <c r="U263" s="16"/>
      <c r="V263" s="13"/>
      <c r="W263" s="13"/>
      <c r="X263" s="13"/>
      <c r="Y263" s="13"/>
      <c r="Z263" s="14"/>
      <c r="AA263" s="14"/>
      <c r="AB263" s="15"/>
      <c r="AC263" s="15"/>
    </row>
    <row r="264" spans="1:29" x14ac:dyDescent="0.2">
      <c r="A264" s="11"/>
      <c r="B264" s="12"/>
      <c r="C264" s="13"/>
      <c r="D264" s="13"/>
      <c r="E264" s="13"/>
      <c r="F264" s="13"/>
      <c r="G264" s="12"/>
      <c r="H264" s="14"/>
      <c r="I264" s="14"/>
      <c r="J264" s="14"/>
      <c r="K264" s="12"/>
      <c r="L264" s="13"/>
      <c r="M264" s="12"/>
      <c r="N264" s="12"/>
      <c r="O264" s="12"/>
      <c r="P264" s="12"/>
      <c r="Q264" s="12"/>
      <c r="R264" s="12"/>
      <c r="T264" s="15"/>
      <c r="U264" s="16"/>
      <c r="V264" s="13"/>
      <c r="W264" s="13"/>
      <c r="X264" s="13"/>
      <c r="Y264" s="13"/>
      <c r="Z264" s="14"/>
      <c r="AA264" s="14"/>
      <c r="AB264" s="15"/>
      <c r="AC264" s="15"/>
    </row>
    <row r="265" spans="1:29" x14ac:dyDescent="0.2">
      <c r="A265" s="11"/>
      <c r="B265" s="12"/>
      <c r="C265" s="13"/>
      <c r="D265" s="13"/>
      <c r="E265" s="13"/>
      <c r="F265" s="13"/>
      <c r="G265" s="12"/>
      <c r="H265" s="14"/>
      <c r="I265" s="14"/>
      <c r="J265" s="14"/>
      <c r="K265" s="12"/>
      <c r="L265" s="13"/>
      <c r="M265" s="12"/>
      <c r="N265" s="12"/>
      <c r="O265" s="12"/>
      <c r="P265" s="12"/>
      <c r="Q265" s="12"/>
      <c r="R265" s="12"/>
      <c r="T265" s="15"/>
      <c r="U265" s="16"/>
      <c r="V265" s="13"/>
      <c r="W265" s="13"/>
      <c r="X265" s="13"/>
      <c r="Y265" s="13"/>
      <c r="Z265" s="14"/>
      <c r="AA265" s="14"/>
      <c r="AB265" s="15"/>
      <c r="AC265" s="15"/>
    </row>
    <row r="266" spans="1:29" x14ac:dyDescent="0.2">
      <c r="A266" s="11"/>
      <c r="B266" s="12"/>
      <c r="C266" s="13"/>
      <c r="D266" s="13"/>
      <c r="E266" s="13"/>
      <c r="F266" s="13"/>
      <c r="G266" s="12"/>
      <c r="H266" s="14"/>
      <c r="I266" s="14"/>
      <c r="J266" s="14"/>
      <c r="K266" s="12"/>
      <c r="L266" s="13"/>
      <c r="M266" s="12"/>
      <c r="N266" s="12"/>
      <c r="O266" s="12"/>
      <c r="P266" s="12"/>
      <c r="Q266" s="12"/>
      <c r="R266" s="12"/>
      <c r="T266" s="15"/>
      <c r="U266" s="16"/>
      <c r="V266" s="13"/>
      <c r="W266" s="13"/>
      <c r="X266" s="13"/>
      <c r="Y266" s="13"/>
      <c r="Z266" s="14"/>
      <c r="AA266" s="14"/>
      <c r="AB266" s="15"/>
      <c r="AC266" s="15"/>
    </row>
    <row r="267" spans="1:29" x14ac:dyDescent="0.2">
      <c r="A267" s="11"/>
      <c r="B267" s="12"/>
      <c r="C267" s="13"/>
      <c r="D267" s="13"/>
      <c r="E267" s="13"/>
      <c r="F267" s="13"/>
      <c r="G267" s="12"/>
      <c r="H267" s="14"/>
      <c r="I267" s="14"/>
      <c r="J267" s="14"/>
      <c r="K267" s="12"/>
      <c r="L267" s="13"/>
      <c r="M267" s="12"/>
      <c r="N267" s="12"/>
      <c r="O267" s="12"/>
      <c r="P267" s="12"/>
      <c r="Q267" s="12"/>
      <c r="R267" s="12"/>
      <c r="T267" s="15"/>
      <c r="U267" s="16"/>
      <c r="V267" s="13"/>
      <c r="W267" s="13"/>
      <c r="X267" s="13"/>
      <c r="Y267" s="13"/>
      <c r="Z267" s="14"/>
      <c r="AA267" s="14"/>
      <c r="AB267" s="15"/>
      <c r="AC267" s="15"/>
    </row>
    <row r="268" spans="1:29" x14ac:dyDescent="0.2">
      <c r="A268" s="11"/>
      <c r="B268" s="12"/>
      <c r="C268" s="13"/>
      <c r="D268" s="13"/>
      <c r="E268" s="13"/>
      <c r="F268" s="13"/>
      <c r="G268" s="12"/>
      <c r="H268" s="14"/>
      <c r="I268" s="14"/>
      <c r="J268" s="14"/>
      <c r="K268" s="12"/>
      <c r="L268" s="13"/>
      <c r="M268" s="12"/>
      <c r="N268" s="12"/>
      <c r="O268" s="12"/>
      <c r="P268" s="12"/>
      <c r="Q268" s="12"/>
      <c r="R268" s="12"/>
      <c r="T268" s="15"/>
      <c r="U268" s="16"/>
      <c r="V268" s="13"/>
      <c r="W268" s="13"/>
      <c r="X268" s="13"/>
      <c r="Y268" s="13"/>
      <c r="Z268" s="14"/>
      <c r="AA268" s="14"/>
      <c r="AB268" s="15"/>
      <c r="AC268" s="15"/>
    </row>
    <row r="269" spans="1:29" x14ac:dyDescent="0.2">
      <c r="A269" s="11"/>
      <c r="B269" s="12"/>
      <c r="C269" s="13"/>
      <c r="D269" s="13"/>
      <c r="E269" s="13"/>
      <c r="F269" s="13"/>
      <c r="G269" s="12"/>
      <c r="H269" s="14"/>
      <c r="I269" s="14"/>
      <c r="J269" s="14"/>
      <c r="K269" s="12"/>
      <c r="L269" s="13"/>
      <c r="M269" s="12"/>
      <c r="N269" s="12"/>
      <c r="O269" s="12"/>
      <c r="P269" s="12"/>
      <c r="Q269" s="12"/>
      <c r="R269" s="12"/>
      <c r="T269" s="15"/>
      <c r="U269" s="16"/>
      <c r="V269" s="13"/>
      <c r="W269" s="13"/>
      <c r="X269" s="13"/>
      <c r="Y269" s="13"/>
      <c r="Z269" s="14"/>
      <c r="AA269" s="14"/>
      <c r="AB269" s="15"/>
      <c r="AC269" s="15"/>
    </row>
    <row r="270" spans="1:29" x14ac:dyDescent="0.2">
      <c r="A270" s="11"/>
      <c r="B270" s="12"/>
      <c r="C270" s="13"/>
      <c r="D270" s="13"/>
      <c r="E270" s="13"/>
      <c r="F270" s="13"/>
      <c r="G270" s="12"/>
      <c r="H270" s="14"/>
      <c r="I270" s="14"/>
      <c r="J270" s="14"/>
      <c r="K270" s="12"/>
      <c r="L270" s="13"/>
      <c r="M270" s="12"/>
      <c r="N270" s="12"/>
      <c r="O270" s="12"/>
      <c r="P270" s="12"/>
      <c r="Q270" s="12"/>
      <c r="R270" s="12"/>
      <c r="T270" s="15"/>
      <c r="U270" s="16"/>
      <c r="V270" s="13"/>
      <c r="W270" s="13"/>
      <c r="X270" s="13"/>
      <c r="Y270" s="13"/>
      <c r="Z270" s="14"/>
      <c r="AA270" s="14"/>
      <c r="AB270" s="15"/>
      <c r="AC270" s="15"/>
    </row>
    <row r="271" spans="1:29" x14ac:dyDescent="0.2">
      <c r="A271" s="11"/>
      <c r="B271" s="12"/>
      <c r="C271" s="13"/>
      <c r="D271" s="13"/>
      <c r="E271" s="13"/>
      <c r="F271" s="13"/>
      <c r="G271" s="12"/>
      <c r="H271" s="14"/>
      <c r="I271" s="14"/>
      <c r="J271" s="14"/>
      <c r="K271" s="12"/>
      <c r="L271" s="13"/>
      <c r="M271" s="12"/>
      <c r="N271" s="12"/>
      <c r="O271" s="12"/>
      <c r="P271" s="12"/>
      <c r="Q271" s="12"/>
      <c r="R271" s="12"/>
      <c r="T271" s="15"/>
      <c r="U271" s="16"/>
      <c r="V271" s="13"/>
      <c r="W271" s="13"/>
      <c r="X271" s="13"/>
      <c r="Y271" s="13"/>
      <c r="Z271" s="14"/>
      <c r="AA271" s="14"/>
      <c r="AB271" s="15"/>
      <c r="AC271" s="15"/>
    </row>
    <row r="272" spans="1:29" x14ac:dyDescent="0.2">
      <c r="A272" s="11"/>
      <c r="B272" s="12"/>
      <c r="C272" s="13"/>
      <c r="D272" s="13"/>
      <c r="E272" s="13"/>
      <c r="F272" s="13"/>
      <c r="G272" s="12"/>
      <c r="H272" s="14"/>
      <c r="I272" s="14"/>
      <c r="J272" s="14"/>
      <c r="K272" s="12"/>
      <c r="L272" s="13"/>
      <c r="M272" s="12"/>
      <c r="N272" s="12"/>
      <c r="O272" s="12"/>
      <c r="P272" s="12"/>
      <c r="Q272" s="12"/>
      <c r="R272" s="12"/>
      <c r="T272" s="15"/>
      <c r="U272" s="16"/>
      <c r="V272" s="13"/>
      <c r="W272" s="13"/>
      <c r="X272" s="13"/>
      <c r="Y272" s="13"/>
      <c r="Z272" s="14"/>
      <c r="AA272" s="14"/>
      <c r="AB272" s="15"/>
      <c r="AC272" s="15"/>
    </row>
    <row r="273" spans="1:29" x14ac:dyDescent="0.2">
      <c r="A273" s="11"/>
      <c r="B273" s="12"/>
      <c r="C273" s="13"/>
      <c r="D273" s="13"/>
      <c r="E273" s="13"/>
      <c r="F273" s="13"/>
      <c r="G273" s="12"/>
      <c r="H273" s="14"/>
      <c r="I273" s="14"/>
      <c r="J273" s="14"/>
      <c r="K273" s="12"/>
      <c r="L273" s="13"/>
      <c r="M273" s="12"/>
      <c r="N273" s="12"/>
      <c r="O273" s="12"/>
      <c r="P273" s="12"/>
      <c r="Q273" s="12"/>
      <c r="R273" s="12"/>
      <c r="T273" s="15"/>
      <c r="U273" s="16"/>
      <c r="V273" s="13"/>
      <c r="W273" s="13"/>
      <c r="X273" s="13"/>
      <c r="Y273" s="13"/>
      <c r="Z273" s="14"/>
      <c r="AA273" s="14"/>
      <c r="AB273" s="15"/>
      <c r="AC273" s="15"/>
    </row>
    <row r="274" spans="1:29" x14ac:dyDescent="0.2">
      <c r="A274" s="11"/>
      <c r="B274" s="12"/>
      <c r="C274" s="13"/>
      <c r="D274" s="13"/>
      <c r="E274" s="13"/>
      <c r="F274" s="13"/>
      <c r="G274" s="12"/>
      <c r="H274" s="14"/>
      <c r="I274" s="14"/>
      <c r="J274" s="14"/>
      <c r="K274" s="12"/>
      <c r="L274" s="13"/>
      <c r="M274" s="12"/>
      <c r="N274" s="12"/>
      <c r="O274" s="12"/>
      <c r="P274" s="12"/>
      <c r="Q274" s="12"/>
      <c r="R274" s="12"/>
      <c r="T274" s="15"/>
      <c r="U274" s="16"/>
      <c r="V274" s="13"/>
      <c r="W274" s="13"/>
      <c r="X274" s="13"/>
      <c r="Y274" s="13"/>
      <c r="Z274" s="14"/>
      <c r="AA274" s="14"/>
      <c r="AB274" s="15"/>
      <c r="AC274" s="15"/>
    </row>
    <row r="275" spans="1:29" x14ac:dyDescent="0.2">
      <c r="A275" s="11"/>
      <c r="B275" s="12"/>
      <c r="C275" s="13"/>
      <c r="D275" s="13"/>
      <c r="E275" s="13"/>
      <c r="F275" s="13"/>
      <c r="G275" s="12"/>
      <c r="H275" s="14"/>
      <c r="I275" s="14"/>
      <c r="J275" s="14"/>
      <c r="K275" s="12"/>
      <c r="L275" s="13"/>
      <c r="M275" s="12"/>
      <c r="N275" s="12"/>
      <c r="O275" s="12"/>
      <c r="P275" s="12"/>
      <c r="Q275" s="12"/>
      <c r="R275" s="12"/>
      <c r="T275" s="15"/>
      <c r="U275" s="16"/>
      <c r="V275" s="13"/>
      <c r="W275" s="13"/>
      <c r="X275" s="13"/>
      <c r="Y275" s="13"/>
      <c r="Z275" s="14"/>
      <c r="AA275" s="14"/>
      <c r="AB275" s="15"/>
      <c r="AC275" s="15"/>
    </row>
    <row r="276" spans="1:29" x14ac:dyDescent="0.2">
      <c r="A276" s="11"/>
      <c r="B276" s="12"/>
      <c r="C276" s="13"/>
      <c r="D276" s="13"/>
      <c r="E276" s="13"/>
      <c r="F276" s="13"/>
      <c r="G276" s="12"/>
      <c r="H276" s="14"/>
      <c r="I276" s="14"/>
      <c r="J276" s="14"/>
      <c r="K276" s="12"/>
      <c r="L276" s="13"/>
      <c r="M276" s="12"/>
      <c r="N276" s="12"/>
      <c r="O276" s="12"/>
      <c r="P276" s="12"/>
      <c r="Q276" s="12"/>
      <c r="R276" s="12"/>
      <c r="T276" s="15"/>
      <c r="U276" s="16"/>
      <c r="V276" s="13"/>
      <c r="W276" s="13"/>
      <c r="X276" s="13"/>
      <c r="Y276" s="13"/>
      <c r="Z276" s="14"/>
      <c r="AA276" s="14"/>
      <c r="AB276" s="15"/>
      <c r="AC276" s="15"/>
    </row>
    <row r="277" spans="1:29" x14ac:dyDescent="0.2">
      <c r="A277" s="11"/>
      <c r="B277" s="12"/>
      <c r="C277" s="13"/>
      <c r="D277" s="13"/>
      <c r="E277" s="13"/>
      <c r="F277" s="13"/>
      <c r="G277" s="12"/>
      <c r="H277" s="14"/>
      <c r="I277" s="14"/>
      <c r="J277" s="14"/>
      <c r="K277" s="12"/>
      <c r="L277" s="13"/>
      <c r="M277" s="12"/>
      <c r="N277" s="12"/>
      <c r="O277" s="12"/>
      <c r="P277" s="12"/>
      <c r="Q277" s="12"/>
      <c r="R277" s="12"/>
      <c r="T277" s="15"/>
      <c r="U277" s="16"/>
      <c r="V277" s="13"/>
      <c r="W277" s="13"/>
      <c r="X277" s="13"/>
      <c r="Y277" s="13"/>
      <c r="Z277" s="14"/>
      <c r="AA277" s="14"/>
      <c r="AB277" s="15"/>
      <c r="AC277" s="15"/>
    </row>
    <row r="278" spans="1:29" x14ac:dyDescent="0.2">
      <c r="A278" s="11"/>
      <c r="B278" s="12"/>
      <c r="C278" s="13"/>
      <c r="D278" s="13"/>
      <c r="E278" s="13"/>
      <c r="F278" s="13"/>
      <c r="G278" s="12"/>
      <c r="H278" s="14"/>
      <c r="I278" s="14"/>
      <c r="J278" s="14"/>
      <c r="K278" s="12"/>
      <c r="L278" s="13"/>
      <c r="M278" s="12"/>
      <c r="N278" s="12"/>
      <c r="O278" s="12"/>
      <c r="P278" s="12"/>
      <c r="Q278" s="12"/>
      <c r="R278" s="12"/>
      <c r="T278" s="15"/>
      <c r="U278" s="16"/>
      <c r="V278" s="13"/>
      <c r="W278" s="13"/>
      <c r="X278" s="13"/>
      <c r="Y278" s="13"/>
      <c r="Z278" s="14"/>
      <c r="AA278" s="14"/>
      <c r="AB278" s="15"/>
      <c r="AC278" s="15"/>
    </row>
    <row r="279" spans="1:29" x14ac:dyDescent="0.2">
      <c r="A279" s="11"/>
      <c r="B279" s="12"/>
      <c r="C279" s="13"/>
      <c r="D279" s="13"/>
      <c r="E279" s="13"/>
      <c r="F279" s="13"/>
      <c r="G279" s="12"/>
      <c r="H279" s="14"/>
      <c r="I279" s="14"/>
      <c r="J279" s="14"/>
      <c r="K279" s="12"/>
      <c r="L279" s="13"/>
      <c r="M279" s="12"/>
      <c r="N279" s="12"/>
      <c r="O279" s="12"/>
      <c r="P279" s="12"/>
      <c r="Q279" s="12"/>
      <c r="R279" s="12"/>
      <c r="T279" s="15"/>
      <c r="U279" s="16"/>
      <c r="V279" s="13"/>
      <c r="W279" s="13"/>
      <c r="X279" s="13"/>
      <c r="Y279" s="13"/>
      <c r="Z279" s="14"/>
      <c r="AA279" s="14"/>
      <c r="AB279" s="15"/>
      <c r="AC279" s="15"/>
    </row>
    <row r="280" spans="1:29" x14ac:dyDescent="0.2">
      <c r="A280" s="11"/>
      <c r="B280" s="12"/>
      <c r="C280" s="13"/>
      <c r="D280" s="13"/>
      <c r="E280" s="13"/>
      <c r="F280" s="13"/>
      <c r="G280" s="12"/>
      <c r="H280" s="14"/>
      <c r="I280" s="14"/>
      <c r="J280" s="14"/>
      <c r="K280" s="12"/>
      <c r="L280" s="13"/>
      <c r="M280" s="12"/>
      <c r="N280" s="12"/>
      <c r="O280" s="12"/>
      <c r="P280" s="12"/>
      <c r="Q280" s="12"/>
      <c r="R280" s="12"/>
      <c r="T280" s="15"/>
      <c r="U280" s="16"/>
      <c r="V280" s="13"/>
      <c r="W280" s="13"/>
      <c r="X280" s="13"/>
      <c r="Y280" s="13"/>
      <c r="Z280" s="14"/>
      <c r="AA280" s="14"/>
      <c r="AB280" s="15"/>
      <c r="AC280" s="15"/>
    </row>
    <row r="281" spans="1:29" x14ac:dyDescent="0.2">
      <c r="A281" s="11"/>
      <c r="B281" s="12"/>
      <c r="C281" s="13"/>
      <c r="D281" s="13"/>
      <c r="E281" s="13"/>
      <c r="F281" s="13"/>
      <c r="G281" s="12"/>
      <c r="H281" s="14"/>
      <c r="I281" s="14"/>
      <c r="J281" s="14"/>
      <c r="K281" s="12"/>
      <c r="L281" s="13"/>
      <c r="M281" s="12"/>
      <c r="N281" s="12"/>
      <c r="O281" s="12"/>
      <c r="P281" s="12"/>
      <c r="Q281" s="12"/>
      <c r="R281" s="12"/>
      <c r="T281" s="15"/>
      <c r="U281" s="16"/>
      <c r="V281" s="13"/>
      <c r="W281" s="13"/>
      <c r="X281" s="13"/>
      <c r="Y281" s="13"/>
      <c r="Z281" s="14"/>
      <c r="AA281" s="14"/>
      <c r="AB281" s="15"/>
      <c r="AC281" s="15"/>
    </row>
    <row r="282" spans="1:29" x14ac:dyDescent="0.2">
      <c r="A282" s="11"/>
      <c r="B282" s="12"/>
      <c r="C282" s="13"/>
      <c r="D282" s="13"/>
      <c r="E282" s="13"/>
      <c r="F282" s="13"/>
      <c r="G282" s="12"/>
      <c r="H282" s="14"/>
      <c r="I282" s="14"/>
      <c r="J282" s="14"/>
      <c r="K282" s="12"/>
      <c r="L282" s="13"/>
      <c r="M282" s="12"/>
      <c r="N282" s="12"/>
      <c r="O282" s="12"/>
      <c r="P282" s="12"/>
      <c r="Q282" s="12"/>
      <c r="R282" s="12"/>
      <c r="T282" s="15"/>
      <c r="U282" s="16"/>
      <c r="V282" s="13"/>
      <c r="W282" s="13"/>
      <c r="X282" s="13"/>
      <c r="Y282" s="13"/>
      <c r="Z282" s="14"/>
      <c r="AA282" s="14"/>
      <c r="AB282" s="15"/>
      <c r="AC282" s="15"/>
    </row>
    <row r="283" spans="1:29" x14ac:dyDescent="0.2">
      <c r="A283" s="11"/>
      <c r="B283" s="12"/>
      <c r="C283" s="13"/>
      <c r="D283" s="13"/>
      <c r="E283" s="13"/>
      <c r="F283" s="13"/>
      <c r="G283" s="12"/>
      <c r="H283" s="14"/>
      <c r="I283" s="14"/>
      <c r="J283" s="14"/>
      <c r="K283" s="12"/>
      <c r="L283" s="13"/>
      <c r="M283" s="12"/>
      <c r="N283" s="12"/>
      <c r="O283" s="12"/>
      <c r="P283" s="12"/>
      <c r="Q283" s="12"/>
      <c r="R283" s="12"/>
      <c r="T283" s="15"/>
      <c r="U283" s="16"/>
      <c r="V283" s="13"/>
      <c r="W283" s="13"/>
      <c r="X283" s="13"/>
      <c r="Y283" s="13"/>
      <c r="Z283" s="14"/>
      <c r="AA283" s="14"/>
      <c r="AB283" s="15"/>
      <c r="AC283" s="15"/>
    </row>
    <row r="284" spans="1:29" x14ac:dyDescent="0.2">
      <c r="A284" s="11"/>
      <c r="B284" s="12"/>
      <c r="C284" s="13"/>
      <c r="D284" s="13"/>
      <c r="E284" s="13"/>
      <c r="F284" s="13"/>
      <c r="G284" s="12"/>
      <c r="H284" s="14"/>
      <c r="I284" s="14"/>
      <c r="J284" s="14"/>
      <c r="K284" s="12"/>
      <c r="L284" s="13"/>
      <c r="M284" s="12"/>
      <c r="N284" s="12"/>
      <c r="O284" s="12"/>
      <c r="P284" s="12"/>
      <c r="Q284" s="12"/>
      <c r="R284" s="12"/>
      <c r="T284" s="15"/>
      <c r="U284" s="16"/>
      <c r="V284" s="13"/>
      <c r="W284" s="13"/>
      <c r="X284" s="13"/>
      <c r="Y284" s="13"/>
      <c r="Z284" s="14"/>
      <c r="AA284" s="14"/>
      <c r="AB284" s="15"/>
      <c r="AC284" s="15"/>
    </row>
    <row r="285" spans="1:29" x14ac:dyDescent="0.2">
      <c r="A285" s="11"/>
      <c r="B285" s="12"/>
      <c r="C285" s="13"/>
      <c r="D285" s="13"/>
      <c r="E285" s="13"/>
      <c r="F285" s="13"/>
      <c r="G285" s="12"/>
      <c r="H285" s="14"/>
      <c r="I285" s="14"/>
      <c r="J285" s="14"/>
      <c r="K285" s="12"/>
      <c r="L285" s="13"/>
      <c r="M285" s="12"/>
      <c r="N285" s="12"/>
      <c r="O285" s="12"/>
      <c r="P285" s="12"/>
      <c r="Q285" s="12"/>
      <c r="R285" s="12"/>
      <c r="T285" s="15"/>
      <c r="U285" s="16"/>
      <c r="V285" s="13"/>
      <c r="W285" s="13"/>
      <c r="X285" s="13"/>
      <c r="Y285" s="13"/>
      <c r="Z285" s="14"/>
      <c r="AA285" s="14"/>
      <c r="AB285" s="15"/>
      <c r="AC285" s="15"/>
    </row>
    <row r="286" spans="1:29" x14ac:dyDescent="0.2">
      <c r="A286" s="11"/>
      <c r="B286" s="12"/>
      <c r="C286" s="13"/>
      <c r="D286" s="13"/>
      <c r="E286" s="13"/>
      <c r="F286" s="13"/>
      <c r="G286" s="12"/>
      <c r="H286" s="14"/>
      <c r="I286" s="14"/>
      <c r="J286" s="14"/>
      <c r="K286" s="12"/>
      <c r="L286" s="13"/>
      <c r="M286" s="12"/>
      <c r="N286" s="12"/>
      <c r="O286" s="12"/>
      <c r="P286" s="12"/>
      <c r="Q286" s="12"/>
      <c r="R286" s="12"/>
      <c r="T286" s="15"/>
      <c r="U286" s="16"/>
      <c r="V286" s="13"/>
      <c r="W286" s="13"/>
      <c r="X286" s="13"/>
      <c r="Y286" s="13"/>
      <c r="Z286" s="14"/>
      <c r="AA286" s="14"/>
      <c r="AB286" s="15"/>
      <c r="AC286" s="15"/>
    </row>
    <row r="287" spans="1:29" x14ac:dyDescent="0.2">
      <c r="A287" s="11"/>
      <c r="B287" s="12"/>
      <c r="C287" s="13"/>
      <c r="D287" s="13"/>
      <c r="E287" s="13"/>
      <c r="F287" s="13"/>
      <c r="G287" s="12"/>
      <c r="H287" s="14"/>
      <c r="I287" s="14"/>
      <c r="J287" s="14"/>
      <c r="K287" s="12"/>
      <c r="L287" s="13"/>
      <c r="M287" s="12"/>
      <c r="N287" s="12"/>
      <c r="O287" s="12"/>
      <c r="P287" s="12"/>
      <c r="Q287" s="12"/>
      <c r="R287" s="12"/>
      <c r="T287" s="15"/>
      <c r="U287" s="16"/>
      <c r="V287" s="13"/>
      <c r="W287" s="13"/>
      <c r="X287" s="13"/>
      <c r="Y287" s="13"/>
      <c r="Z287" s="14"/>
      <c r="AA287" s="14"/>
      <c r="AB287" s="15"/>
      <c r="AC287" s="15"/>
    </row>
    <row r="288" spans="1:29" x14ac:dyDescent="0.2">
      <c r="A288" s="11"/>
      <c r="B288" s="12"/>
      <c r="C288" s="13"/>
      <c r="D288" s="13"/>
      <c r="E288" s="13"/>
      <c r="F288" s="13"/>
      <c r="G288" s="12"/>
      <c r="H288" s="14"/>
      <c r="I288" s="14"/>
      <c r="J288" s="14"/>
      <c r="K288" s="12"/>
      <c r="L288" s="13"/>
      <c r="M288" s="12"/>
      <c r="N288" s="12"/>
      <c r="O288" s="12"/>
      <c r="P288" s="12"/>
      <c r="Q288" s="12"/>
      <c r="R288" s="12"/>
      <c r="T288" s="15"/>
      <c r="U288" s="16"/>
      <c r="V288" s="13"/>
      <c r="W288" s="13"/>
      <c r="X288" s="13"/>
      <c r="Y288" s="13"/>
      <c r="Z288" s="14"/>
      <c r="AA288" s="14"/>
      <c r="AB288" s="15"/>
      <c r="AC288" s="15"/>
    </row>
    <row r="289" spans="1:29" x14ac:dyDescent="0.2">
      <c r="A289" s="11"/>
      <c r="B289" s="12"/>
      <c r="C289" s="13"/>
      <c r="D289" s="13"/>
      <c r="E289" s="13"/>
      <c r="F289" s="13"/>
      <c r="G289" s="12"/>
      <c r="H289" s="14"/>
      <c r="I289" s="14"/>
      <c r="J289" s="14"/>
      <c r="K289" s="12"/>
      <c r="L289" s="13"/>
      <c r="M289" s="12"/>
      <c r="N289" s="12"/>
      <c r="O289" s="12"/>
      <c r="P289" s="12"/>
      <c r="Q289" s="12"/>
      <c r="R289" s="12"/>
      <c r="T289" s="15"/>
      <c r="U289" s="16"/>
      <c r="V289" s="13"/>
      <c r="W289" s="13"/>
      <c r="X289" s="13"/>
      <c r="Y289" s="13"/>
      <c r="Z289" s="14"/>
      <c r="AA289" s="14"/>
      <c r="AB289" s="15"/>
      <c r="AC289" s="15"/>
    </row>
    <row r="290" spans="1:29" x14ac:dyDescent="0.2">
      <c r="A290" s="11"/>
      <c r="B290" s="12"/>
      <c r="C290" s="13"/>
      <c r="D290" s="13"/>
      <c r="E290" s="13"/>
      <c r="F290" s="13"/>
      <c r="G290" s="12"/>
      <c r="H290" s="14"/>
      <c r="I290" s="14"/>
      <c r="J290" s="14"/>
      <c r="K290" s="12"/>
      <c r="L290" s="13"/>
      <c r="M290" s="12"/>
      <c r="N290" s="12"/>
      <c r="O290" s="12"/>
      <c r="P290" s="12"/>
      <c r="Q290" s="12"/>
      <c r="R290" s="12"/>
      <c r="T290" s="15"/>
      <c r="U290" s="16"/>
      <c r="V290" s="13"/>
      <c r="W290" s="13"/>
      <c r="X290" s="13"/>
      <c r="Y290" s="13"/>
      <c r="Z290" s="14"/>
      <c r="AA290" s="14"/>
      <c r="AB290" s="15"/>
      <c r="AC290" s="15"/>
    </row>
    <row r="291" spans="1:29" x14ac:dyDescent="0.2">
      <c r="A291" s="11"/>
      <c r="B291" s="12"/>
      <c r="C291" s="13"/>
      <c r="D291" s="13"/>
      <c r="E291" s="13"/>
      <c r="F291" s="13"/>
      <c r="G291" s="12"/>
      <c r="H291" s="14"/>
      <c r="I291" s="14"/>
      <c r="J291" s="14"/>
      <c r="K291" s="12"/>
      <c r="L291" s="13"/>
      <c r="M291" s="12"/>
      <c r="N291" s="12"/>
      <c r="O291" s="12"/>
      <c r="P291" s="12"/>
      <c r="Q291" s="12"/>
      <c r="R291" s="12"/>
      <c r="T291" s="15"/>
      <c r="U291" s="16"/>
      <c r="V291" s="13"/>
      <c r="W291" s="13"/>
      <c r="X291" s="13"/>
      <c r="Y291" s="13"/>
      <c r="Z291" s="14"/>
      <c r="AA291" s="14"/>
      <c r="AB291" s="15"/>
      <c r="AC291" s="15"/>
    </row>
    <row r="292" spans="1:29" x14ac:dyDescent="0.2">
      <c r="A292" s="11"/>
      <c r="B292" s="12"/>
      <c r="C292" s="13"/>
      <c r="D292" s="13"/>
      <c r="E292" s="13"/>
      <c r="F292" s="13"/>
      <c r="G292" s="12"/>
      <c r="H292" s="14"/>
      <c r="I292" s="14"/>
      <c r="J292" s="14"/>
      <c r="K292" s="12"/>
      <c r="L292" s="13"/>
      <c r="M292" s="12"/>
      <c r="N292" s="12"/>
      <c r="O292" s="12"/>
      <c r="P292" s="12"/>
      <c r="Q292" s="12"/>
      <c r="R292" s="12"/>
      <c r="T292" s="15"/>
      <c r="U292" s="16"/>
      <c r="V292" s="13"/>
      <c r="W292" s="13"/>
      <c r="X292" s="13"/>
      <c r="Y292" s="13"/>
      <c r="Z292" s="14"/>
      <c r="AA292" s="14"/>
      <c r="AB292" s="15"/>
      <c r="AC292" s="15"/>
    </row>
    <row r="293" spans="1:29" x14ac:dyDescent="0.2">
      <c r="A293" s="11"/>
      <c r="B293" s="12"/>
      <c r="C293" s="13"/>
      <c r="D293" s="13"/>
      <c r="E293" s="13"/>
      <c r="F293" s="13"/>
      <c r="G293" s="12"/>
      <c r="H293" s="14"/>
      <c r="I293" s="14"/>
      <c r="J293" s="14"/>
      <c r="K293" s="12"/>
      <c r="L293" s="13"/>
      <c r="M293" s="12"/>
      <c r="N293" s="12"/>
      <c r="O293" s="12"/>
      <c r="P293" s="12"/>
      <c r="Q293" s="12"/>
      <c r="R293" s="12"/>
      <c r="T293" s="15"/>
      <c r="U293" s="16"/>
      <c r="V293" s="13"/>
      <c r="W293" s="13"/>
      <c r="X293" s="13"/>
      <c r="Y293" s="13"/>
      <c r="Z293" s="14"/>
      <c r="AA293" s="14"/>
      <c r="AB293" s="15"/>
      <c r="AC293" s="15"/>
    </row>
    <row r="294" spans="1:29" x14ac:dyDescent="0.2">
      <c r="A294" s="11"/>
      <c r="B294" s="12"/>
      <c r="C294" s="13"/>
      <c r="D294" s="13"/>
      <c r="E294" s="13"/>
      <c r="F294" s="13"/>
      <c r="G294" s="12"/>
      <c r="H294" s="14"/>
      <c r="I294" s="14"/>
      <c r="J294" s="14"/>
      <c r="K294" s="12"/>
      <c r="L294" s="13"/>
      <c r="M294" s="12"/>
      <c r="N294" s="12"/>
      <c r="O294" s="12"/>
      <c r="P294" s="12"/>
      <c r="Q294" s="12"/>
      <c r="R294" s="12"/>
      <c r="T294" s="15"/>
      <c r="U294" s="16"/>
      <c r="V294" s="13"/>
      <c r="W294" s="13"/>
      <c r="X294" s="13"/>
      <c r="Y294" s="13"/>
      <c r="Z294" s="14"/>
      <c r="AA294" s="14"/>
      <c r="AB294" s="15"/>
      <c r="AC294" s="15"/>
    </row>
    <row r="295" spans="1:29" x14ac:dyDescent="0.2">
      <c r="A295" s="11"/>
      <c r="B295" s="12"/>
      <c r="C295" s="13"/>
      <c r="D295" s="13"/>
      <c r="E295" s="13"/>
      <c r="F295" s="13"/>
      <c r="G295" s="12"/>
      <c r="H295" s="14"/>
      <c r="I295" s="14"/>
      <c r="J295" s="14"/>
      <c r="K295" s="12"/>
      <c r="L295" s="13"/>
      <c r="M295" s="12"/>
      <c r="N295" s="12"/>
      <c r="O295" s="12"/>
      <c r="P295" s="12"/>
      <c r="Q295" s="12"/>
      <c r="R295" s="12"/>
      <c r="T295" s="15"/>
      <c r="U295" s="16"/>
      <c r="V295" s="13"/>
      <c r="W295" s="13"/>
      <c r="X295" s="13"/>
      <c r="Y295" s="13"/>
      <c r="Z295" s="14"/>
      <c r="AA295" s="14"/>
      <c r="AB295" s="15"/>
      <c r="AC295" s="15"/>
    </row>
    <row r="296" spans="1:29" x14ac:dyDescent="0.2">
      <c r="A296" s="11"/>
      <c r="B296" s="12"/>
      <c r="C296" s="13"/>
      <c r="D296" s="13"/>
      <c r="E296" s="13"/>
      <c r="F296" s="13"/>
      <c r="G296" s="12"/>
      <c r="H296" s="14"/>
      <c r="I296" s="14"/>
      <c r="J296" s="14"/>
      <c r="K296" s="12"/>
      <c r="L296" s="13"/>
      <c r="M296" s="12"/>
      <c r="N296" s="12"/>
      <c r="O296" s="12"/>
      <c r="P296" s="12"/>
      <c r="Q296" s="12"/>
      <c r="R296" s="12"/>
      <c r="T296" s="15"/>
      <c r="U296" s="16"/>
      <c r="V296" s="13"/>
      <c r="W296" s="13"/>
      <c r="X296" s="13"/>
      <c r="Y296" s="13"/>
      <c r="Z296" s="14"/>
      <c r="AA296" s="14"/>
      <c r="AB296" s="15"/>
      <c r="AC296" s="15"/>
    </row>
    <row r="297" spans="1:29" x14ac:dyDescent="0.2">
      <c r="A297" s="11"/>
      <c r="B297" s="12"/>
      <c r="C297" s="13"/>
      <c r="D297" s="13"/>
      <c r="E297" s="13"/>
      <c r="F297" s="13"/>
      <c r="G297" s="12"/>
      <c r="H297" s="14"/>
      <c r="I297" s="14"/>
      <c r="J297" s="14"/>
      <c r="K297" s="12"/>
      <c r="L297" s="13"/>
      <c r="M297" s="12"/>
      <c r="N297" s="12"/>
      <c r="O297" s="12"/>
      <c r="P297" s="12"/>
      <c r="Q297" s="12"/>
      <c r="R297" s="12"/>
      <c r="T297" s="15"/>
      <c r="U297" s="16"/>
      <c r="V297" s="13"/>
      <c r="W297" s="13"/>
      <c r="X297" s="13"/>
      <c r="Y297" s="13"/>
      <c r="Z297" s="14"/>
      <c r="AA297" s="14"/>
      <c r="AB297" s="15"/>
      <c r="AC297" s="15"/>
    </row>
    <row r="298" spans="1:29" x14ac:dyDescent="0.2">
      <c r="A298" s="11"/>
      <c r="B298" s="12"/>
      <c r="C298" s="13"/>
      <c r="D298" s="13"/>
      <c r="E298" s="13"/>
      <c r="F298" s="13"/>
      <c r="G298" s="12"/>
      <c r="H298" s="14"/>
      <c r="I298" s="14"/>
      <c r="J298" s="14"/>
      <c r="K298" s="12"/>
      <c r="L298" s="13"/>
      <c r="M298" s="12"/>
      <c r="N298" s="12"/>
      <c r="O298" s="12"/>
      <c r="P298" s="12"/>
      <c r="Q298" s="12"/>
      <c r="R298" s="12"/>
      <c r="T298" s="15"/>
      <c r="U298" s="16"/>
      <c r="V298" s="13"/>
      <c r="W298" s="13"/>
      <c r="X298" s="13"/>
      <c r="Y298" s="13"/>
      <c r="Z298" s="14"/>
      <c r="AA298" s="14"/>
      <c r="AB298" s="15"/>
      <c r="AC298" s="15"/>
    </row>
    <row r="299" spans="1:29" x14ac:dyDescent="0.2">
      <c r="A299" s="11"/>
      <c r="B299" s="12"/>
      <c r="C299" s="13"/>
      <c r="D299" s="13"/>
      <c r="E299" s="13"/>
      <c r="F299" s="13"/>
      <c r="G299" s="12"/>
      <c r="H299" s="14"/>
      <c r="I299" s="14"/>
      <c r="J299" s="14"/>
      <c r="K299" s="12"/>
      <c r="L299" s="13"/>
      <c r="M299" s="12"/>
      <c r="N299" s="12"/>
      <c r="O299" s="12"/>
      <c r="P299" s="12"/>
      <c r="Q299" s="12"/>
      <c r="R299" s="12"/>
      <c r="T299" s="15"/>
      <c r="U299" s="16"/>
      <c r="V299" s="13"/>
      <c r="W299" s="13"/>
      <c r="X299" s="13"/>
      <c r="Y299" s="13"/>
      <c r="Z299" s="14"/>
      <c r="AA299" s="14"/>
      <c r="AB299" s="15"/>
      <c r="AC299" s="15"/>
    </row>
    <row r="300" spans="1:29" x14ac:dyDescent="0.2">
      <c r="A300" s="11"/>
      <c r="B300" s="12"/>
      <c r="C300" s="13"/>
      <c r="D300" s="13"/>
      <c r="E300" s="13"/>
      <c r="F300" s="13"/>
      <c r="G300" s="12"/>
      <c r="H300" s="14"/>
      <c r="I300" s="14"/>
      <c r="J300" s="14"/>
      <c r="K300" s="12"/>
      <c r="L300" s="13"/>
      <c r="M300" s="12"/>
      <c r="N300" s="12"/>
      <c r="O300" s="12"/>
      <c r="P300" s="12"/>
      <c r="Q300" s="12"/>
      <c r="R300" s="12"/>
      <c r="T300" s="15"/>
      <c r="U300" s="16"/>
      <c r="V300" s="13"/>
      <c r="W300" s="13"/>
      <c r="X300" s="13"/>
      <c r="Y300" s="13"/>
      <c r="Z300" s="14"/>
      <c r="AA300" s="14"/>
      <c r="AB300" s="15"/>
      <c r="AC300" s="15"/>
    </row>
    <row r="301" spans="1:29" x14ac:dyDescent="0.2">
      <c r="A301" s="11"/>
      <c r="B301" s="12"/>
      <c r="C301" s="13"/>
      <c r="D301" s="13"/>
      <c r="E301" s="13"/>
      <c r="F301" s="13"/>
      <c r="G301" s="12"/>
      <c r="H301" s="14"/>
      <c r="I301" s="14"/>
      <c r="J301" s="14"/>
      <c r="K301" s="12"/>
      <c r="L301" s="13"/>
      <c r="M301" s="12"/>
      <c r="N301" s="12"/>
      <c r="O301" s="12"/>
      <c r="P301" s="12"/>
      <c r="Q301" s="12"/>
      <c r="R301" s="12"/>
      <c r="T301" s="15"/>
      <c r="U301" s="16"/>
      <c r="V301" s="13"/>
      <c r="W301" s="13"/>
      <c r="X301" s="13"/>
      <c r="Y301" s="13"/>
      <c r="Z301" s="14"/>
      <c r="AA301" s="14"/>
      <c r="AB301" s="15"/>
      <c r="AC301" s="15"/>
    </row>
    <row r="302" spans="1:29" x14ac:dyDescent="0.2">
      <c r="A302" s="11"/>
      <c r="B302" s="12"/>
      <c r="C302" s="13"/>
      <c r="D302" s="13"/>
      <c r="E302" s="13"/>
      <c r="F302" s="13"/>
      <c r="G302" s="12"/>
      <c r="H302" s="14"/>
      <c r="I302" s="14"/>
      <c r="J302" s="14"/>
      <c r="K302" s="12"/>
      <c r="L302" s="13"/>
      <c r="M302" s="12"/>
      <c r="N302" s="12"/>
      <c r="O302" s="12"/>
      <c r="P302" s="12"/>
      <c r="Q302" s="12"/>
      <c r="R302" s="12"/>
      <c r="T302" s="15"/>
      <c r="U302" s="16"/>
      <c r="V302" s="13"/>
      <c r="W302" s="13"/>
      <c r="X302" s="13"/>
      <c r="Y302" s="13"/>
      <c r="Z302" s="14"/>
      <c r="AA302" s="14"/>
      <c r="AB302" s="15"/>
      <c r="AC302" s="15"/>
    </row>
    <row r="303" spans="1:29" x14ac:dyDescent="0.2">
      <c r="A303" s="11"/>
      <c r="B303" s="12"/>
      <c r="C303" s="13"/>
      <c r="D303" s="13"/>
      <c r="E303" s="13"/>
      <c r="F303" s="13"/>
      <c r="G303" s="12"/>
      <c r="H303" s="14"/>
      <c r="I303" s="14"/>
      <c r="J303" s="14"/>
      <c r="K303" s="12"/>
      <c r="L303" s="13"/>
      <c r="M303" s="12"/>
      <c r="N303" s="12"/>
      <c r="O303" s="12"/>
      <c r="P303" s="12"/>
      <c r="Q303" s="12"/>
      <c r="R303" s="12"/>
      <c r="T303" s="15"/>
      <c r="U303" s="16"/>
      <c r="V303" s="13"/>
      <c r="W303" s="13"/>
      <c r="X303" s="13"/>
      <c r="Y303" s="13"/>
      <c r="Z303" s="14"/>
      <c r="AA303" s="14"/>
      <c r="AB303" s="15"/>
      <c r="AC303" s="15"/>
    </row>
    <row r="304" spans="1:29" x14ac:dyDescent="0.2">
      <c r="A304" s="11"/>
      <c r="B304" s="12"/>
      <c r="C304" s="13"/>
      <c r="D304" s="13"/>
      <c r="E304" s="13"/>
      <c r="F304" s="13"/>
      <c r="G304" s="12"/>
      <c r="H304" s="14"/>
      <c r="I304" s="14"/>
      <c r="J304" s="14"/>
      <c r="K304" s="12"/>
      <c r="L304" s="13"/>
      <c r="M304" s="12"/>
      <c r="N304" s="12"/>
      <c r="O304" s="12"/>
      <c r="P304" s="12"/>
      <c r="Q304" s="12"/>
      <c r="R304" s="12"/>
      <c r="T304" s="15"/>
      <c r="U304" s="16"/>
      <c r="V304" s="13"/>
      <c r="W304" s="13"/>
      <c r="X304" s="13"/>
      <c r="Y304" s="13"/>
      <c r="Z304" s="14"/>
      <c r="AA304" s="14"/>
      <c r="AB304" s="15"/>
      <c r="AC304" s="15"/>
    </row>
  </sheetData>
  <conditionalFormatting sqref="C5:C30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:D30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5:E30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:F30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:H30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:J30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6BFD8-6836-494C-80CF-010FB6B1C7D2}">
  <dimension ref="A1:AN17"/>
  <sheetViews>
    <sheetView workbookViewId="0">
      <pane ySplit="5" topLeftCell="A6" activePane="bottomLeft" state="frozenSplit"/>
      <selection pane="bottomLeft"/>
    </sheetView>
  </sheetViews>
  <sheetFormatPr defaultRowHeight="12.75" x14ac:dyDescent="0.2"/>
  <cols>
    <col min="1" max="1" width="13.7109375" customWidth="1"/>
    <col min="2" max="2" width="10.7109375" customWidth="1"/>
    <col min="3" max="3" width="14.7109375" customWidth="1"/>
    <col min="4" max="6" width="10.7109375" customWidth="1"/>
    <col min="7" max="7" width="14.7109375" customWidth="1"/>
    <col min="8" max="8" width="10.7109375" customWidth="1"/>
    <col min="9" max="9" width="11.7109375" customWidth="1"/>
    <col min="10" max="12" width="10.7109375" customWidth="1"/>
    <col min="13" max="13" width="30.7109375" customWidth="1"/>
    <col min="14" max="14" width="22.7109375" customWidth="1"/>
    <col min="15" max="17" width="10.7109375" customWidth="1"/>
    <col min="18" max="18" width="30.7109375" customWidth="1"/>
    <col min="19" max="19" width="26.7109375" customWidth="1"/>
    <col min="20" max="20" width="14.7109375" customWidth="1"/>
    <col min="21" max="21" width="30.7109375" customWidth="1"/>
    <col min="22" max="29" width="10.7109375" customWidth="1"/>
    <col min="30" max="30" width="24.7109375" customWidth="1"/>
    <col min="31" max="34" width="10.7109375" customWidth="1"/>
    <col min="35" max="35" width="50.7109375" customWidth="1"/>
    <col min="36" max="39" width="10.7109375" customWidth="1"/>
    <col min="40" max="40" width="20.7109375" customWidth="1"/>
  </cols>
  <sheetData>
    <row r="1" spans="1:40" ht="27.95" customHeight="1" x14ac:dyDescent="0.3">
      <c r="A1" s="2" t="s">
        <v>79</v>
      </c>
      <c r="B1" s="1"/>
      <c r="C1" s="1"/>
      <c r="D1" s="1"/>
      <c r="E1" s="1"/>
      <c r="F1" s="1"/>
      <c r="G1" s="1"/>
      <c r="H1" s="1"/>
    </row>
    <row r="2" spans="1:40" x14ac:dyDescent="0.2">
      <c r="A2" s="4" t="s">
        <v>80</v>
      </c>
      <c r="B2" s="3"/>
      <c r="C2" s="3"/>
      <c r="D2" s="3"/>
      <c r="E2" s="3"/>
      <c r="F2" s="3"/>
      <c r="G2" s="3"/>
      <c r="H2" s="3"/>
    </row>
    <row r="3" spans="1:40" ht="18" x14ac:dyDescent="0.25">
      <c r="A3" s="17" t="s">
        <v>81</v>
      </c>
      <c r="B3" s="18">
        <v>2040</v>
      </c>
      <c r="C3" s="19">
        <f>IF(B3="","",IFERROR(INDEX(_xlfn.ANCHORARRAY('Team Summary'!F5),MATCH(B3,_xlfn.ANCHORARRAY('Team Summary'!A5),0)),""))</f>
        <v>116.08333333333333</v>
      </c>
      <c r="D3" t="str">
        <f>IF(B3="","",IFERROR("Rank "&amp;INDEX(_xlfn.ANCHORARRAY('Team Summary'!R5),MATCH(B3,_xlfn.ANCHORARRAY('Team Summary'!A5),0))&amp;" of "&amp;ROWS(_xlfn.ANCHORARRAY('Team Summary'!A5)),"No scans yet"))</f>
        <v>Rank 4 of 31</v>
      </c>
      <c r="E3" s="5" t="str" cm="1">
        <f t="array" ref="E3">IF(B3="","",IFERROR(_xlfn.XLOOKUP(B3,INDEX(_xlfn.ANCHORARRAY('TBA Teams'!$R$5),,1),INDEX(_xlfn.ANCHORARRAY('TBA Teams'!$R$5),,2),""),""))</f>
        <v>DERT - Dunlap Eagles Robotics Team</v>
      </c>
    </row>
    <row r="5" spans="1:40" ht="42" customHeight="1" x14ac:dyDescent="0.2">
      <c r="A5" s="8" t="s">
        <v>22</v>
      </c>
      <c r="B5" s="8" t="s">
        <v>23</v>
      </c>
      <c r="C5" s="8" t="s">
        <v>11</v>
      </c>
      <c r="D5" s="8" t="s">
        <v>13</v>
      </c>
      <c r="E5" s="8" t="s">
        <v>12</v>
      </c>
      <c r="F5" s="8" t="s">
        <v>24</v>
      </c>
      <c r="G5" s="8" t="s">
        <v>25</v>
      </c>
      <c r="H5" s="8" t="s">
        <v>26</v>
      </c>
      <c r="I5" s="8" t="s">
        <v>27</v>
      </c>
      <c r="J5" s="8" t="s">
        <v>28</v>
      </c>
      <c r="K5" s="8" t="s">
        <v>29</v>
      </c>
      <c r="L5" s="8" t="s">
        <v>30</v>
      </c>
      <c r="M5" s="8" t="s">
        <v>31</v>
      </c>
      <c r="N5" s="8" t="s">
        <v>32</v>
      </c>
      <c r="O5" s="8" t="s">
        <v>33</v>
      </c>
      <c r="P5" s="8" t="s">
        <v>34</v>
      </c>
      <c r="Q5" s="8" t="s">
        <v>35</v>
      </c>
      <c r="R5" s="8" t="s">
        <v>36</v>
      </c>
      <c r="S5" s="8" t="s">
        <v>37</v>
      </c>
      <c r="T5" s="8" t="s">
        <v>38</v>
      </c>
      <c r="U5" s="8" t="s">
        <v>39</v>
      </c>
      <c r="V5" s="8" t="s">
        <v>40</v>
      </c>
      <c r="W5" s="8" t="s">
        <v>41</v>
      </c>
      <c r="X5" s="8" t="s">
        <v>42</v>
      </c>
      <c r="Y5" s="8" t="s">
        <v>43</v>
      </c>
      <c r="Z5" s="8" t="s">
        <v>44</v>
      </c>
      <c r="AA5" s="8" t="s">
        <v>45</v>
      </c>
      <c r="AB5" s="8" t="s">
        <v>46</v>
      </c>
      <c r="AC5" s="8" t="s">
        <v>47</v>
      </c>
      <c r="AD5" s="8" t="s">
        <v>48</v>
      </c>
      <c r="AE5" s="8" t="s">
        <v>49</v>
      </c>
      <c r="AF5" s="8" t="s">
        <v>50</v>
      </c>
      <c r="AG5" s="8" t="s">
        <v>51</v>
      </c>
      <c r="AH5" s="8" t="s">
        <v>52</v>
      </c>
      <c r="AI5" s="8" t="s">
        <v>53</v>
      </c>
      <c r="AJ5" s="8" t="s">
        <v>54</v>
      </c>
      <c r="AK5" s="8" t="s">
        <v>55</v>
      </c>
      <c r="AL5" s="8" t="s">
        <v>56</v>
      </c>
      <c r="AM5" s="8" t="s">
        <v>57</v>
      </c>
      <c r="AN5" s="8" t="s">
        <v>58</v>
      </c>
    </row>
    <row r="6" spans="1:40" x14ac:dyDescent="0.2">
      <c r="A6" t="str" cm="1">
        <f t="array" ref="A6:AN17">IF(B3="","",IFERROR(_xlfn.SORTBY(_xlfn._xlws.FILTER(Scans[],Scans[Team '#]=B3),_xlfn._xlws.FILTER(Scans[Match '#],Scans[Team '#]=B3),1),"No scans for this team yet"))</f>
        <v>S39-44228b4d</v>
      </c>
      <c r="B6" t="str">
        <v>Qual</v>
      </c>
      <c r="C6">
        <v>1</v>
      </c>
      <c r="D6">
        <v>2040</v>
      </c>
      <c r="E6" t="str">
        <v>Blue</v>
      </c>
      <c r="F6">
        <v>2</v>
      </c>
      <c r="G6" t="str">
        <v>Ella</v>
      </c>
      <c r="H6" t="str">
        <v>Yes</v>
      </c>
      <c r="I6" t="str">
        <v>Left</v>
      </c>
      <c r="J6">
        <v>5</v>
      </c>
      <c r="K6">
        <v>26</v>
      </c>
      <c r="L6">
        <v>8</v>
      </c>
      <c r="M6" t="str">
        <v>Left start line; Went to Neutral Zone; Used Trench</v>
      </c>
      <c r="N6" t="str">
        <v>Neutral Zone</v>
      </c>
      <c r="O6" t="str">
        <v>None</v>
      </c>
      <c r="P6">
        <v>61</v>
      </c>
      <c r="Q6">
        <v>18</v>
      </c>
      <c r="R6" t="str">
        <v>Neutral Zone floor; Alliance Zone floor; Depot</v>
      </c>
      <c r="S6" t="str">
        <v>Close to Hub; Mid range; Long range; While moving</v>
      </c>
      <c r="T6" t="str">
        <v>Bump; Trench</v>
      </c>
      <c r="U6" t="str">
        <v>Collects / stockpiles; Passes fuel to our zone</v>
      </c>
      <c r="V6" t="str">
        <v>40+</v>
      </c>
      <c r="W6" t="str">
        <v>None</v>
      </c>
      <c r="X6" t="str">
        <v>No</v>
      </c>
      <c r="Y6" t="str">
        <v>None</v>
      </c>
      <c r="Z6">
        <v>0</v>
      </c>
      <c r="AA6">
        <v>5</v>
      </c>
      <c r="AB6">
        <v>5</v>
      </c>
      <c r="AC6">
        <v>3</v>
      </c>
      <c r="AD6">
        <v>0</v>
      </c>
      <c r="AE6">
        <v>0</v>
      </c>
      <c r="AF6">
        <v>0</v>
      </c>
      <c r="AG6" t="str">
        <v>None</v>
      </c>
      <c r="AH6" t="str">
        <v>Yes</v>
      </c>
      <c r="AI6" t="str">
        <v>Consistent cycles; shoots well from long range</v>
      </c>
      <c r="AJ6">
        <v>26</v>
      </c>
      <c r="AK6">
        <v>61</v>
      </c>
      <c r="AL6">
        <v>0</v>
      </c>
      <c r="AM6">
        <v>87</v>
      </c>
      <c r="AN6" t="str">
        <v>3/20/2026, 9:04:04 AM</v>
      </c>
    </row>
    <row r="7" spans="1:40" x14ac:dyDescent="0.2">
      <c r="A7" t="str">
        <v>S39-44228b4d</v>
      </c>
      <c r="B7" t="str">
        <v>Qual</v>
      </c>
      <c r="C7">
        <v>7</v>
      </c>
      <c r="D7">
        <v>2040</v>
      </c>
      <c r="E7" t="str">
        <v>Red</v>
      </c>
      <c r="F7">
        <v>1</v>
      </c>
      <c r="G7" t="str">
        <v>Ava</v>
      </c>
      <c r="H7" t="str">
        <v>Yes</v>
      </c>
      <c r="I7" t="str">
        <v>Left</v>
      </c>
      <c r="J7">
        <v>5</v>
      </c>
      <c r="K7">
        <v>18</v>
      </c>
      <c r="L7">
        <v>4</v>
      </c>
      <c r="M7" t="str">
        <v>Left start line; Went to Neutral Zone; Used Trench</v>
      </c>
      <c r="N7" t="str">
        <v>Neutral Zone</v>
      </c>
      <c r="O7" t="str">
        <v>None</v>
      </c>
      <c r="P7">
        <v>127</v>
      </c>
      <c r="Q7">
        <v>25</v>
      </c>
      <c r="R7" t="str">
        <v>Neutral Zone floor; Alliance Zone floor; Depot</v>
      </c>
      <c r="S7" t="str">
        <v>Close to Hub; Mid range; Long range; While moving</v>
      </c>
      <c r="T7" t="str">
        <v>Bump; Trench</v>
      </c>
      <c r="U7" t="str">
        <v>Collects / stockpiles; Passes fuel to our zone</v>
      </c>
      <c r="V7" t="str">
        <v>40+</v>
      </c>
      <c r="W7" t="str">
        <v>None</v>
      </c>
      <c r="X7" t="str">
        <v>No</v>
      </c>
      <c r="Y7" t="str">
        <v>None</v>
      </c>
      <c r="Z7">
        <v>0</v>
      </c>
      <c r="AA7">
        <v>4</v>
      </c>
      <c r="AB7">
        <v>5</v>
      </c>
      <c r="AC7">
        <v>5</v>
      </c>
      <c r="AD7">
        <v>0</v>
      </c>
      <c r="AE7">
        <v>0</v>
      </c>
      <c r="AF7">
        <v>0</v>
      </c>
      <c r="AG7" t="str">
        <v>None</v>
      </c>
      <c r="AH7" t="str">
        <v>Yes</v>
      </c>
      <c r="AI7" t="str">
        <v>High-volume scorer; shoots well from long range</v>
      </c>
      <c r="AJ7">
        <v>18</v>
      </c>
      <c r="AK7">
        <v>127</v>
      </c>
      <c r="AL7">
        <v>0</v>
      </c>
      <c r="AM7">
        <v>145</v>
      </c>
      <c r="AN7" t="str">
        <v>3/20/2026, 9:51:28 AM</v>
      </c>
    </row>
    <row r="8" spans="1:40" x14ac:dyDescent="0.2">
      <c r="A8" t="str">
        <v>S39-44228b4d</v>
      </c>
      <c r="B8" t="str">
        <v>Qual</v>
      </c>
      <c r="C8">
        <v>12</v>
      </c>
      <c r="D8">
        <v>2040</v>
      </c>
      <c r="E8" t="str">
        <v>Blue</v>
      </c>
      <c r="F8">
        <v>1</v>
      </c>
      <c r="G8" t="str">
        <v>Dev</v>
      </c>
      <c r="H8" t="str">
        <v>Yes</v>
      </c>
      <c r="I8" t="str">
        <v>Left</v>
      </c>
      <c r="J8">
        <v>5</v>
      </c>
      <c r="K8">
        <v>27</v>
      </c>
      <c r="L8">
        <v>9</v>
      </c>
      <c r="M8" t="str">
        <v>Left start line; Went to Neutral Zone; Used Trench</v>
      </c>
      <c r="N8" t="str">
        <v>Neutral Zone</v>
      </c>
      <c r="O8" t="str">
        <v>None</v>
      </c>
      <c r="P8">
        <v>111</v>
      </c>
      <c r="Q8">
        <v>38</v>
      </c>
      <c r="R8" t="str">
        <v>Neutral Zone floor; Alliance Zone floor; Depot</v>
      </c>
      <c r="S8" t="str">
        <v>Close to Hub; Mid range; Long range; While moving</v>
      </c>
      <c r="T8" t="str">
        <v>Bump; Trench</v>
      </c>
      <c r="U8" t="str">
        <v>Collects / stockpiles; Passes fuel to our zone</v>
      </c>
      <c r="V8" t="str">
        <v>40+</v>
      </c>
      <c r="W8" t="str">
        <v>None</v>
      </c>
      <c r="X8" t="str">
        <v>Some</v>
      </c>
      <c r="Y8" t="str">
        <v>None</v>
      </c>
      <c r="Z8">
        <v>0</v>
      </c>
      <c r="AA8">
        <v>4</v>
      </c>
      <c r="AB8">
        <v>5</v>
      </c>
      <c r="AC8">
        <v>5</v>
      </c>
      <c r="AD8">
        <v>0</v>
      </c>
      <c r="AE8">
        <v>0</v>
      </c>
      <c r="AF8">
        <v>0</v>
      </c>
      <c r="AG8" t="str">
        <v>None</v>
      </c>
      <c r="AH8" t="str">
        <v>Yes</v>
      </c>
      <c r="AI8" t="str">
        <v>High-volume scorer; shoots well from long range</v>
      </c>
      <c r="AJ8">
        <v>27</v>
      </c>
      <c r="AK8">
        <v>111</v>
      </c>
      <c r="AL8">
        <v>0</v>
      </c>
      <c r="AM8">
        <v>138</v>
      </c>
      <c r="AN8" t="str">
        <v>3/20/2026, 10:32:17 AM</v>
      </c>
    </row>
    <row r="9" spans="1:40" x14ac:dyDescent="0.2">
      <c r="A9" t="str">
        <v>S39-44228b4d</v>
      </c>
      <c r="B9" t="str">
        <v>Qual</v>
      </c>
      <c r="C9">
        <v>18</v>
      </c>
      <c r="D9">
        <v>2040</v>
      </c>
      <c r="E9" t="str">
        <v>Blue</v>
      </c>
      <c r="F9">
        <v>2</v>
      </c>
      <c r="G9" t="str">
        <v>Ella</v>
      </c>
      <c r="H9" t="str">
        <v>Yes</v>
      </c>
      <c r="I9" t="str">
        <v>Left</v>
      </c>
      <c r="J9">
        <v>5</v>
      </c>
      <c r="K9">
        <v>35</v>
      </c>
      <c r="L9">
        <v>11</v>
      </c>
      <c r="M9" t="str">
        <v>Left start line; Went to Neutral Zone; Used Trench</v>
      </c>
      <c r="N9" t="str">
        <v>Neutral Zone</v>
      </c>
      <c r="O9" t="str">
        <v>None</v>
      </c>
      <c r="P9">
        <v>84</v>
      </c>
      <c r="Q9">
        <v>27</v>
      </c>
      <c r="R9" t="str">
        <v>Neutral Zone floor; Alliance Zone floor; Depot</v>
      </c>
      <c r="S9" t="str">
        <v>Close to Hub; Mid range; Long range; While moving</v>
      </c>
      <c r="T9" t="str">
        <v>Bump; Trench</v>
      </c>
      <c r="U9" t="str">
        <v>Collects / stockpiles; Passes fuel to our zone</v>
      </c>
      <c r="V9" t="str">
        <v>40+</v>
      </c>
      <c r="W9" t="str">
        <v>None</v>
      </c>
      <c r="X9" t="str">
        <v>No</v>
      </c>
      <c r="Y9" t="str">
        <v>None</v>
      </c>
      <c r="Z9">
        <v>0</v>
      </c>
      <c r="AA9">
        <v>4</v>
      </c>
      <c r="AB9">
        <v>4</v>
      </c>
      <c r="AC9">
        <v>3</v>
      </c>
      <c r="AD9">
        <v>0</v>
      </c>
      <c r="AE9">
        <v>0</v>
      </c>
      <c r="AF9">
        <v>0</v>
      </c>
      <c r="AG9" t="str">
        <v>None</v>
      </c>
      <c r="AH9" t="str">
        <v>Yes</v>
      </c>
      <c r="AI9" t="str">
        <v>Consistent cycles</v>
      </c>
      <c r="AJ9">
        <v>35</v>
      </c>
      <c r="AK9">
        <v>84</v>
      </c>
      <c r="AL9">
        <v>0</v>
      </c>
      <c r="AM9">
        <v>119</v>
      </c>
      <c r="AN9" t="str">
        <v>3/20/2026, 11:19:42 AM</v>
      </c>
    </row>
    <row r="10" spans="1:40" x14ac:dyDescent="0.2">
      <c r="A10" t="str">
        <v>S39-44228b4d</v>
      </c>
      <c r="B10" t="str">
        <v>Qual</v>
      </c>
      <c r="C10">
        <v>23</v>
      </c>
      <c r="D10">
        <v>2040</v>
      </c>
      <c r="E10" t="str">
        <v>Blue</v>
      </c>
      <c r="F10">
        <v>3</v>
      </c>
      <c r="G10" t="str">
        <v>Finn</v>
      </c>
      <c r="H10" t="str">
        <v>Yes</v>
      </c>
      <c r="I10" t="str">
        <v>Left</v>
      </c>
      <c r="J10">
        <v>5</v>
      </c>
      <c r="K10">
        <v>6</v>
      </c>
      <c r="L10">
        <v>1</v>
      </c>
      <c r="M10" t="str">
        <v>Left start line; Went to Neutral Zone; Used Trench</v>
      </c>
      <c r="N10" t="str">
        <v>Neutral Zone</v>
      </c>
      <c r="O10" t="str">
        <v>None</v>
      </c>
      <c r="P10">
        <v>51</v>
      </c>
      <c r="Q10">
        <v>8</v>
      </c>
      <c r="R10" t="str">
        <v>Neutral Zone floor; Alliance Zone floor; Depot</v>
      </c>
      <c r="S10" t="str">
        <v>Close to Hub; Mid range; Long range; While moving</v>
      </c>
      <c r="T10" t="str">
        <v>Bump; Trench</v>
      </c>
      <c r="U10" t="str">
        <v>Collects / stockpiles; Passes fuel to our zone</v>
      </c>
      <c r="V10" t="str">
        <v>40+</v>
      </c>
      <c r="W10" t="str">
        <v>None</v>
      </c>
      <c r="X10" t="str">
        <v>Heavily</v>
      </c>
      <c r="Y10" t="str">
        <v>None</v>
      </c>
      <c r="Z10">
        <v>0</v>
      </c>
      <c r="AA10">
        <v>4</v>
      </c>
      <c r="AB10">
        <v>5</v>
      </c>
      <c r="AC10">
        <v>5</v>
      </c>
      <c r="AD10">
        <v>0</v>
      </c>
      <c r="AE10">
        <v>0</v>
      </c>
      <c r="AF10">
        <v>0</v>
      </c>
      <c r="AG10" t="str">
        <v>None</v>
      </c>
      <c r="AH10" t="str">
        <v>Yes</v>
      </c>
      <c r="AI10" t="str">
        <v>Consistent cycles</v>
      </c>
      <c r="AJ10">
        <v>6</v>
      </c>
      <c r="AK10">
        <v>51</v>
      </c>
      <c r="AL10">
        <v>0</v>
      </c>
      <c r="AM10">
        <v>57</v>
      </c>
      <c r="AN10" t="str">
        <v>3/20/2026, 1:01:09 PM</v>
      </c>
    </row>
    <row r="11" spans="1:40" x14ac:dyDescent="0.2">
      <c r="A11" t="str">
        <v>S39-44228b4d</v>
      </c>
      <c r="B11" t="str">
        <v>Qual</v>
      </c>
      <c r="C11">
        <v>28</v>
      </c>
      <c r="D11">
        <v>2040</v>
      </c>
      <c r="E11" t="str">
        <v>Blue</v>
      </c>
      <c r="F11">
        <v>2</v>
      </c>
      <c r="G11" t="str">
        <v>Ella</v>
      </c>
      <c r="H11" t="str">
        <v>Yes</v>
      </c>
      <c r="I11" t="str">
        <v>Left</v>
      </c>
      <c r="J11">
        <v>5</v>
      </c>
      <c r="K11">
        <v>28</v>
      </c>
      <c r="L11">
        <v>7</v>
      </c>
      <c r="M11" t="str">
        <v>Left start line; Went to Neutral Zone; Used Trench</v>
      </c>
      <c r="N11" t="str">
        <v>Neutral Zone</v>
      </c>
      <c r="O11" t="str">
        <v>None</v>
      </c>
      <c r="P11">
        <v>118</v>
      </c>
      <c r="Q11">
        <v>30</v>
      </c>
      <c r="R11" t="str">
        <v>Neutral Zone floor; Alliance Zone floor; Depot</v>
      </c>
      <c r="S11" t="str">
        <v>Close to Hub; Mid range; Long range; While moving</v>
      </c>
      <c r="T11" t="str">
        <v>Bump; Trench</v>
      </c>
      <c r="U11" t="str">
        <v>Collects / stockpiles; Passes fuel to our zone</v>
      </c>
      <c r="V11" t="str">
        <v>40+</v>
      </c>
      <c r="W11" t="str">
        <v>None</v>
      </c>
      <c r="X11" t="str">
        <v>Some</v>
      </c>
      <c r="Y11" t="str">
        <v>None</v>
      </c>
      <c r="Z11">
        <v>0</v>
      </c>
      <c r="AA11">
        <v>5</v>
      </c>
      <c r="AB11">
        <v>4</v>
      </c>
      <c r="AC11">
        <v>5</v>
      </c>
      <c r="AD11">
        <v>0</v>
      </c>
      <c r="AE11">
        <v>0</v>
      </c>
      <c r="AF11">
        <v>0</v>
      </c>
      <c r="AG11" t="str">
        <v>None</v>
      </c>
      <c r="AH11" t="str">
        <v>Yes</v>
      </c>
      <c r="AI11" t="str">
        <v>High-volume scorer</v>
      </c>
      <c r="AJ11">
        <v>28</v>
      </c>
      <c r="AK11">
        <v>118</v>
      </c>
      <c r="AL11">
        <v>0</v>
      </c>
      <c r="AM11">
        <v>146</v>
      </c>
      <c r="AN11" t="str">
        <v>3/20/2026, 1:39:40 PM</v>
      </c>
    </row>
    <row r="12" spans="1:40" x14ac:dyDescent="0.2">
      <c r="A12" t="str">
        <v>S39-44228b4d</v>
      </c>
      <c r="B12" t="str">
        <v>Qual</v>
      </c>
      <c r="C12">
        <v>34</v>
      </c>
      <c r="D12">
        <v>2040</v>
      </c>
      <c r="E12" t="str">
        <v>Red</v>
      </c>
      <c r="F12">
        <v>1</v>
      </c>
      <c r="G12" t="str">
        <v>Grace</v>
      </c>
      <c r="H12" t="str">
        <v>Yes</v>
      </c>
      <c r="I12" t="str">
        <v>Left</v>
      </c>
      <c r="J12">
        <v>5</v>
      </c>
      <c r="K12">
        <v>20</v>
      </c>
      <c r="L12">
        <v>5</v>
      </c>
      <c r="M12" t="str">
        <v>Left start line; Went to Neutral Zone; Crossed Bump</v>
      </c>
      <c r="N12" t="str">
        <v>Neutral Zone</v>
      </c>
      <c r="O12" t="str">
        <v>None</v>
      </c>
      <c r="P12">
        <v>72</v>
      </c>
      <c r="Q12">
        <v>16</v>
      </c>
      <c r="R12" t="str">
        <v>Neutral Zone floor; Alliance Zone floor; Depot</v>
      </c>
      <c r="S12" t="str">
        <v>Close to Hub; Mid range; Long range; While moving</v>
      </c>
      <c r="T12" t="str">
        <v>Bump; Trench</v>
      </c>
      <c r="U12" t="str">
        <v>Collects / stockpiles; Passes fuel to our zone</v>
      </c>
      <c r="V12" t="str">
        <v>40+</v>
      </c>
      <c r="W12" t="str">
        <v>None</v>
      </c>
      <c r="X12" t="str">
        <v>Some</v>
      </c>
      <c r="Y12" t="str">
        <v>None</v>
      </c>
      <c r="Z12">
        <v>0</v>
      </c>
      <c r="AA12">
        <v>5</v>
      </c>
      <c r="AB12">
        <v>4</v>
      </c>
      <c r="AC12">
        <v>4</v>
      </c>
      <c r="AD12">
        <v>0</v>
      </c>
      <c r="AE12">
        <v>0</v>
      </c>
      <c r="AF12">
        <v>0</v>
      </c>
      <c r="AG12" t="str">
        <v>None</v>
      </c>
      <c r="AH12" t="str">
        <v>Yes</v>
      </c>
      <c r="AI12" t="str">
        <v>Consistent cycles</v>
      </c>
      <c r="AJ12">
        <v>20</v>
      </c>
      <c r="AK12">
        <v>72</v>
      </c>
      <c r="AL12">
        <v>0</v>
      </c>
      <c r="AM12">
        <v>92</v>
      </c>
      <c r="AN12" t="str">
        <v>3/20/2026, 2:27:37 PM</v>
      </c>
    </row>
    <row r="13" spans="1:40" x14ac:dyDescent="0.2">
      <c r="A13" t="str">
        <v>S39-44228b4d</v>
      </c>
      <c r="B13" t="str">
        <v>Qual</v>
      </c>
      <c r="C13">
        <v>37</v>
      </c>
      <c r="D13">
        <v>2040</v>
      </c>
      <c r="E13" t="str">
        <v>Red</v>
      </c>
      <c r="F13">
        <v>1</v>
      </c>
      <c r="G13" t="str">
        <v>Grace</v>
      </c>
      <c r="H13" t="str">
        <v>Yes</v>
      </c>
      <c r="I13" t="str">
        <v>Left</v>
      </c>
      <c r="J13">
        <v>5</v>
      </c>
      <c r="K13">
        <v>23</v>
      </c>
      <c r="L13">
        <v>7</v>
      </c>
      <c r="M13" t="str">
        <v>Left start line; Went to Neutral Zone; Used Trench</v>
      </c>
      <c r="N13" t="str">
        <v>Depot</v>
      </c>
      <c r="O13" t="str">
        <v>None</v>
      </c>
      <c r="P13">
        <v>126</v>
      </c>
      <c r="Q13">
        <v>38</v>
      </c>
      <c r="R13" t="str">
        <v>Neutral Zone floor; Alliance Zone floor; Depot</v>
      </c>
      <c r="S13" t="str">
        <v>Close to Hub; Mid range; Long range; While moving</v>
      </c>
      <c r="T13" t="str">
        <v>Bump; Trench</v>
      </c>
      <c r="U13" t="str">
        <v>Collects / stockpiles; Passes fuel to our zone</v>
      </c>
      <c r="V13" t="str">
        <v>40+</v>
      </c>
      <c r="W13" t="str">
        <v>None</v>
      </c>
      <c r="X13" t="str">
        <v>Some</v>
      </c>
      <c r="Y13" t="str">
        <v>None</v>
      </c>
      <c r="Z13">
        <v>0</v>
      </c>
      <c r="AA13">
        <v>4</v>
      </c>
      <c r="AB13">
        <v>5</v>
      </c>
      <c r="AC13">
        <v>4</v>
      </c>
      <c r="AD13">
        <v>0</v>
      </c>
      <c r="AE13">
        <v>0</v>
      </c>
      <c r="AF13">
        <v>0</v>
      </c>
      <c r="AG13" t="str">
        <v>None</v>
      </c>
      <c r="AH13" t="str">
        <v>Yes</v>
      </c>
      <c r="AI13" t="str">
        <v>High-volume scorer; fed fuel to partners during inactive shift</v>
      </c>
      <c r="AJ13">
        <v>23</v>
      </c>
      <c r="AK13">
        <v>126</v>
      </c>
      <c r="AL13">
        <v>0</v>
      </c>
      <c r="AM13">
        <v>149</v>
      </c>
      <c r="AN13" t="str">
        <v>3/20/2026, 2:51:55 PM</v>
      </c>
    </row>
    <row r="14" spans="1:40" x14ac:dyDescent="0.2">
      <c r="A14" t="str">
        <v>S39-44228b4d</v>
      </c>
      <c r="B14" t="str">
        <v>Qual</v>
      </c>
      <c r="C14">
        <v>44</v>
      </c>
      <c r="D14">
        <v>2040</v>
      </c>
      <c r="E14" t="str">
        <v>Blue</v>
      </c>
      <c r="F14">
        <v>3</v>
      </c>
      <c r="G14" t="str">
        <v>Lily</v>
      </c>
      <c r="H14" t="str">
        <v>Yes</v>
      </c>
      <c r="I14" t="str">
        <v>Left</v>
      </c>
      <c r="J14">
        <v>5</v>
      </c>
      <c r="K14">
        <v>19</v>
      </c>
      <c r="L14">
        <v>4</v>
      </c>
      <c r="M14" t="str">
        <v>Left start line; Went to Neutral Zone; Used Trench</v>
      </c>
      <c r="N14" t="str">
        <v>Neutral Zone</v>
      </c>
      <c r="O14" t="str">
        <v>None</v>
      </c>
      <c r="P14">
        <v>105</v>
      </c>
      <c r="Q14">
        <v>25</v>
      </c>
      <c r="R14" t="str">
        <v>Neutral Zone floor; Alliance Zone floor; Depot</v>
      </c>
      <c r="S14" t="str">
        <v>Close to Hub; Mid range; Long range; While moving</v>
      </c>
      <c r="T14" t="str">
        <v>Bump; Trench</v>
      </c>
      <c r="U14" t="str">
        <v>Collects / stockpiles; Passes fuel to our zone</v>
      </c>
      <c r="V14" t="str">
        <v>40+</v>
      </c>
      <c r="W14" t="str">
        <v>None</v>
      </c>
      <c r="X14" t="str">
        <v>No</v>
      </c>
      <c r="Y14" t="str">
        <v>None</v>
      </c>
      <c r="Z14">
        <v>0</v>
      </c>
      <c r="AA14">
        <v>5</v>
      </c>
      <c r="AB14">
        <v>4</v>
      </c>
      <c r="AC14">
        <v>4</v>
      </c>
      <c r="AD14">
        <v>0</v>
      </c>
      <c r="AE14">
        <v>0</v>
      </c>
      <c r="AF14">
        <v>0</v>
      </c>
      <c r="AG14" t="str">
        <v>None</v>
      </c>
      <c r="AH14" t="str">
        <v>Yes</v>
      </c>
      <c r="AI14" t="str">
        <v>High-volume scorer; fed fuel to partners during inactive shift</v>
      </c>
      <c r="AJ14">
        <v>19</v>
      </c>
      <c r="AK14">
        <v>105</v>
      </c>
      <c r="AL14">
        <v>0</v>
      </c>
      <c r="AM14">
        <v>124</v>
      </c>
      <c r="AN14" t="str">
        <v>3/21/2026, 9:28:41 AM</v>
      </c>
    </row>
    <row r="15" spans="1:40" x14ac:dyDescent="0.2">
      <c r="A15" t="str">
        <v>S39-44228b4d</v>
      </c>
      <c r="B15" t="str">
        <v>Qual</v>
      </c>
      <c r="C15">
        <v>49</v>
      </c>
      <c r="D15">
        <v>2040</v>
      </c>
      <c r="E15" t="str">
        <v>Blue</v>
      </c>
      <c r="F15">
        <v>2</v>
      </c>
      <c r="G15" t="str">
        <v>Kai</v>
      </c>
      <c r="H15" t="str">
        <v>Yes</v>
      </c>
      <c r="I15" t="str">
        <v>Left</v>
      </c>
      <c r="J15">
        <v>5</v>
      </c>
      <c r="K15">
        <v>29</v>
      </c>
      <c r="L15">
        <v>9</v>
      </c>
      <c r="M15" t="str">
        <v>Left start line; Went to Neutral Zone; Crossed Bump</v>
      </c>
      <c r="N15" t="str">
        <v>Neutral Zone</v>
      </c>
      <c r="O15" t="str">
        <v>None</v>
      </c>
      <c r="P15">
        <v>92</v>
      </c>
      <c r="Q15">
        <v>29</v>
      </c>
      <c r="R15" t="str">
        <v>Neutral Zone floor; Alliance Zone floor; Depot</v>
      </c>
      <c r="S15" t="str">
        <v>Close to Hub; Mid range; Long range; While moving</v>
      </c>
      <c r="T15" t="str">
        <v>Bump; Trench</v>
      </c>
      <c r="U15" t="str">
        <v>Collects / stockpiles; Passes fuel to our zone</v>
      </c>
      <c r="V15" t="str">
        <v>40+</v>
      </c>
      <c r="W15" t="str">
        <v>None</v>
      </c>
      <c r="X15" t="str">
        <v>No</v>
      </c>
      <c r="Y15" t="str">
        <v>None</v>
      </c>
      <c r="Z15">
        <v>0</v>
      </c>
      <c r="AA15">
        <v>5</v>
      </c>
      <c r="AB15">
        <v>5</v>
      </c>
      <c r="AC15">
        <v>3</v>
      </c>
      <c r="AD15" t="str">
        <v>Fuel jam</v>
      </c>
      <c r="AE15">
        <v>1</v>
      </c>
      <c r="AF15">
        <v>0</v>
      </c>
      <c r="AG15" t="str">
        <v>None</v>
      </c>
      <c r="AH15" t="str">
        <v>Yes</v>
      </c>
      <c r="AI15" t="str">
        <v>High-volume scorer; shoots well from long range; fed fuel to partners during inactive shift</v>
      </c>
      <c r="AJ15">
        <v>29</v>
      </c>
      <c r="AK15">
        <v>92</v>
      </c>
      <c r="AL15">
        <v>0</v>
      </c>
      <c r="AM15">
        <v>121</v>
      </c>
      <c r="AN15" t="str">
        <v>3/21/2026, 10:07:39 AM</v>
      </c>
    </row>
    <row r="16" spans="1:40" x14ac:dyDescent="0.2">
      <c r="A16" t="str">
        <v>S39-44228b4d</v>
      </c>
      <c r="B16" t="str">
        <v>Qual</v>
      </c>
      <c r="C16">
        <v>52</v>
      </c>
      <c r="D16">
        <v>2040</v>
      </c>
      <c r="E16" t="str">
        <v>Red</v>
      </c>
      <c r="F16">
        <v>3</v>
      </c>
      <c r="G16" t="str">
        <v>Isla</v>
      </c>
      <c r="H16" t="str">
        <v>Yes</v>
      </c>
      <c r="I16" t="str">
        <v>Left</v>
      </c>
      <c r="J16">
        <v>5</v>
      </c>
      <c r="K16">
        <v>23</v>
      </c>
      <c r="L16">
        <v>6</v>
      </c>
      <c r="M16" t="str">
        <v>Left start line; Went to Neutral Zone; Used Trench</v>
      </c>
      <c r="N16" t="str">
        <v>Depot</v>
      </c>
      <c r="O16" t="str">
        <v>None</v>
      </c>
      <c r="P16">
        <v>68</v>
      </c>
      <c r="Q16">
        <v>18</v>
      </c>
      <c r="R16" t="str">
        <v>Neutral Zone floor; Alliance Zone floor; Depot</v>
      </c>
      <c r="S16" t="str">
        <v>Close to Hub; Mid range; Long range; While moving</v>
      </c>
      <c r="T16" t="str">
        <v>Bump; Trench</v>
      </c>
      <c r="U16" t="str">
        <v>Collects / stockpiles; Passes fuel to our zone</v>
      </c>
      <c r="V16" t="str">
        <v>40+</v>
      </c>
      <c r="W16" t="str">
        <v>None</v>
      </c>
      <c r="X16" t="str">
        <v>No</v>
      </c>
      <c r="Y16" t="str">
        <v>None</v>
      </c>
      <c r="Z16">
        <v>0</v>
      </c>
      <c r="AA16">
        <v>5</v>
      </c>
      <c r="AB16">
        <v>5</v>
      </c>
      <c r="AC16">
        <v>4</v>
      </c>
      <c r="AD16">
        <v>0</v>
      </c>
      <c r="AE16">
        <v>0</v>
      </c>
      <c r="AF16">
        <v>0</v>
      </c>
      <c r="AG16" t="str">
        <v>None</v>
      </c>
      <c r="AH16" t="str">
        <v>Yes</v>
      </c>
      <c r="AI16" t="str">
        <v>Consistent cycles</v>
      </c>
      <c r="AJ16">
        <v>23</v>
      </c>
      <c r="AK16">
        <v>68</v>
      </c>
      <c r="AL16">
        <v>0</v>
      </c>
      <c r="AM16">
        <v>91</v>
      </c>
      <c r="AN16" t="str">
        <v>3/21/2026, 10:33:13 AM</v>
      </c>
    </row>
    <row r="17" spans="1:40" x14ac:dyDescent="0.2">
      <c r="A17" t="str">
        <v>S39-44228b4d</v>
      </c>
      <c r="B17" t="str">
        <v>Qual</v>
      </c>
      <c r="C17">
        <v>58</v>
      </c>
      <c r="D17">
        <v>2040</v>
      </c>
      <c r="E17" t="str">
        <v>Red</v>
      </c>
      <c r="F17">
        <v>3</v>
      </c>
      <c r="G17" t="str">
        <v>Isla</v>
      </c>
      <c r="H17" t="str">
        <v>Yes</v>
      </c>
      <c r="I17" t="str">
        <v>Left</v>
      </c>
      <c r="J17">
        <v>5</v>
      </c>
      <c r="K17">
        <v>27</v>
      </c>
      <c r="L17">
        <v>7</v>
      </c>
      <c r="M17" t="str">
        <v>Left start line; Went to Neutral Zone; Used Trench</v>
      </c>
      <c r="N17" t="str">
        <v>Depot</v>
      </c>
      <c r="O17" t="str">
        <v>None</v>
      </c>
      <c r="P17">
        <v>97</v>
      </c>
      <c r="Q17">
        <v>27</v>
      </c>
      <c r="R17" t="str">
        <v>Neutral Zone floor; Alliance Zone floor; Depot</v>
      </c>
      <c r="S17" t="str">
        <v>Close to Hub; Mid range; Long range; While moving</v>
      </c>
      <c r="T17" t="str">
        <v>Bump; Trench</v>
      </c>
      <c r="U17" t="str">
        <v>Collects / stockpiles; Passes fuel to our zone</v>
      </c>
      <c r="V17" t="str">
        <v>40+</v>
      </c>
      <c r="W17" t="str">
        <v>None</v>
      </c>
      <c r="X17" t="str">
        <v>No</v>
      </c>
      <c r="Y17" t="str">
        <v>None</v>
      </c>
      <c r="Z17">
        <v>0</v>
      </c>
      <c r="AA17">
        <v>4</v>
      </c>
      <c r="AB17">
        <v>5</v>
      </c>
      <c r="AC17">
        <v>4</v>
      </c>
      <c r="AD17">
        <v>0</v>
      </c>
      <c r="AE17">
        <v>0</v>
      </c>
      <c r="AF17">
        <v>0</v>
      </c>
      <c r="AG17" t="str">
        <v>None</v>
      </c>
      <c r="AH17" t="str">
        <v>Yes</v>
      </c>
      <c r="AI17" t="str">
        <v>High-volume scorer</v>
      </c>
      <c r="AJ17">
        <v>27</v>
      </c>
      <c r="AK17">
        <v>97</v>
      </c>
      <c r="AL17">
        <v>0</v>
      </c>
      <c r="AM17">
        <v>124</v>
      </c>
      <c r="AN17" t="str">
        <v>3/21/2026, 11:20:46 AM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92049-A61E-43D9-970B-0D38A825C55C}">
  <dimension ref="A1:G3000"/>
  <sheetViews>
    <sheetView workbookViewId="0"/>
  </sheetViews>
  <sheetFormatPr defaultRowHeight="12.75" x14ac:dyDescent="0.2"/>
  <cols>
    <col min="1" max="1" width="24.7109375" customWidth="1"/>
    <col min="2" max="4" width="9.7109375" customWidth="1"/>
    <col min="5" max="5" width="10.7109375" customWidth="1"/>
    <col min="6" max="6" width="14.7109375" customWidth="1"/>
    <col min="7" max="7" width="70.7109375" customWidth="1"/>
  </cols>
  <sheetData>
    <row r="1" spans="1:7" ht="27.95" customHeight="1" x14ac:dyDescent="0.3">
      <c r="A1" s="2" t="s">
        <v>82</v>
      </c>
      <c r="B1" s="1"/>
      <c r="C1" s="1"/>
      <c r="D1" s="1"/>
      <c r="E1" s="1"/>
      <c r="F1" s="1"/>
      <c r="G1" s="1"/>
    </row>
    <row r="2" spans="1:7" x14ac:dyDescent="0.2">
      <c r="A2" s="4" t="s">
        <v>83</v>
      </c>
      <c r="B2" s="3"/>
      <c r="C2" s="3"/>
      <c r="D2" s="3"/>
      <c r="E2" s="3"/>
      <c r="F2" s="3"/>
      <c r="G2" s="3"/>
    </row>
    <row r="4" spans="1:7" ht="25.5" x14ac:dyDescent="0.2">
      <c r="A4" s="8" t="s">
        <v>84</v>
      </c>
      <c r="B4" s="8" t="s">
        <v>85</v>
      </c>
      <c r="C4" s="8" t="s">
        <v>86</v>
      </c>
      <c r="D4" s="8"/>
      <c r="E4" s="8"/>
      <c r="F4" s="8"/>
      <c r="G4" s="8"/>
    </row>
    <row r="5" spans="1:7" x14ac:dyDescent="0.2">
      <c r="A5" s="5" t="s">
        <v>92</v>
      </c>
      <c r="B5" s="15">
        <f>COUNTIF(Scans[Team '#],"&lt;&gt;")</f>
        <v>372</v>
      </c>
    </row>
    <row r="6" spans="1:7" x14ac:dyDescent="0.2">
      <c r="A6" s="5" t="s">
        <v>93</v>
      </c>
      <c r="B6" s="15">
        <f>COUNTIF(INDEX(_xlfn.ANCHORARRAY($A$17),,1),"Duplicate scan")</f>
        <v>0</v>
      </c>
      <c r="C6" t="s">
        <v>94</v>
      </c>
    </row>
    <row r="7" spans="1:7" x14ac:dyDescent="0.2">
      <c r="A7" s="5" t="s">
        <v>95</v>
      </c>
      <c r="B7" s="15" t="str">
        <f>IF(COUNT(INDEX(_xlfn.ANCHORARRAY('TBA Schedule'!$R$5),,1))&gt;0,"–",COUNTIF(INDEX(_xlfn.ANCHORARRAY($A$17),,1),"Not 6 scans"))</f>
        <v>–</v>
      </c>
      <c r="C7" t="s">
        <v>96</v>
      </c>
    </row>
    <row r="8" spans="1:7" x14ac:dyDescent="0.2">
      <c r="A8" s="5" t="s">
        <v>97</v>
      </c>
      <c r="B8" s="15">
        <f>IF(COUNT(INDEX(_xlfn.ANCHORARRAY('TBA Schedule'!$R$5),,1))&gt;0,COUNTIF(INDEX(_xlfn.ANCHORARRAY($A$17),,1),"Not scouted"),"needs schedule")</f>
        <v>0</v>
      </c>
      <c r="C8" t="s">
        <v>98</v>
      </c>
    </row>
    <row r="9" spans="1:7" x14ac:dyDescent="0.2">
      <c r="A9" s="5" t="s">
        <v>99</v>
      </c>
      <c r="B9" s="15">
        <f>IF(COUNT(INDEX(_xlfn.ANCHORARRAY('TBA Schedule'!$R$5),,1))&gt;0,COUNTIF(INDEX(_xlfn.ANCHORARRAY($A$17),,1),"Team not in that match"),"needs schedule")</f>
        <v>0</v>
      </c>
      <c r="C9" t="s">
        <v>100</v>
      </c>
    </row>
    <row r="10" spans="1:7" x14ac:dyDescent="0.2">
      <c r="A10" s="5" t="s">
        <v>101</v>
      </c>
      <c r="B10" s="15" t="str">
        <f>IF(COUNT(INDEX(_xlfn.ANCHORARRAY('TBA Teams'!$R$5),,1))&gt;0,IF(COUNT(INDEX(_xlfn.ANCHORARRAY('TBA Schedule'!$R$5),,1))&gt;0,"–",COUNTIF(INDEX(_xlfn.ANCHORARRAY($A$17),,1),"Team not at this event")),"needs team list")</f>
        <v>–</v>
      </c>
      <c r="C10" t="s">
        <v>102</v>
      </c>
    </row>
    <row r="11" spans="1:7" x14ac:dyDescent="0.2">
      <c r="A11" s="5" t="s">
        <v>103</v>
      </c>
      <c r="B11" s="15">
        <f>IF(COUNT(INDEX(_xlfn.ANCHORARRAY('TBA Schedule'!$R$5),,1))&gt;0,COUNTIF(INDEX(_xlfn.ANCHORARRAY($A$17),,1),"Wrong alliance"),"needs schedule")</f>
        <v>0</v>
      </c>
      <c r="C11" t="s">
        <v>104</v>
      </c>
    </row>
    <row r="12" spans="1:7" x14ac:dyDescent="0.2">
      <c r="A12" s="5" t="s">
        <v>105</v>
      </c>
      <c r="B12" s="15" t="str">
        <f>IF(COUNT(INDEX(_xlfn.ANCHORARRAY('TBA Schedule'!$R$5),,1))&gt;0,COUNT(INDEX(_xlfn.ANCHORARRAY('TBA Schedule'!$R$5),,1))/6&amp;" qual matches","not pasted yet")</f>
        <v>62 qual matches</v>
      </c>
      <c r="C12" t="s">
        <v>106</v>
      </c>
    </row>
    <row r="13" spans="1:7" x14ac:dyDescent="0.2">
      <c r="A13" s="5" t="s">
        <v>107</v>
      </c>
      <c r="B13" s="15" t="str">
        <f>IF(COUNT(INDEX(_xlfn.ANCHORARRAY('TBA Teams'!$R$5),,1))&gt;0,COUNT(INDEX(_xlfn.ANCHORARRAY('TBA Teams'!$R$5),,1))&amp;" teams","not pasted yet")</f>
        <v>31 teams</v>
      </c>
      <c r="C13" t="s">
        <v>108</v>
      </c>
    </row>
    <row r="15" spans="1:7" ht="15.75" x14ac:dyDescent="0.25">
      <c r="A15" s="20" t="s">
        <v>87</v>
      </c>
    </row>
    <row r="16" spans="1:7" x14ac:dyDescent="0.2">
      <c r="A16" s="8" t="s">
        <v>88</v>
      </c>
      <c r="B16" s="8" t="s">
        <v>11</v>
      </c>
      <c r="C16" s="8" t="s">
        <v>13</v>
      </c>
      <c r="D16" s="8" t="s">
        <v>12</v>
      </c>
      <c r="E16" s="8" t="s">
        <v>89</v>
      </c>
      <c r="F16" s="8" t="s">
        <v>90</v>
      </c>
      <c r="G16" s="8" t="s">
        <v>91</v>
      </c>
    </row>
    <row r="17" spans="1:5" x14ac:dyDescent="0.2">
      <c r="A17" t="str" cm="1">
        <f t="array" ref="A17">_xlfn.LET(_xlpm.ty,Scans[Match type],_xlpm.mt,Scans[Match '#],_xlpm.tm,Scans[Team '#],_xlpm.al,Scans[Alliance],_xlpm.sc,Scans[Scout name],_xlpm.rw,ROW(Scans[Team '#]),_xlpm.nT,_xlfn.SEQUENCE(ROWS(_xlpm.tm)),_xlpm.has,_xlpm.tm&lt;&gt;"",_xlpm.qual,_xlpm.has*((_xlpm.ty="Qual")+(_xlpm.ty="")),_xlpm.s,_xlfn.ANCHORARRAY('TBA Schedule'!$R$5),_xlpm.sm,INDEX(_xlpm.s,,1),_xlpm.sa,INDEX(_xlpm.s,,2),_xlpm.st,INDEX(_xlpm.s,,3),_xlpm.nS,_xlfn.SEQUENCE(ROWS(_xlpm.sm)),_xlpm.hasSched,COUNT(_xlpm.sm)&gt;0,_xlpm.dupN,COUNTIFS(Scans[Team '#],_xlpm.tm,Scans[Match '#],_xlpm.mt,Scans[Match type],_xlpm.ty),_xlpm.dup,_xlfn._xlws.FILTER(_xlfn.HSTACK(IF(_xlpm.nT,"Duplicate scan"),_xlpm.mt,_xlpm.tm,_xlpm.al,_xlpm.rw,_xlpm.sc,"Scanned "&amp;_xlpm.dupN&amp;" times: delete the extra row"),_xlpm.has*(_xlpm.dupN&gt;1),""),_xlpm.qm,_xlfn.UNIQUE(_xlfn._xlws.FILTER(_xlpm.mt,_xlpm.qual,"")),_xlpm.nQ,_xlfn.SEQUENCE(ROWS(_xlpm.qm)),_xlpm.qc,COUNTIFS(Scans[Match '#],_xlpm.qm,Scans[Team '#],"&lt;&gt;",Scans[Match type],"Qual")+COUNTIFS(Scans[Match '#],_xlpm.qm,Scans[Team '#],"&lt;&gt;",Scans[Match type],""),_xlpm.cnt,IF(_xlpm.hasSched,"",_xlfn._xlws.FILTER(_xlfn.HSTACK(IF(_xlpm.nQ,"Not 6 scans"),_xlpm.qm,IF(_xlpm.nQ,""),IF(_xlpm.nQ,""),IF(_xlpm.nQ,""),IF(_xlpm.nQ,""),_xlpm.qc&amp;" scans in this match, expected 6"),(_xlpm.qm&lt;&gt;"")*(_xlpm.qc&lt;&gt;6),"")),_xlpm.last,MAX(_xlfn._xlws.FILTER(_xlpm.mt,_xlpm.qual,0)),_xlpm.seen,COUNTIFS(Scans[Match '#],_xlpm.sm,Scans[Team '#],_xlpm.st,Scans[Match type],"Qual")+COUNTIFS(Scans[Match '#],_xlpm.sm,Scans[Team '#],_xlpm.st,Scans[Match type],""),_xlpm.miss,IF(_xlpm.hasSched,_xlfn._xlws.FILTER(_xlfn.HSTACK(IF(_xlpm.nS,"Not scouted"),_xlpm.sm,_xlpm.st,_xlpm.sa,IF(_xlpm.nS,""),IF(_xlpm.nS,""),IF(_xlpm.nS,"Nobody scanned this robot: ask its scout to show the QR code again (Submitted matches)")),ISNUMBER(_xlpm.sm)*(_xlpm.sm&lt;=_xlpm.last)*(_xlpm.seen=0),""),""),_xlpm.inM,COUNTIFS(_xlpm.sm,_xlpm.mt,_xlpm.st,_xlpm.tm),_xlpm.wt,IF(_xlpm.hasSched,_xlfn._xlws.FILTER(_xlfn.HSTACK(IF(_xlpm.nT,"Team not in that match"),_xlpm.mt,_xlpm.tm,_xlpm.al,_xlpm.rw,_xlpm.sc,IF(COUNTIFS(_xlpm.sm,_xlpm.mt)&gt;0,"Typo in Team #? Check the schedule for this match","There is no such qual match on the TBA schedule")),_xlpm.qual*(_xlpm.inM=0),""),""),_xlpm.inA,COUNTIFS(_xlpm.sm,_xlpm.mt,_xlpm.st,_xlpm.tm,_xlpm.sa,_xlpm.al),_xlpm.wa,IF(_xlpm.hasSched,_xlfn._xlws.FILTER(_xlfn.HSTACK(IF(_xlpm.nT,"Wrong alliance"),_xlpm.mt,_xlpm.tm,_xlpm.al,_xlpm.rw,_xlpm.sc,"The schedule says "&amp;_xlfn.XLOOKUP(_xlpm.mt&amp;"|"&amp;_xlpm.tm,_xlpm.sm&amp;"|"&amp;_xlpm.st,_xlpm.sa,"?")),_xlpm.qual*(_xlpm.inM&gt;0)*(_xlpm.inA=0),""),""),_xlpm.tl,_xlfn.ANCHORARRAY('TBA Teams'!$R$5),_xlpm.tn,INDEX(_xlpm.tl,,1),_xlpm.hasTeams,COUNT(_xlpm.tn)&gt;0,_xlpm.ne,IF(_xlpm.hasTeams*NOT(_xlpm.hasSched),_xlfn._xlws.FILTER(_xlfn.HSTACK(IF(_xlpm.nT,"Team not at this event"),_xlpm.mt,_xlpm.tm,_xlpm.al,_xlpm.rw,_xlpm.sc,IF(_xlpm.nT,"Not on TBA's team list for this event: typo in Team #?")),_xlpm.has*(COUNTIFS(_xlpm.tn,_xlpm.tm)=0),""),""),_xlpm.all,_xlfn.VSTACK(_xlpm.dup,_xlpm.cnt,_xlpm.miss,_xlpm.wt,_xlpm.ne,_xlpm.wa),_xlfn._xlws.FILTER(_xlpm.all,IFERROR(INDEX(_xlpm.all,,1)&lt;&gt;"",FALSE),"✓ Nothing to fix"))</f>
        <v>✓ Nothing to fix</v>
      </c>
      <c r="B17" s="15"/>
      <c r="C17" s="15"/>
      <c r="D17" s="15"/>
      <c r="E17" s="15"/>
    </row>
    <row r="18" spans="1:5" x14ac:dyDescent="0.2">
      <c r="B18" s="15"/>
      <c r="C18" s="15"/>
      <c r="D18" s="15"/>
      <c r="E18" s="15"/>
    </row>
    <row r="19" spans="1:5" x14ac:dyDescent="0.2">
      <c r="B19" s="15"/>
      <c r="C19" s="15"/>
      <c r="D19" s="15"/>
      <c r="E19" s="15"/>
    </row>
    <row r="20" spans="1:5" x14ac:dyDescent="0.2">
      <c r="B20" s="15"/>
      <c r="C20" s="15"/>
      <c r="D20" s="15"/>
      <c r="E20" s="15"/>
    </row>
    <row r="21" spans="1:5" x14ac:dyDescent="0.2">
      <c r="B21" s="15"/>
      <c r="C21" s="15"/>
      <c r="D21" s="15"/>
      <c r="E21" s="15"/>
    </row>
    <row r="22" spans="1:5" x14ac:dyDescent="0.2">
      <c r="B22" s="15"/>
      <c r="C22" s="15"/>
      <c r="D22" s="15"/>
      <c r="E22" s="15"/>
    </row>
    <row r="23" spans="1:5" x14ac:dyDescent="0.2">
      <c r="B23" s="15"/>
      <c r="C23" s="15"/>
      <c r="D23" s="15"/>
      <c r="E23" s="15"/>
    </row>
    <row r="24" spans="1:5" x14ac:dyDescent="0.2">
      <c r="B24" s="15"/>
      <c r="C24" s="15"/>
      <c r="D24" s="15"/>
      <c r="E24" s="15"/>
    </row>
    <row r="25" spans="1:5" x14ac:dyDescent="0.2">
      <c r="B25" s="15"/>
      <c r="C25" s="15"/>
      <c r="D25" s="15"/>
      <c r="E25" s="15"/>
    </row>
    <row r="26" spans="1:5" x14ac:dyDescent="0.2">
      <c r="B26" s="15"/>
      <c r="C26" s="15"/>
      <c r="D26" s="15"/>
      <c r="E26" s="15"/>
    </row>
    <row r="27" spans="1:5" x14ac:dyDescent="0.2">
      <c r="B27" s="15"/>
      <c r="C27" s="15"/>
      <c r="D27" s="15"/>
      <c r="E27" s="15"/>
    </row>
    <row r="28" spans="1:5" x14ac:dyDescent="0.2">
      <c r="B28" s="15"/>
      <c r="C28" s="15"/>
      <c r="D28" s="15"/>
      <c r="E28" s="15"/>
    </row>
    <row r="29" spans="1:5" x14ac:dyDescent="0.2">
      <c r="B29" s="15"/>
      <c r="C29" s="15"/>
      <c r="D29" s="15"/>
      <c r="E29" s="15"/>
    </row>
    <row r="30" spans="1:5" x14ac:dyDescent="0.2">
      <c r="B30" s="15"/>
      <c r="C30" s="15"/>
      <c r="D30" s="15"/>
      <c r="E30" s="15"/>
    </row>
    <row r="31" spans="1:5" x14ac:dyDescent="0.2">
      <c r="B31" s="15"/>
      <c r="C31" s="15"/>
      <c r="D31" s="15"/>
      <c r="E31" s="15"/>
    </row>
    <row r="32" spans="1:5" x14ac:dyDescent="0.2">
      <c r="B32" s="15"/>
      <c r="C32" s="15"/>
      <c r="D32" s="15"/>
      <c r="E32" s="15"/>
    </row>
    <row r="33" spans="2:5" x14ac:dyDescent="0.2">
      <c r="B33" s="15"/>
      <c r="C33" s="15"/>
      <c r="D33" s="15"/>
      <c r="E33" s="15"/>
    </row>
    <row r="34" spans="2:5" x14ac:dyDescent="0.2">
      <c r="B34" s="15"/>
      <c r="C34" s="15"/>
      <c r="D34" s="15"/>
      <c r="E34" s="15"/>
    </row>
    <row r="35" spans="2:5" x14ac:dyDescent="0.2">
      <c r="B35" s="15"/>
      <c r="C35" s="15"/>
      <c r="D35" s="15"/>
      <c r="E35" s="15"/>
    </row>
    <row r="36" spans="2:5" x14ac:dyDescent="0.2">
      <c r="B36" s="15"/>
      <c r="C36" s="15"/>
      <c r="D36" s="15"/>
      <c r="E36" s="15"/>
    </row>
    <row r="37" spans="2:5" x14ac:dyDescent="0.2">
      <c r="B37" s="15"/>
      <c r="C37" s="15"/>
      <c r="D37" s="15"/>
      <c r="E37" s="15"/>
    </row>
    <row r="38" spans="2:5" x14ac:dyDescent="0.2">
      <c r="B38" s="15"/>
      <c r="C38" s="15"/>
      <c r="D38" s="15"/>
      <c r="E38" s="15"/>
    </row>
    <row r="39" spans="2:5" x14ac:dyDescent="0.2">
      <c r="B39" s="15"/>
      <c r="C39" s="15"/>
      <c r="D39" s="15"/>
      <c r="E39" s="15"/>
    </row>
    <row r="40" spans="2:5" x14ac:dyDescent="0.2">
      <c r="B40" s="15"/>
      <c r="C40" s="15"/>
      <c r="D40" s="15"/>
      <c r="E40" s="15"/>
    </row>
    <row r="41" spans="2:5" x14ac:dyDescent="0.2">
      <c r="B41" s="15"/>
      <c r="C41" s="15"/>
      <c r="D41" s="15"/>
      <c r="E41" s="15"/>
    </row>
    <row r="42" spans="2:5" x14ac:dyDescent="0.2">
      <c r="B42" s="15"/>
      <c r="C42" s="15"/>
      <c r="D42" s="15"/>
      <c r="E42" s="15"/>
    </row>
    <row r="43" spans="2:5" x14ac:dyDescent="0.2">
      <c r="B43" s="15"/>
      <c r="C43" s="15"/>
      <c r="D43" s="15"/>
      <c r="E43" s="15"/>
    </row>
    <row r="44" spans="2:5" x14ac:dyDescent="0.2">
      <c r="B44" s="15"/>
      <c r="C44" s="15"/>
      <c r="D44" s="15"/>
      <c r="E44" s="15"/>
    </row>
    <row r="45" spans="2:5" x14ac:dyDescent="0.2">
      <c r="B45" s="15"/>
      <c r="C45" s="15"/>
      <c r="D45" s="15"/>
      <c r="E45" s="15"/>
    </row>
    <row r="46" spans="2:5" x14ac:dyDescent="0.2">
      <c r="B46" s="15"/>
      <c r="C46" s="15"/>
      <c r="D46" s="15"/>
      <c r="E46" s="15"/>
    </row>
    <row r="47" spans="2:5" x14ac:dyDescent="0.2">
      <c r="B47" s="15"/>
      <c r="C47" s="15"/>
      <c r="D47" s="15"/>
      <c r="E47" s="15"/>
    </row>
    <row r="48" spans="2:5" x14ac:dyDescent="0.2">
      <c r="B48" s="15"/>
      <c r="C48" s="15"/>
      <c r="D48" s="15"/>
      <c r="E48" s="15"/>
    </row>
    <row r="49" spans="2:5" x14ac:dyDescent="0.2">
      <c r="B49" s="15"/>
      <c r="C49" s="15"/>
      <c r="D49" s="15"/>
      <c r="E49" s="15"/>
    </row>
    <row r="50" spans="2:5" x14ac:dyDescent="0.2">
      <c r="B50" s="15"/>
      <c r="C50" s="15"/>
      <c r="D50" s="15"/>
      <c r="E50" s="15"/>
    </row>
    <row r="51" spans="2:5" x14ac:dyDescent="0.2">
      <c r="B51" s="15"/>
      <c r="C51" s="15"/>
      <c r="D51" s="15"/>
      <c r="E51" s="15"/>
    </row>
    <row r="52" spans="2:5" x14ac:dyDescent="0.2">
      <c r="B52" s="15"/>
      <c r="C52" s="15"/>
      <c r="D52" s="15"/>
      <c r="E52" s="15"/>
    </row>
    <row r="53" spans="2:5" x14ac:dyDescent="0.2">
      <c r="B53" s="15"/>
      <c r="C53" s="15"/>
      <c r="D53" s="15"/>
      <c r="E53" s="15"/>
    </row>
    <row r="54" spans="2:5" x14ac:dyDescent="0.2">
      <c r="B54" s="15"/>
      <c r="C54" s="15"/>
      <c r="D54" s="15"/>
      <c r="E54" s="15"/>
    </row>
    <row r="55" spans="2:5" x14ac:dyDescent="0.2">
      <c r="B55" s="15"/>
      <c r="C55" s="15"/>
      <c r="D55" s="15"/>
      <c r="E55" s="15"/>
    </row>
    <row r="56" spans="2:5" x14ac:dyDescent="0.2">
      <c r="B56" s="15"/>
      <c r="C56" s="15"/>
      <c r="D56" s="15"/>
      <c r="E56" s="15"/>
    </row>
    <row r="57" spans="2:5" x14ac:dyDescent="0.2">
      <c r="B57" s="15"/>
      <c r="C57" s="15"/>
      <c r="D57" s="15"/>
      <c r="E57" s="15"/>
    </row>
    <row r="58" spans="2:5" x14ac:dyDescent="0.2">
      <c r="B58" s="15"/>
      <c r="C58" s="15"/>
      <c r="D58" s="15"/>
      <c r="E58" s="15"/>
    </row>
    <row r="59" spans="2:5" x14ac:dyDescent="0.2">
      <c r="B59" s="15"/>
      <c r="C59" s="15"/>
      <c r="D59" s="15"/>
      <c r="E59" s="15"/>
    </row>
    <row r="60" spans="2:5" x14ac:dyDescent="0.2">
      <c r="B60" s="15"/>
      <c r="C60" s="15"/>
      <c r="D60" s="15"/>
      <c r="E60" s="15"/>
    </row>
    <row r="61" spans="2:5" x14ac:dyDescent="0.2">
      <c r="B61" s="15"/>
      <c r="C61" s="15"/>
      <c r="D61" s="15"/>
      <c r="E61" s="15"/>
    </row>
    <row r="62" spans="2:5" x14ac:dyDescent="0.2">
      <c r="B62" s="15"/>
      <c r="C62" s="15"/>
      <c r="D62" s="15"/>
      <c r="E62" s="15"/>
    </row>
    <row r="63" spans="2:5" x14ac:dyDescent="0.2">
      <c r="B63" s="15"/>
      <c r="C63" s="15"/>
      <c r="D63" s="15"/>
      <c r="E63" s="15"/>
    </row>
    <row r="64" spans="2:5" x14ac:dyDescent="0.2">
      <c r="B64" s="15"/>
      <c r="C64" s="15"/>
      <c r="D64" s="15"/>
      <c r="E64" s="15"/>
    </row>
    <row r="65" spans="2:5" x14ac:dyDescent="0.2">
      <c r="B65" s="15"/>
      <c r="C65" s="15"/>
      <c r="D65" s="15"/>
      <c r="E65" s="15"/>
    </row>
    <row r="66" spans="2:5" x14ac:dyDescent="0.2">
      <c r="B66" s="15"/>
      <c r="C66" s="15"/>
      <c r="D66" s="15"/>
      <c r="E66" s="15"/>
    </row>
    <row r="67" spans="2:5" x14ac:dyDescent="0.2">
      <c r="B67" s="15"/>
      <c r="C67" s="15"/>
      <c r="D67" s="15"/>
      <c r="E67" s="15"/>
    </row>
    <row r="68" spans="2:5" x14ac:dyDescent="0.2">
      <c r="B68" s="15"/>
      <c r="C68" s="15"/>
      <c r="D68" s="15"/>
      <c r="E68" s="15"/>
    </row>
    <row r="69" spans="2:5" x14ac:dyDescent="0.2">
      <c r="B69" s="15"/>
      <c r="C69" s="15"/>
      <c r="D69" s="15"/>
      <c r="E69" s="15"/>
    </row>
    <row r="70" spans="2:5" x14ac:dyDescent="0.2">
      <c r="B70" s="15"/>
      <c r="C70" s="15"/>
      <c r="D70" s="15"/>
      <c r="E70" s="15"/>
    </row>
    <row r="71" spans="2:5" x14ac:dyDescent="0.2">
      <c r="B71" s="15"/>
      <c r="C71" s="15"/>
      <c r="D71" s="15"/>
      <c r="E71" s="15"/>
    </row>
    <row r="72" spans="2:5" x14ac:dyDescent="0.2">
      <c r="B72" s="15"/>
      <c r="C72" s="15"/>
      <c r="D72" s="15"/>
      <c r="E72" s="15"/>
    </row>
    <row r="73" spans="2:5" x14ac:dyDescent="0.2">
      <c r="B73" s="15"/>
      <c r="C73" s="15"/>
      <c r="D73" s="15"/>
      <c r="E73" s="15"/>
    </row>
    <row r="74" spans="2:5" x14ac:dyDescent="0.2">
      <c r="B74" s="15"/>
      <c r="C74" s="15"/>
      <c r="D74" s="15"/>
      <c r="E74" s="15"/>
    </row>
    <row r="75" spans="2:5" x14ac:dyDescent="0.2">
      <c r="B75" s="15"/>
      <c r="C75" s="15"/>
      <c r="D75" s="15"/>
      <c r="E75" s="15"/>
    </row>
    <row r="76" spans="2:5" x14ac:dyDescent="0.2">
      <c r="B76" s="15"/>
      <c r="C76" s="15"/>
      <c r="D76" s="15"/>
      <c r="E76" s="15"/>
    </row>
    <row r="77" spans="2:5" x14ac:dyDescent="0.2">
      <c r="B77" s="15"/>
      <c r="C77" s="15"/>
      <c r="D77" s="15"/>
      <c r="E77" s="15"/>
    </row>
    <row r="78" spans="2:5" x14ac:dyDescent="0.2">
      <c r="B78" s="15"/>
      <c r="C78" s="15"/>
      <c r="D78" s="15"/>
      <c r="E78" s="15"/>
    </row>
    <row r="79" spans="2:5" x14ac:dyDescent="0.2">
      <c r="B79" s="15"/>
      <c r="C79" s="15"/>
      <c r="D79" s="15"/>
      <c r="E79" s="15"/>
    </row>
    <row r="80" spans="2:5" x14ac:dyDescent="0.2">
      <c r="B80" s="15"/>
      <c r="C80" s="15"/>
      <c r="D80" s="15"/>
      <c r="E80" s="15"/>
    </row>
    <row r="81" spans="2:5" x14ac:dyDescent="0.2">
      <c r="B81" s="15"/>
      <c r="C81" s="15"/>
      <c r="D81" s="15"/>
      <c r="E81" s="15"/>
    </row>
    <row r="82" spans="2:5" x14ac:dyDescent="0.2">
      <c r="B82" s="15"/>
      <c r="C82" s="15"/>
      <c r="D82" s="15"/>
      <c r="E82" s="15"/>
    </row>
    <row r="83" spans="2:5" x14ac:dyDescent="0.2">
      <c r="B83" s="15"/>
      <c r="C83" s="15"/>
      <c r="D83" s="15"/>
      <c r="E83" s="15"/>
    </row>
    <row r="84" spans="2:5" x14ac:dyDescent="0.2">
      <c r="B84" s="15"/>
      <c r="C84" s="15"/>
      <c r="D84" s="15"/>
      <c r="E84" s="15"/>
    </row>
    <row r="85" spans="2:5" x14ac:dyDescent="0.2">
      <c r="B85" s="15"/>
      <c r="C85" s="15"/>
      <c r="D85" s="15"/>
      <c r="E85" s="15"/>
    </row>
    <row r="86" spans="2:5" x14ac:dyDescent="0.2">
      <c r="B86" s="15"/>
      <c r="C86" s="15"/>
      <c r="D86" s="15"/>
      <c r="E86" s="15"/>
    </row>
    <row r="87" spans="2:5" x14ac:dyDescent="0.2">
      <c r="B87" s="15"/>
      <c r="C87" s="15"/>
      <c r="D87" s="15"/>
      <c r="E87" s="15"/>
    </row>
    <row r="88" spans="2:5" x14ac:dyDescent="0.2">
      <c r="B88" s="15"/>
      <c r="C88" s="15"/>
      <c r="D88" s="15"/>
      <c r="E88" s="15"/>
    </row>
    <row r="89" spans="2:5" x14ac:dyDescent="0.2">
      <c r="B89" s="15"/>
      <c r="C89" s="15"/>
      <c r="D89" s="15"/>
      <c r="E89" s="15"/>
    </row>
    <row r="90" spans="2:5" x14ac:dyDescent="0.2">
      <c r="B90" s="15"/>
      <c r="C90" s="15"/>
      <c r="D90" s="15"/>
      <c r="E90" s="15"/>
    </row>
    <row r="91" spans="2:5" x14ac:dyDescent="0.2">
      <c r="B91" s="15"/>
      <c r="C91" s="15"/>
      <c r="D91" s="15"/>
      <c r="E91" s="15"/>
    </row>
    <row r="92" spans="2:5" x14ac:dyDescent="0.2">
      <c r="B92" s="15"/>
      <c r="C92" s="15"/>
      <c r="D92" s="15"/>
      <c r="E92" s="15"/>
    </row>
    <row r="93" spans="2:5" x14ac:dyDescent="0.2">
      <c r="B93" s="15"/>
      <c r="C93" s="15"/>
      <c r="D93" s="15"/>
      <c r="E93" s="15"/>
    </row>
    <row r="94" spans="2:5" x14ac:dyDescent="0.2">
      <c r="B94" s="15"/>
      <c r="C94" s="15"/>
      <c r="D94" s="15"/>
      <c r="E94" s="15"/>
    </row>
    <row r="95" spans="2:5" x14ac:dyDescent="0.2">
      <c r="B95" s="15"/>
      <c r="C95" s="15"/>
      <c r="D95" s="15"/>
      <c r="E95" s="15"/>
    </row>
    <row r="96" spans="2:5" x14ac:dyDescent="0.2">
      <c r="B96" s="15"/>
      <c r="C96" s="15"/>
      <c r="D96" s="15"/>
      <c r="E96" s="15"/>
    </row>
    <row r="97" spans="2:5" x14ac:dyDescent="0.2">
      <c r="B97" s="15"/>
      <c r="C97" s="15"/>
      <c r="D97" s="15"/>
      <c r="E97" s="15"/>
    </row>
    <row r="98" spans="2:5" x14ac:dyDescent="0.2">
      <c r="B98" s="15"/>
      <c r="C98" s="15"/>
      <c r="D98" s="15"/>
      <c r="E98" s="15"/>
    </row>
    <row r="99" spans="2:5" x14ac:dyDescent="0.2">
      <c r="B99" s="15"/>
      <c r="C99" s="15"/>
      <c r="D99" s="15"/>
      <c r="E99" s="15"/>
    </row>
    <row r="100" spans="2:5" x14ac:dyDescent="0.2">
      <c r="B100" s="15"/>
      <c r="C100" s="15"/>
      <c r="D100" s="15"/>
      <c r="E100" s="15"/>
    </row>
    <row r="101" spans="2:5" x14ac:dyDescent="0.2">
      <c r="B101" s="15"/>
      <c r="C101" s="15"/>
      <c r="D101" s="15"/>
      <c r="E101" s="15"/>
    </row>
    <row r="102" spans="2:5" x14ac:dyDescent="0.2">
      <c r="B102" s="15"/>
      <c r="C102" s="15"/>
      <c r="D102" s="15"/>
      <c r="E102" s="15"/>
    </row>
    <row r="103" spans="2:5" x14ac:dyDescent="0.2">
      <c r="B103" s="15"/>
      <c r="C103" s="15"/>
      <c r="D103" s="15"/>
      <c r="E103" s="15"/>
    </row>
    <row r="104" spans="2:5" x14ac:dyDescent="0.2">
      <c r="B104" s="15"/>
      <c r="C104" s="15"/>
      <c r="D104" s="15"/>
      <c r="E104" s="15"/>
    </row>
    <row r="105" spans="2:5" x14ac:dyDescent="0.2">
      <c r="B105" s="15"/>
      <c r="C105" s="15"/>
      <c r="D105" s="15"/>
      <c r="E105" s="15"/>
    </row>
    <row r="106" spans="2:5" x14ac:dyDescent="0.2">
      <c r="B106" s="15"/>
      <c r="C106" s="15"/>
      <c r="D106" s="15"/>
      <c r="E106" s="15"/>
    </row>
    <row r="107" spans="2:5" x14ac:dyDescent="0.2">
      <c r="B107" s="15"/>
      <c r="C107" s="15"/>
      <c r="D107" s="15"/>
      <c r="E107" s="15"/>
    </row>
    <row r="108" spans="2:5" x14ac:dyDescent="0.2">
      <c r="B108" s="15"/>
      <c r="C108" s="15"/>
      <c r="D108" s="15"/>
      <c r="E108" s="15"/>
    </row>
    <row r="109" spans="2:5" x14ac:dyDescent="0.2">
      <c r="B109" s="15"/>
      <c r="C109" s="15"/>
      <c r="D109" s="15"/>
      <c r="E109" s="15"/>
    </row>
    <row r="110" spans="2:5" x14ac:dyDescent="0.2">
      <c r="B110" s="15"/>
      <c r="C110" s="15"/>
      <c r="D110" s="15"/>
      <c r="E110" s="15"/>
    </row>
    <row r="111" spans="2:5" x14ac:dyDescent="0.2">
      <c r="B111" s="15"/>
      <c r="C111" s="15"/>
      <c r="D111" s="15"/>
      <c r="E111" s="15"/>
    </row>
    <row r="112" spans="2:5" x14ac:dyDescent="0.2">
      <c r="B112" s="15"/>
      <c r="C112" s="15"/>
      <c r="D112" s="15"/>
      <c r="E112" s="15"/>
    </row>
    <row r="113" spans="2:5" x14ac:dyDescent="0.2">
      <c r="B113" s="15"/>
      <c r="C113" s="15"/>
      <c r="D113" s="15"/>
      <c r="E113" s="15"/>
    </row>
    <row r="114" spans="2:5" x14ac:dyDescent="0.2">
      <c r="B114" s="15"/>
      <c r="C114" s="15"/>
      <c r="D114" s="15"/>
      <c r="E114" s="15"/>
    </row>
    <row r="115" spans="2:5" x14ac:dyDescent="0.2">
      <c r="B115" s="15"/>
      <c r="C115" s="15"/>
      <c r="D115" s="15"/>
      <c r="E115" s="15"/>
    </row>
    <row r="116" spans="2:5" x14ac:dyDescent="0.2">
      <c r="B116" s="15"/>
      <c r="C116" s="15"/>
      <c r="D116" s="15"/>
      <c r="E116" s="15"/>
    </row>
    <row r="117" spans="2:5" x14ac:dyDescent="0.2">
      <c r="B117" s="15"/>
      <c r="C117" s="15"/>
      <c r="D117" s="15"/>
      <c r="E117" s="15"/>
    </row>
    <row r="118" spans="2:5" x14ac:dyDescent="0.2">
      <c r="B118" s="15"/>
      <c r="C118" s="15"/>
      <c r="D118" s="15"/>
      <c r="E118" s="15"/>
    </row>
    <row r="119" spans="2:5" x14ac:dyDescent="0.2">
      <c r="B119" s="15"/>
      <c r="C119" s="15"/>
      <c r="D119" s="15"/>
      <c r="E119" s="15"/>
    </row>
    <row r="120" spans="2:5" x14ac:dyDescent="0.2">
      <c r="B120" s="15"/>
      <c r="C120" s="15"/>
      <c r="D120" s="15"/>
      <c r="E120" s="15"/>
    </row>
    <row r="121" spans="2:5" x14ac:dyDescent="0.2">
      <c r="B121" s="15"/>
      <c r="C121" s="15"/>
      <c r="D121" s="15"/>
      <c r="E121" s="15"/>
    </row>
    <row r="122" spans="2:5" x14ac:dyDescent="0.2">
      <c r="B122" s="15"/>
      <c r="C122" s="15"/>
      <c r="D122" s="15"/>
      <c r="E122" s="15"/>
    </row>
    <row r="123" spans="2:5" x14ac:dyDescent="0.2">
      <c r="B123" s="15"/>
      <c r="C123" s="15"/>
      <c r="D123" s="15"/>
      <c r="E123" s="15"/>
    </row>
    <row r="124" spans="2:5" x14ac:dyDescent="0.2">
      <c r="B124" s="15"/>
      <c r="C124" s="15"/>
      <c r="D124" s="15"/>
      <c r="E124" s="15"/>
    </row>
    <row r="125" spans="2:5" x14ac:dyDescent="0.2">
      <c r="B125" s="15"/>
      <c r="C125" s="15"/>
      <c r="D125" s="15"/>
      <c r="E125" s="15"/>
    </row>
    <row r="126" spans="2:5" x14ac:dyDescent="0.2">
      <c r="B126" s="15"/>
      <c r="C126" s="15"/>
      <c r="D126" s="15"/>
      <c r="E126" s="15"/>
    </row>
    <row r="127" spans="2:5" x14ac:dyDescent="0.2">
      <c r="B127" s="15"/>
      <c r="C127" s="15"/>
      <c r="D127" s="15"/>
      <c r="E127" s="15"/>
    </row>
    <row r="128" spans="2:5" x14ac:dyDescent="0.2">
      <c r="B128" s="15"/>
      <c r="C128" s="15"/>
      <c r="D128" s="15"/>
      <c r="E128" s="15"/>
    </row>
    <row r="129" spans="2:5" x14ac:dyDescent="0.2">
      <c r="B129" s="15"/>
      <c r="C129" s="15"/>
      <c r="D129" s="15"/>
      <c r="E129" s="15"/>
    </row>
    <row r="130" spans="2:5" x14ac:dyDescent="0.2">
      <c r="B130" s="15"/>
      <c r="C130" s="15"/>
      <c r="D130" s="15"/>
      <c r="E130" s="15"/>
    </row>
    <row r="131" spans="2:5" x14ac:dyDescent="0.2">
      <c r="B131" s="15"/>
      <c r="C131" s="15"/>
      <c r="D131" s="15"/>
      <c r="E131" s="15"/>
    </row>
    <row r="132" spans="2:5" x14ac:dyDescent="0.2">
      <c r="B132" s="15"/>
      <c r="C132" s="15"/>
      <c r="D132" s="15"/>
      <c r="E132" s="15"/>
    </row>
    <row r="133" spans="2:5" x14ac:dyDescent="0.2">
      <c r="B133" s="15"/>
      <c r="C133" s="15"/>
      <c r="D133" s="15"/>
      <c r="E133" s="15"/>
    </row>
    <row r="134" spans="2:5" x14ac:dyDescent="0.2">
      <c r="B134" s="15"/>
      <c r="C134" s="15"/>
      <c r="D134" s="15"/>
      <c r="E134" s="15"/>
    </row>
    <row r="135" spans="2:5" x14ac:dyDescent="0.2">
      <c r="B135" s="15"/>
      <c r="C135" s="15"/>
      <c r="D135" s="15"/>
      <c r="E135" s="15"/>
    </row>
    <row r="136" spans="2:5" x14ac:dyDescent="0.2">
      <c r="B136" s="15"/>
      <c r="C136" s="15"/>
      <c r="D136" s="15"/>
      <c r="E136" s="15"/>
    </row>
    <row r="137" spans="2:5" x14ac:dyDescent="0.2">
      <c r="B137" s="15"/>
      <c r="C137" s="15"/>
      <c r="D137" s="15"/>
      <c r="E137" s="15"/>
    </row>
    <row r="138" spans="2:5" x14ac:dyDescent="0.2">
      <c r="B138" s="15"/>
      <c r="C138" s="15"/>
      <c r="D138" s="15"/>
      <c r="E138" s="15"/>
    </row>
    <row r="139" spans="2:5" x14ac:dyDescent="0.2">
      <c r="B139" s="15"/>
      <c r="C139" s="15"/>
      <c r="D139" s="15"/>
      <c r="E139" s="15"/>
    </row>
    <row r="140" spans="2:5" x14ac:dyDescent="0.2">
      <c r="B140" s="15"/>
      <c r="C140" s="15"/>
      <c r="D140" s="15"/>
      <c r="E140" s="15"/>
    </row>
    <row r="141" spans="2:5" x14ac:dyDescent="0.2">
      <c r="B141" s="15"/>
      <c r="C141" s="15"/>
      <c r="D141" s="15"/>
      <c r="E141" s="15"/>
    </row>
    <row r="142" spans="2:5" x14ac:dyDescent="0.2">
      <c r="B142" s="15"/>
      <c r="C142" s="15"/>
      <c r="D142" s="15"/>
      <c r="E142" s="15"/>
    </row>
    <row r="143" spans="2:5" x14ac:dyDescent="0.2">
      <c r="B143" s="15"/>
      <c r="C143" s="15"/>
      <c r="D143" s="15"/>
      <c r="E143" s="15"/>
    </row>
    <row r="144" spans="2:5" x14ac:dyDescent="0.2">
      <c r="B144" s="15"/>
      <c r="C144" s="15"/>
      <c r="D144" s="15"/>
      <c r="E144" s="15"/>
    </row>
    <row r="145" spans="2:5" x14ac:dyDescent="0.2">
      <c r="B145" s="15"/>
      <c r="C145" s="15"/>
      <c r="D145" s="15"/>
      <c r="E145" s="15"/>
    </row>
    <row r="146" spans="2:5" x14ac:dyDescent="0.2">
      <c r="B146" s="15"/>
      <c r="C146" s="15"/>
      <c r="D146" s="15"/>
      <c r="E146" s="15"/>
    </row>
    <row r="147" spans="2:5" x14ac:dyDescent="0.2">
      <c r="B147" s="15"/>
      <c r="C147" s="15"/>
      <c r="D147" s="15"/>
      <c r="E147" s="15"/>
    </row>
    <row r="148" spans="2:5" x14ac:dyDescent="0.2">
      <c r="B148" s="15"/>
      <c r="C148" s="15"/>
      <c r="D148" s="15"/>
      <c r="E148" s="15"/>
    </row>
    <row r="149" spans="2:5" x14ac:dyDescent="0.2">
      <c r="B149" s="15"/>
      <c r="C149" s="15"/>
      <c r="D149" s="15"/>
      <c r="E149" s="15"/>
    </row>
    <row r="150" spans="2:5" x14ac:dyDescent="0.2">
      <c r="B150" s="15"/>
      <c r="C150" s="15"/>
      <c r="D150" s="15"/>
      <c r="E150" s="15"/>
    </row>
    <row r="151" spans="2:5" x14ac:dyDescent="0.2">
      <c r="B151" s="15"/>
      <c r="C151" s="15"/>
      <c r="D151" s="15"/>
      <c r="E151" s="15"/>
    </row>
    <row r="152" spans="2:5" x14ac:dyDescent="0.2">
      <c r="B152" s="15"/>
      <c r="C152" s="15"/>
      <c r="D152" s="15"/>
      <c r="E152" s="15"/>
    </row>
    <row r="153" spans="2:5" x14ac:dyDescent="0.2">
      <c r="B153" s="15"/>
      <c r="C153" s="15"/>
      <c r="D153" s="15"/>
      <c r="E153" s="15"/>
    </row>
    <row r="154" spans="2:5" x14ac:dyDescent="0.2">
      <c r="B154" s="15"/>
      <c r="C154" s="15"/>
      <c r="D154" s="15"/>
      <c r="E154" s="15"/>
    </row>
    <row r="155" spans="2:5" x14ac:dyDescent="0.2">
      <c r="B155" s="15"/>
      <c r="C155" s="15"/>
      <c r="D155" s="15"/>
      <c r="E155" s="15"/>
    </row>
    <row r="156" spans="2:5" x14ac:dyDescent="0.2">
      <c r="B156" s="15"/>
      <c r="C156" s="15"/>
      <c r="D156" s="15"/>
      <c r="E156" s="15"/>
    </row>
    <row r="157" spans="2:5" x14ac:dyDescent="0.2">
      <c r="B157" s="15"/>
      <c r="C157" s="15"/>
      <c r="D157" s="15"/>
      <c r="E157" s="15"/>
    </row>
    <row r="158" spans="2:5" x14ac:dyDescent="0.2">
      <c r="B158" s="15"/>
      <c r="C158" s="15"/>
      <c r="D158" s="15"/>
      <c r="E158" s="15"/>
    </row>
    <row r="159" spans="2:5" x14ac:dyDescent="0.2">
      <c r="B159" s="15"/>
      <c r="C159" s="15"/>
      <c r="D159" s="15"/>
      <c r="E159" s="15"/>
    </row>
    <row r="160" spans="2:5" x14ac:dyDescent="0.2">
      <c r="B160" s="15"/>
      <c r="C160" s="15"/>
      <c r="D160" s="15"/>
      <c r="E160" s="15"/>
    </row>
    <row r="161" spans="2:5" x14ac:dyDescent="0.2">
      <c r="B161" s="15"/>
      <c r="C161" s="15"/>
      <c r="D161" s="15"/>
      <c r="E161" s="15"/>
    </row>
    <row r="162" spans="2:5" x14ac:dyDescent="0.2">
      <c r="B162" s="15"/>
      <c r="C162" s="15"/>
      <c r="D162" s="15"/>
      <c r="E162" s="15"/>
    </row>
    <row r="163" spans="2:5" x14ac:dyDescent="0.2">
      <c r="B163" s="15"/>
      <c r="C163" s="15"/>
      <c r="D163" s="15"/>
      <c r="E163" s="15"/>
    </row>
    <row r="164" spans="2:5" x14ac:dyDescent="0.2">
      <c r="B164" s="15"/>
      <c r="C164" s="15"/>
      <c r="D164" s="15"/>
      <c r="E164" s="15"/>
    </row>
    <row r="165" spans="2:5" x14ac:dyDescent="0.2">
      <c r="B165" s="15"/>
      <c r="C165" s="15"/>
      <c r="D165" s="15"/>
      <c r="E165" s="15"/>
    </row>
    <row r="166" spans="2:5" x14ac:dyDescent="0.2">
      <c r="B166" s="15"/>
      <c r="C166" s="15"/>
      <c r="D166" s="15"/>
      <c r="E166" s="15"/>
    </row>
    <row r="167" spans="2:5" x14ac:dyDescent="0.2">
      <c r="B167" s="15"/>
      <c r="C167" s="15"/>
      <c r="D167" s="15"/>
      <c r="E167" s="15"/>
    </row>
    <row r="168" spans="2:5" x14ac:dyDescent="0.2">
      <c r="B168" s="15"/>
      <c r="C168" s="15"/>
      <c r="D168" s="15"/>
      <c r="E168" s="15"/>
    </row>
    <row r="169" spans="2:5" x14ac:dyDescent="0.2">
      <c r="B169" s="15"/>
      <c r="C169" s="15"/>
      <c r="D169" s="15"/>
      <c r="E169" s="15"/>
    </row>
    <row r="170" spans="2:5" x14ac:dyDescent="0.2">
      <c r="B170" s="15"/>
      <c r="C170" s="15"/>
      <c r="D170" s="15"/>
      <c r="E170" s="15"/>
    </row>
    <row r="171" spans="2:5" x14ac:dyDescent="0.2">
      <c r="B171" s="15"/>
      <c r="C171" s="15"/>
      <c r="D171" s="15"/>
      <c r="E171" s="15"/>
    </row>
    <row r="172" spans="2:5" x14ac:dyDescent="0.2">
      <c r="B172" s="15"/>
      <c r="C172" s="15"/>
      <c r="D172" s="15"/>
      <c r="E172" s="15"/>
    </row>
    <row r="173" spans="2:5" x14ac:dyDescent="0.2">
      <c r="B173" s="15"/>
      <c r="C173" s="15"/>
      <c r="D173" s="15"/>
      <c r="E173" s="15"/>
    </row>
    <row r="174" spans="2:5" x14ac:dyDescent="0.2">
      <c r="B174" s="15"/>
      <c r="C174" s="15"/>
      <c r="D174" s="15"/>
      <c r="E174" s="15"/>
    </row>
    <row r="175" spans="2:5" x14ac:dyDescent="0.2">
      <c r="B175" s="15"/>
      <c r="C175" s="15"/>
      <c r="D175" s="15"/>
      <c r="E175" s="15"/>
    </row>
    <row r="176" spans="2:5" x14ac:dyDescent="0.2">
      <c r="B176" s="15"/>
      <c r="C176" s="15"/>
      <c r="D176" s="15"/>
      <c r="E176" s="15"/>
    </row>
    <row r="177" spans="2:5" x14ac:dyDescent="0.2">
      <c r="B177" s="15"/>
      <c r="C177" s="15"/>
      <c r="D177" s="15"/>
      <c r="E177" s="15"/>
    </row>
    <row r="178" spans="2:5" x14ac:dyDescent="0.2">
      <c r="B178" s="15"/>
      <c r="C178" s="15"/>
      <c r="D178" s="15"/>
      <c r="E178" s="15"/>
    </row>
    <row r="179" spans="2:5" x14ac:dyDescent="0.2">
      <c r="B179" s="15"/>
      <c r="C179" s="15"/>
      <c r="D179" s="15"/>
      <c r="E179" s="15"/>
    </row>
    <row r="180" spans="2:5" x14ac:dyDescent="0.2">
      <c r="B180" s="15"/>
      <c r="C180" s="15"/>
      <c r="D180" s="15"/>
      <c r="E180" s="15"/>
    </row>
    <row r="181" spans="2:5" x14ac:dyDescent="0.2">
      <c r="B181" s="15"/>
      <c r="C181" s="15"/>
      <c r="D181" s="15"/>
      <c r="E181" s="15"/>
    </row>
    <row r="182" spans="2:5" x14ac:dyDescent="0.2">
      <c r="B182" s="15"/>
      <c r="C182" s="15"/>
      <c r="D182" s="15"/>
      <c r="E182" s="15"/>
    </row>
    <row r="183" spans="2:5" x14ac:dyDescent="0.2">
      <c r="B183" s="15"/>
      <c r="C183" s="15"/>
      <c r="D183" s="15"/>
      <c r="E183" s="15"/>
    </row>
    <row r="184" spans="2:5" x14ac:dyDescent="0.2">
      <c r="B184" s="15"/>
      <c r="C184" s="15"/>
      <c r="D184" s="15"/>
      <c r="E184" s="15"/>
    </row>
    <row r="185" spans="2:5" x14ac:dyDescent="0.2">
      <c r="B185" s="15"/>
      <c r="C185" s="15"/>
      <c r="D185" s="15"/>
      <c r="E185" s="15"/>
    </row>
    <row r="186" spans="2:5" x14ac:dyDescent="0.2">
      <c r="B186" s="15"/>
      <c r="C186" s="15"/>
      <c r="D186" s="15"/>
      <c r="E186" s="15"/>
    </row>
    <row r="187" spans="2:5" x14ac:dyDescent="0.2">
      <c r="B187" s="15"/>
      <c r="C187" s="15"/>
      <c r="D187" s="15"/>
      <c r="E187" s="15"/>
    </row>
    <row r="188" spans="2:5" x14ac:dyDescent="0.2">
      <c r="B188" s="15"/>
      <c r="C188" s="15"/>
      <c r="D188" s="15"/>
      <c r="E188" s="15"/>
    </row>
    <row r="189" spans="2:5" x14ac:dyDescent="0.2">
      <c r="B189" s="15"/>
      <c r="C189" s="15"/>
      <c r="D189" s="15"/>
      <c r="E189" s="15"/>
    </row>
    <row r="190" spans="2:5" x14ac:dyDescent="0.2">
      <c r="B190" s="15"/>
      <c r="C190" s="15"/>
      <c r="D190" s="15"/>
      <c r="E190" s="15"/>
    </row>
    <row r="191" spans="2:5" x14ac:dyDescent="0.2">
      <c r="B191" s="15"/>
      <c r="C191" s="15"/>
      <c r="D191" s="15"/>
      <c r="E191" s="15"/>
    </row>
    <row r="192" spans="2:5" x14ac:dyDescent="0.2">
      <c r="B192" s="15"/>
      <c r="C192" s="15"/>
      <c r="D192" s="15"/>
      <c r="E192" s="15"/>
    </row>
    <row r="193" spans="2:5" x14ac:dyDescent="0.2">
      <c r="B193" s="15"/>
      <c r="C193" s="15"/>
      <c r="D193" s="15"/>
      <c r="E193" s="15"/>
    </row>
    <row r="194" spans="2:5" x14ac:dyDescent="0.2">
      <c r="B194" s="15"/>
      <c r="C194" s="15"/>
      <c r="D194" s="15"/>
      <c r="E194" s="15"/>
    </row>
    <row r="195" spans="2:5" x14ac:dyDescent="0.2">
      <c r="B195" s="15"/>
      <c r="C195" s="15"/>
      <c r="D195" s="15"/>
      <c r="E195" s="15"/>
    </row>
    <row r="196" spans="2:5" x14ac:dyDescent="0.2">
      <c r="B196" s="15"/>
      <c r="C196" s="15"/>
      <c r="D196" s="15"/>
      <c r="E196" s="15"/>
    </row>
    <row r="197" spans="2:5" x14ac:dyDescent="0.2">
      <c r="B197" s="15"/>
      <c r="C197" s="15"/>
      <c r="D197" s="15"/>
      <c r="E197" s="15"/>
    </row>
    <row r="198" spans="2:5" x14ac:dyDescent="0.2">
      <c r="B198" s="15"/>
      <c r="C198" s="15"/>
      <c r="D198" s="15"/>
      <c r="E198" s="15"/>
    </row>
    <row r="199" spans="2:5" x14ac:dyDescent="0.2">
      <c r="B199" s="15"/>
      <c r="C199" s="15"/>
      <c r="D199" s="15"/>
      <c r="E199" s="15"/>
    </row>
    <row r="200" spans="2:5" x14ac:dyDescent="0.2">
      <c r="B200" s="15"/>
      <c r="C200" s="15"/>
      <c r="D200" s="15"/>
      <c r="E200" s="15"/>
    </row>
    <row r="201" spans="2:5" x14ac:dyDescent="0.2">
      <c r="B201" s="15"/>
      <c r="C201" s="15"/>
      <c r="D201" s="15"/>
      <c r="E201" s="15"/>
    </row>
    <row r="202" spans="2:5" x14ac:dyDescent="0.2">
      <c r="B202" s="15"/>
      <c r="C202" s="15"/>
      <c r="D202" s="15"/>
      <c r="E202" s="15"/>
    </row>
    <row r="203" spans="2:5" x14ac:dyDescent="0.2">
      <c r="B203" s="15"/>
      <c r="C203" s="15"/>
      <c r="D203" s="15"/>
      <c r="E203" s="15"/>
    </row>
    <row r="204" spans="2:5" x14ac:dyDescent="0.2">
      <c r="B204" s="15"/>
      <c r="C204" s="15"/>
      <c r="D204" s="15"/>
      <c r="E204" s="15"/>
    </row>
    <row r="205" spans="2:5" x14ac:dyDescent="0.2">
      <c r="B205" s="15"/>
      <c r="C205" s="15"/>
      <c r="D205" s="15"/>
      <c r="E205" s="15"/>
    </row>
    <row r="206" spans="2:5" x14ac:dyDescent="0.2">
      <c r="B206" s="15"/>
      <c r="C206" s="15"/>
      <c r="D206" s="15"/>
      <c r="E206" s="15"/>
    </row>
    <row r="207" spans="2:5" x14ac:dyDescent="0.2">
      <c r="B207" s="15"/>
      <c r="C207" s="15"/>
      <c r="D207" s="15"/>
      <c r="E207" s="15"/>
    </row>
    <row r="208" spans="2:5" x14ac:dyDescent="0.2">
      <c r="B208" s="15"/>
      <c r="C208" s="15"/>
      <c r="D208" s="15"/>
      <c r="E208" s="15"/>
    </row>
    <row r="209" spans="2:5" x14ac:dyDescent="0.2">
      <c r="B209" s="15"/>
      <c r="C209" s="15"/>
      <c r="D209" s="15"/>
      <c r="E209" s="15"/>
    </row>
    <row r="210" spans="2:5" x14ac:dyDescent="0.2">
      <c r="B210" s="15"/>
      <c r="C210" s="15"/>
      <c r="D210" s="15"/>
      <c r="E210" s="15"/>
    </row>
    <row r="211" spans="2:5" x14ac:dyDescent="0.2">
      <c r="B211" s="15"/>
      <c r="C211" s="15"/>
      <c r="D211" s="15"/>
      <c r="E211" s="15"/>
    </row>
    <row r="212" spans="2:5" x14ac:dyDescent="0.2">
      <c r="B212" s="15"/>
      <c r="C212" s="15"/>
      <c r="D212" s="15"/>
      <c r="E212" s="15"/>
    </row>
    <row r="213" spans="2:5" x14ac:dyDescent="0.2">
      <c r="B213" s="15"/>
      <c r="C213" s="15"/>
      <c r="D213" s="15"/>
      <c r="E213" s="15"/>
    </row>
    <row r="214" spans="2:5" x14ac:dyDescent="0.2">
      <c r="B214" s="15"/>
      <c r="C214" s="15"/>
      <c r="D214" s="15"/>
      <c r="E214" s="15"/>
    </row>
    <row r="215" spans="2:5" x14ac:dyDescent="0.2">
      <c r="B215" s="15"/>
      <c r="C215" s="15"/>
      <c r="D215" s="15"/>
      <c r="E215" s="15"/>
    </row>
    <row r="216" spans="2:5" x14ac:dyDescent="0.2">
      <c r="B216" s="15"/>
      <c r="C216" s="15"/>
      <c r="D216" s="15"/>
      <c r="E216" s="15"/>
    </row>
    <row r="217" spans="2:5" x14ac:dyDescent="0.2">
      <c r="B217" s="15"/>
      <c r="C217" s="15"/>
      <c r="D217" s="15"/>
      <c r="E217" s="15"/>
    </row>
    <row r="218" spans="2:5" x14ac:dyDescent="0.2">
      <c r="B218" s="15"/>
      <c r="C218" s="15"/>
      <c r="D218" s="15"/>
      <c r="E218" s="15"/>
    </row>
    <row r="219" spans="2:5" x14ac:dyDescent="0.2">
      <c r="B219" s="15"/>
      <c r="C219" s="15"/>
      <c r="D219" s="15"/>
      <c r="E219" s="15"/>
    </row>
    <row r="220" spans="2:5" x14ac:dyDescent="0.2">
      <c r="B220" s="15"/>
      <c r="C220" s="15"/>
      <c r="D220" s="15"/>
      <c r="E220" s="15"/>
    </row>
    <row r="221" spans="2:5" x14ac:dyDescent="0.2">
      <c r="B221" s="15"/>
      <c r="C221" s="15"/>
      <c r="D221" s="15"/>
      <c r="E221" s="15"/>
    </row>
    <row r="222" spans="2:5" x14ac:dyDescent="0.2">
      <c r="B222" s="15"/>
      <c r="C222" s="15"/>
      <c r="D222" s="15"/>
      <c r="E222" s="15"/>
    </row>
    <row r="223" spans="2:5" x14ac:dyDescent="0.2">
      <c r="B223" s="15"/>
      <c r="C223" s="15"/>
      <c r="D223" s="15"/>
      <c r="E223" s="15"/>
    </row>
    <row r="224" spans="2:5" x14ac:dyDescent="0.2">
      <c r="B224" s="15"/>
      <c r="C224" s="15"/>
      <c r="D224" s="15"/>
      <c r="E224" s="15"/>
    </row>
    <row r="225" spans="2:5" x14ac:dyDescent="0.2">
      <c r="B225" s="15"/>
      <c r="C225" s="15"/>
      <c r="D225" s="15"/>
      <c r="E225" s="15"/>
    </row>
    <row r="226" spans="2:5" x14ac:dyDescent="0.2">
      <c r="B226" s="15"/>
      <c r="C226" s="15"/>
      <c r="D226" s="15"/>
      <c r="E226" s="15"/>
    </row>
    <row r="227" spans="2:5" x14ac:dyDescent="0.2">
      <c r="B227" s="15"/>
      <c r="C227" s="15"/>
      <c r="D227" s="15"/>
      <c r="E227" s="15"/>
    </row>
    <row r="228" spans="2:5" x14ac:dyDescent="0.2">
      <c r="B228" s="15"/>
      <c r="C228" s="15"/>
      <c r="D228" s="15"/>
      <c r="E228" s="15"/>
    </row>
    <row r="229" spans="2:5" x14ac:dyDescent="0.2">
      <c r="B229" s="15"/>
      <c r="C229" s="15"/>
      <c r="D229" s="15"/>
      <c r="E229" s="15"/>
    </row>
    <row r="230" spans="2:5" x14ac:dyDescent="0.2">
      <c r="B230" s="15"/>
      <c r="C230" s="15"/>
      <c r="D230" s="15"/>
      <c r="E230" s="15"/>
    </row>
    <row r="231" spans="2:5" x14ac:dyDescent="0.2">
      <c r="B231" s="15"/>
      <c r="C231" s="15"/>
      <c r="D231" s="15"/>
      <c r="E231" s="15"/>
    </row>
    <row r="232" spans="2:5" x14ac:dyDescent="0.2">
      <c r="B232" s="15"/>
      <c r="C232" s="15"/>
      <c r="D232" s="15"/>
      <c r="E232" s="15"/>
    </row>
    <row r="233" spans="2:5" x14ac:dyDescent="0.2">
      <c r="B233" s="15"/>
      <c r="C233" s="15"/>
      <c r="D233" s="15"/>
      <c r="E233" s="15"/>
    </row>
    <row r="234" spans="2:5" x14ac:dyDescent="0.2">
      <c r="B234" s="15"/>
      <c r="C234" s="15"/>
      <c r="D234" s="15"/>
      <c r="E234" s="15"/>
    </row>
    <row r="235" spans="2:5" x14ac:dyDescent="0.2">
      <c r="B235" s="15"/>
      <c r="C235" s="15"/>
      <c r="D235" s="15"/>
      <c r="E235" s="15"/>
    </row>
    <row r="236" spans="2:5" x14ac:dyDescent="0.2">
      <c r="B236" s="15"/>
      <c r="C236" s="15"/>
      <c r="D236" s="15"/>
      <c r="E236" s="15"/>
    </row>
    <row r="237" spans="2:5" x14ac:dyDescent="0.2">
      <c r="B237" s="15"/>
      <c r="C237" s="15"/>
      <c r="D237" s="15"/>
      <c r="E237" s="15"/>
    </row>
    <row r="238" spans="2:5" x14ac:dyDescent="0.2">
      <c r="B238" s="15"/>
      <c r="C238" s="15"/>
      <c r="D238" s="15"/>
      <c r="E238" s="15"/>
    </row>
    <row r="239" spans="2:5" x14ac:dyDescent="0.2">
      <c r="B239" s="15"/>
      <c r="C239" s="15"/>
      <c r="D239" s="15"/>
      <c r="E239" s="15"/>
    </row>
    <row r="240" spans="2:5" x14ac:dyDescent="0.2">
      <c r="B240" s="15"/>
      <c r="C240" s="15"/>
      <c r="D240" s="15"/>
      <c r="E240" s="15"/>
    </row>
    <row r="241" spans="2:5" x14ac:dyDescent="0.2">
      <c r="B241" s="15"/>
      <c r="C241" s="15"/>
      <c r="D241" s="15"/>
      <c r="E241" s="15"/>
    </row>
    <row r="242" spans="2:5" x14ac:dyDescent="0.2">
      <c r="B242" s="15"/>
      <c r="C242" s="15"/>
      <c r="D242" s="15"/>
      <c r="E242" s="15"/>
    </row>
    <row r="243" spans="2:5" x14ac:dyDescent="0.2">
      <c r="B243" s="15"/>
      <c r="C243" s="15"/>
      <c r="D243" s="15"/>
      <c r="E243" s="15"/>
    </row>
    <row r="244" spans="2:5" x14ac:dyDescent="0.2">
      <c r="B244" s="15"/>
      <c r="C244" s="15"/>
      <c r="D244" s="15"/>
      <c r="E244" s="15"/>
    </row>
    <row r="245" spans="2:5" x14ac:dyDescent="0.2">
      <c r="B245" s="15"/>
      <c r="C245" s="15"/>
      <c r="D245" s="15"/>
      <c r="E245" s="15"/>
    </row>
    <row r="246" spans="2:5" x14ac:dyDescent="0.2">
      <c r="B246" s="15"/>
      <c r="C246" s="15"/>
      <c r="D246" s="15"/>
      <c r="E246" s="15"/>
    </row>
    <row r="247" spans="2:5" x14ac:dyDescent="0.2">
      <c r="B247" s="15"/>
      <c r="C247" s="15"/>
      <c r="D247" s="15"/>
      <c r="E247" s="15"/>
    </row>
    <row r="248" spans="2:5" x14ac:dyDescent="0.2">
      <c r="B248" s="15"/>
      <c r="C248" s="15"/>
      <c r="D248" s="15"/>
      <c r="E248" s="15"/>
    </row>
    <row r="249" spans="2:5" x14ac:dyDescent="0.2">
      <c r="B249" s="15"/>
      <c r="C249" s="15"/>
      <c r="D249" s="15"/>
      <c r="E249" s="15"/>
    </row>
    <row r="250" spans="2:5" x14ac:dyDescent="0.2">
      <c r="B250" s="15"/>
      <c r="C250" s="15"/>
      <c r="D250" s="15"/>
      <c r="E250" s="15"/>
    </row>
    <row r="251" spans="2:5" x14ac:dyDescent="0.2">
      <c r="B251" s="15"/>
      <c r="C251" s="15"/>
      <c r="D251" s="15"/>
      <c r="E251" s="15"/>
    </row>
    <row r="252" spans="2:5" x14ac:dyDescent="0.2">
      <c r="B252" s="15"/>
      <c r="C252" s="15"/>
      <c r="D252" s="15"/>
      <c r="E252" s="15"/>
    </row>
    <row r="253" spans="2:5" x14ac:dyDescent="0.2">
      <c r="B253" s="15"/>
      <c r="C253" s="15"/>
      <c r="D253" s="15"/>
      <c r="E253" s="15"/>
    </row>
    <row r="254" spans="2:5" x14ac:dyDescent="0.2">
      <c r="B254" s="15"/>
      <c r="C254" s="15"/>
      <c r="D254" s="15"/>
      <c r="E254" s="15"/>
    </row>
    <row r="255" spans="2:5" x14ac:dyDescent="0.2">
      <c r="B255" s="15"/>
      <c r="C255" s="15"/>
      <c r="D255" s="15"/>
      <c r="E255" s="15"/>
    </row>
    <row r="256" spans="2:5" x14ac:dyDescent="0.2">
      <c r="B256" s="15"/>
      <c r="C256" s="15"/>
      <c r="D256" s="15"/>
      <c r="E256" s="15"/>
    </row>
    <row r="257" spans="2:5" x14ac:dyDescent="0.2">
      <c r="B257" s="15"/>
      <c r="C257" s="15"/>
      <c r="D257" s="15"/>
      <c r="E257" s="15"/>
    </row>
    <row r="258" spans="2:5" x14ac:dyDescent="0.2">
      <c r="B258" s="15"/>
      <c r="C258" s="15"/>
      <c r="D258" s="15"/>
      <c r="E258" s="15"/>
    </row>
    <row r="259" spans="2:5" x14ac:dyDescent="0.2">
      <c r="B259" s="15"/>
      <c r="C259" s="15"/>
      <c r="D259" s="15"/>
      <c r="E259" s="15"/>
    </row>
    <row r="260" spans="2:5" x14ac:dyDescent="0.2">
      <c r="B260" s="15"/>
      <c r="C260" s="15"/>
      <c r="D260" s="15"/>
      <c r="E260" s="15"/>
    </row>
    <row r="261" spans="2:5" x14ac:dyDescent="0.2">
      <c r="B261" s="15"/>
      <c r="C261" s="15"/>
      <c r="D261" s="15"/>
      <c r="E261" s="15"/>
    </row>
    <row r="262" spans="2:5" x14ac:dyDescent="0.2">
      <c r="B262" s="15"/>
      <c r="C262" s="15"/>
      <c r="D262" s="15"/>
      <c r="E262" s="15"/>
    </row>
    <row r="263" spans="2:5" x14ac:dyDescent="0.2">
      <c r="B263" s="15"/>
      <c r="C263" s="15"/>
      <c r="D263" s="15"/>
      <c r="E263" s="15"/>
    </row>
    <row r="264" spans="2:5" x14ac:dyDescent="0.2">
      <c r="B264" s="15"/>
      <c r="C264" s="15"/>
      <c r="D264" s="15"/>
      <c r="E264" s="15"/>
    </row>
    <row r="265" spans="2:5" x14ac:dyDescent="0.2">
      <c r="B265" s="15"/>
      <c r="C265" s="15"/>
      <c r="D265" s="15"/>
      <c r="E265" s="15"/>
    </row>
    <row r="266" spans="2:5" x14ac:dyDescent="0.2">
      <c r="B266" s="15"/>
      <c r="C266" s="15"/>
      <c r="D266" s="15"/>
      <c r="E266" s="15"/>
    </row>
    <row r="267" spans="2:5" x14ac:dyDescent="0.2">
      <c r="B267" s="15"/>
      <c r="C267" s="15"/>
      <c r="D267" s="15"/>
      <c r="E267" s="15"/>
    </row>
    <row r="268" spans="2:5" x14ac:dyDescent="0.2">
      <c r="B268" s="15"/>
      <c r="C268" s="15"/>
      <c r="D268" s="15"/>
      <c r="E268" s="15"/>
    </row>
    <row r="269" spans="2:5" x14ac:dyDescent="0.2">
      <c r="B269" s="15"/>
      <c r="C269" s="15"/>
      <c r="D269" s="15"/>
      <c r="E269" s="15"/>
    </row>
    <row r="270" spans="2:5" x14ac:dyDescent="0.2">
      <c r="B270" s="15"/>
      <c r="C270" s="15"/>
      <c r="D270" s="15"/>
      <c r="E270" s="15"/>
    </row>
    <row r="271" spans="2:5" x14ac:dyDescent="0.2">
      <c r="B271" s="15"/>
      <c r="C271" s="15"/>
      <c r="D271" s="15"/>
      <c r="E271" s="15"/>
    </row>
    <row r="272" spans="2:5" x14ac:dyDescent="0.2">
      <c r="B272" s="15"/>
      <c r="C272" s="15"/>
      <c r="D272" s="15"/>
      <c r="E272" s="15"/>
    </row>
    <row r="273" spans="2:5" x14ac:dyDescent="0.2">
      <c r="B273" s="15"/>
      <c r="C273" s="15"/>
      <c r="D273" s="15"/>
      <c r="E273" s="15"/>
    </row>
    <row r="274" spans="2:5" x14ac:dyDescent="0.2">
      <c r="B274" s="15"/>
      <c r="C274" s="15"/>
      <c r="D274" s="15"/>
      <c r="E274" s="15"/>
    </row>
    <row r="275" spans="2:5" x14ac:dyDescent="0.2">
      <c r="B275" s="15"/>
      <c r="C275" s="15"/>
      <c r="D275" s="15"/>
      <c r="E275" s="15"/>
    </row>
    <row r="276" spans="2:5" x14ac:dyDescent="0.2">
      <c r="B276" s="15"/>
      <c r="C276" s="15"/>
      <c r="D276" s="15"/>
      <c r="E276" s="15"/>
    </row>
    <row r="277" spans="2:5" x14ac:dyDescent="0.2">
      <c r="B277" s="15"/>
      <c r="C277" s="15"/>
      <c r="D277" s="15"/>
      <c r="E277" s="15"/>
    </row>
    <row r="278" spans="2:5" x14ac:dyDescent="0.2">
      <c r="B278" s="15"/>
      <c r="C278" s="15"/>
      <c r="D278" s="15"/>
      <c r="E278" s="15"/>
    </row>
    <row r="279" spans="2:5" x14ac:dyDescent="0.2">
      <c r="B279" s="15"/>
      <c r="C279" s="15"/>
      <c r="D279" s="15"/>
      <c r="E279" s="15"/>
    </row>
    <row r="280" spans="2:5" x14ac:dyDescent="0.2">
      <c r="B280" s="15"/>
      <c r="C280" s="15"/>
      <c r="D280" s="15"/>
      <c r="E280" s="15"/>
    </row>
    <row r="281" spans="2:5" x14ac:dyDescent="0.2">
      <c r="B281" s="15"/>
      <c r="C281" s="15"/>
      <c r="D281" s="15"/>
      <c r="E281" s="15"/>
    </row>
    <row r="282" spans="2:5" x14ac:dyDescent="0.2">
      <c r="B282" s="15"/>
      <c r="C282" s="15"/>
      <c r="D282" s="15"/>
      <c r="E282" s="15"/>
    </row>
    <row r="283" spans="2:5" x14ac:dyDescent="0.2">
      <c r="B283" s="15"/>
      <c r="C283" s="15"/>
      <c r="D283" s="15"/>
      <c r="E283" s="15"/>
    </row>
    <row r="284" spans="2:5" x14ac:dyDescent="0.2">
      <c r="B284" s="15"/>
      <c r="C284" s="15"/>
      <c r="D284" s="15"/>
      <c r="E284" s="15"/>
    </row>
    <row r="285" spans="2:5" x14ac:dyDescent="0.2">
      <c r="B285" s="15"/>
      <c r="C285" s="15"/>
      <c r="D285" s="15"/>
      <c r="E285" s="15"/>
    </row>
    <row r="286" spans="2:5" x14ac:dyDescent="0.2">
      <c r="B286" s="15"/>
      <c r="C286" s="15"/>
      <c r="D286" s="15"/>
      <c r="E286" s="15"/>
    </row>
    <row r="287" spans="2:5" x14ac:dyDescent="0.2">
      <c r="B287" s="15"/>
      <c r="C287" s="15"/>
      <c r="D287" s="15"/>
      <c r="E287" s="15"/>
    </row>
    <row r="288" spans="2:5" x14ac:dyDescent="0.2">
      <c r="B288" s="15"/>
      <c r="C288" s="15"/>
      <c r="D288" s="15"/>
      <c r="E288" s="15"/>
    </row>
    <row r="289" spans="2:5" x14ac:dyDescent="0.2">
      <c r="B289" s="15"/>
      <c r="C289" s="15"/>
      <c r="D289" s="15"/>
      <c r="E289" s="15"/>
    </row>
    <row r="290" spans="2:5" x14ac:dyDescent="0.2">
      <c r="B290" s="15"/>
      <c r="C290" s="15"/>
      <c r="D290" s="15"/>
      <c r="E290" s="15"/>
    </row>
    <row r="291" spans="2:5" x14ac:dyDescent="0.2">
      <c r="B291" s="15"/>
      <c r="C291" s="15"/>
      <c r="D291" s="15"/>
      <c r="E291" s="15"/>
    </row>
    <row r="292" spans="2:5" x14ac:dyDescent="0.2">
      <c r="B292" s="15"/>
      <c r="C292" s="15"/>
      <c r="D292" s="15"/>
      <c r="E292" s="15"/>
    </row>
    <row r="293" spans="2:5" x14ac:dyDescent="0.2">
      <c r="B293" s="15"/>
      <c r="C293" s="15"/>
      <c r="D293" s="15"/>
      <c r="E293" s="15"/>
    </row>
    <row r="294" spans="2:5" x14ac:dyDescent="0.2">
      <c r="B294" s="15"/>
      <c r="C294" s="15"/>
      <c r="D294" s="15"/>
      <c r="E294" s="15"/>
    </row>
    <row r="295" spans="2:5" x14ac:dyDescent="0.2">
      <c r="B295" s="15"/>
      <c r="C295" s="15"/>
      <c r="D295" s="15"/>
      <c r="E295" s="15"/>
    </row>
    <row r="296" spans="2:5" x14ac:dyDescent="0.2">
      <c r="B296" s="15"/>
      <c r="C296" s="15"/>
      <c r="D296" s="15"/>
      <c r="E296" s="15"/>
    </row>
    <row r="297" spans="2:5" x14ac:dyDescent="0.2">
      <c r="B297" s="15"/>
      <c r="C297" s="15"/>
      <c r="D297" s="15"/>
      <c r="E297" s="15"/>
    </row>
    <row r="298" spans="2:5" x14ac:dyDescent="0.2">
      <c r="B298" s="15"/>
      <c r="C298" s="15"/>
      <c r="D298" s="15"/>
      <c r="E298" s="15"/>
    </row>
    <row r="299" spans="2:5" x14ac:dyDescent="0.2">
      <c r="B299" s="15"/>
      <c r="C299" s="15"/>
      <c r="D299" s="15"/>
      <c r="E299" s="15"/>
    </row>
    <row r="300" spans="2:5" x14ac:dyDescent="0.2">
      <c r="B300" s="15"/>
      <c r="C300" s="15"/>
      <c r="D300" s="15"/>
      <c r="E300" s="15"/>
    </row>
    <row r="301" spans="2:5" x14ac:dyDescent="0.2">
      <c r="B301" s="15"/>
      <c r="C301" s="15"/>
      <c r="D301" s="15"/>
      <c r="E301" s="15"/>
    </row>
    <row r="302" spans="2:5" x14ac:dyDescent="0.2">
      <c r="B302" s="15"/>
      <c r="C302" s="15"/>
      <c r="D302" s="15"/>
      <c r="E302" s="15"/>
    </row>
    <row r="303" spans="2:5" x14ac:dyDescent="0.2">
      <c r="B303" s="15"/>
      <c r="C303" s="15"/>
      <c r="D303" s="15"/>
      <c r="E303" s="15"/>
    </row>
    <row r="304" spans="2:5" x14ac:dyDescent="0.2">
      <c r="B304" s="15"/>
      <c r="C304" s="15"/>
      <c r="D304" s="15"/>
      <c r="E304" s="15"/>
    </row>
    <row r="305" spans="2:5" x14ac:dyDescent="0.2">
      <c r="B305" s="15"/>
      <c r="C305" s="15"/>
      <c r="D305" s="15"/>
      <c r="E305" s="15"/>
    </row>
    <row r="306" spans="2:5" x14ac:dyDescent="0.2">
      <c r="B306" s="15"/>
      <c r="C306" s="15"/>
      <c r="D306" s="15"/>
      <c r="E306" s="15"/>
    </row>
    <row r="307" spans="2:5" x14ac:dyDescent="0.2">
      <c r="B307" s="15"/>
      <c r="C307" s="15"/>
      <c r="D307" s="15"/>
      <c r="E307" s="15"/>
    </row>
    <row r="308" spans="2:5" x14ac:dyDescent="0.2">
      <c r="B308" s="15"/>
      <c r="C308" s="15"/>
      <c r="D308" s="15"/>
      <c r="E308" s="15"/>
    </row>
    <row r="309" spans="2:5" x14ac:dyDescent="0.2">
      <c r="B309" s="15"/>
      <c r="C309" s="15"/>
      <c r="D309" s="15"/>
      <c r="E309" s="15"/>
    </row>
    <row r="310" spans="2:5" x14ac:dyDescent="0.2">
      <c r="B310" s="15"/>
      <c r="C310" s="15"/>
      <c r="D310" s="15"/>
      <c r="E310" s="15"/>
    </row>
    <row r="311" spans="2:5" x14ac:dyDescent="0.2">
      <c r="B311" s="15"/>
      <c r="C311" s="15"/>
      <c r="D311" s="15"/>
      <c r="E311" s="15"/>
    </row>
    <row r="312" spans="2:5" x14ac:dyDescent="0.2">
      <c r="B312" s="15"/>
      <c r="C312" s="15"/>
      <c r="D312" s="15"/>
      <c r="E312" s="15"/>
    </row>
    <row r="313" spans="2:5" x14ac:dyDescent="0.2">
      <c r="B313" s="15"/>
      <c r="C313" s="15"/>
      <c r="D313" s="15"/>
      <c r="E313" s="15"/>
    </row>
    <row r="314" spans="2:5" x14ac:dyDescent="0.2">
      <c r="B314" s="15"/>
      <c r="C314" s="15"/>
      <c r="D314" s="15"/>
      <c r="E314" s="15"/>
    </row>
    <row r="315" spans="2:5" x14ac:dyDescent="0.2">
      <c r="B315" s="15"/>
      <c r="C315" s="15"/>
      <c r="D315" s="15"/>
      <c r="E315" s="15"/>
    </row>
    <row r="316" spans="2:5" x14ac:dyDescent="0.2">
      <c r="B316" s="15"/>
      <c r="C316" s="15"/>
      <c r="D316" s="15"/>
      <c r="E316" s="15"/>
    </row>
    <row r="317" spans="2:5" x14ac:dyDescent="0.2">
      <c r="B317" s="15"/>
      <c r="C317" s="15"/>
      <c r="D317" s="15"/>
      <c r="E317" s="15"/>
    </row>
    <row r="318" spans="2:5" x14ac:dyDescent="0.2">
      <c r="B318" s="15"/>
      <c r="C318" s="15"/>
      <c r="D318" s="15"/>
      <c r="E318" s="15"/>
    </row>
    <row r="319" spans="2:5" x14ac:dyDescent="0.2">
      <c r="B319" s="15"/>
      <c r="C319" s="15"/>
      <c r="D319" s="15"/>
      <c r="E319" s="15"/>
    </row>
    <row r="320" spans="2:5" x14ac:dyDescent="0.2">
      <c r="B320" s="15"/>
      <c r="C320" s="15"/>
      <c r="D320" s="15"/>
      <c r="E320" s="15"/>
    </row>
    <row r="321" spans="2:5" x14ac:dyDescent="0.2">
      <c r="B321" s="15"/>
      <c r="C321" s="15"/>
      <c r="D321" s="15"/>
      <c r="E321" s="15"/>
    </row>
    <row r="322" spans="2:5" x14ac:dyDescent="0.2">
      <c r="B322" s="15"/>
      <c r="C322" s="15"/>
      <c r="D322" s="15"/>
      <c r="E322" s="15"/>
    </row>
    <row r="323" spans="2:5" x14ac:dyDescent="0.2">
      <c r="B323" s="15"/>
      <c r="C323" s="15"/>
      <c r="D323" s="15"/>
      <c r="E323" s="15"/>
    </row>
    <row r="324" spans="2:5" x14ac:dyDescent="0.2">
      <c r="B324" s="15"/>
      <c r="C324" s="15"/>
      <c r="D324" s="15"/>
      <c r="E324" s="15"/>
    </row>
    <row r="325" spans="2:5" x14ac:dyDescent="0.2">
      <c r="B325" s="15"/>
      <c r="C325" s="15"/>
      <c r="D325" s="15"/>
      <c r="E325" s="15"/>
    </row>
    <row r="326" spans="2:5" x14ac:dyDescent="0.2">
      <c r="B326" s="15"/>
      <c r="C326" s="15"/>
      <c r="D326" s="15"/>
      <c r="E326" s="15"/>
    </row>
    <row r="327" spans="2:5" x14ac:dyDescent="0.2">
      <c r="B327" s="15"/>
      <c r="C327" s="15"/>
      <c r="D327" s="15"/>
      <c r="E327" s="15"/>
    </row>
    <row r="328" spans="2:5" x14ac:dyDescent="0.2">
      <c r="B328" s="15"/>
      <c r="C328" s="15"/>
      <c r="D328" s="15"/>
      <c r="E328" s="15"/>
    </row>
    <row r="329" spans="2:5" x14ac:dyDescent="0.2">
      <c r="B329" s="15"/>
      <c r="C329" s="15"/>
      <c r="D329" s="15"/>
      <c r="E329" s="15"/>
    </row>
    <row r="330" spans="2:5" x14ac:dyDescent="0.2">
      <c r="B330" s="15"/>
      <c r="C330" s="15"/>
      <c r="D330" s="15"/>
      <c r="E330" s="15"/>
    </row>
    <row r="331" spans="2:5" x14ac:dyDescent="0.2">
      <c r="B331" s="15"/>
      <c r="C331" s="15"/>
      <c r="D331" s="15"/>
      <c r="E331" s="15"/>
    </row>
    <row r="332" spans="2:5" x14ac:dyDescent="0.2">
      <c r="B332" s="15"/>
      <c r="C332" s="15"/>
      <c r="D332" s="15"/>
      <c r="E332" s="15"/>
    </row>
    <row r="333" spans="2:5" x14ac:dyDescent="0.2">
      <c r="B333" s="15"/>
      <c r="C333" s="15"/>
      <c r="D333" s="15"/>
      <c r="E333" s="15"/>
    </row>
    <row r="334" spans="2:5" x14ac:dyDescent="0.2">
      <c r="B334" s="15"/>
      <c r="C334" s="15"/>
      <c r="D334" s="15"/>
      <c r="E334" s="15"/>
    </row>
    <row r="335" spans="2:5" x14ac:dyDescent="0.2">
      <c r="B335" s="15"/>
      <c r="C335" s="15"/>
      <c r="D335" s="15"/>
      <c r="E335" s="15"/>
    </row>
    <row r="336" spans="2:5" x14ac:dyDescent="0.2">
      <c r="B336" s="15"/>
      <c r="C336" s="15"/>
      <c r="D336" s="15"/>
      <c r="E336" s="15"/>
    </row>
    <row r="337" spans="2:5" x14ac:dyDescent="0.2">
      <c r="B337" s="15"/>
      <c r="C337" s="15"/>
      <c r="D337" s="15"/>
      <c r="E337" s="15"/>
    </row>
    <row r="338" spans="2:5" x14ac:dyDescent="0.2">
      <c r="B338" s="15"/>
      <c r="C338" s="15"/>
      <c r="D338" s="15"/>
      <c r="E338" s="15"/>
    </row>
    <row r="339" spans="2:5" x14ac:dyDescent="0.2">
      <c r="B339" s="15"/>
      <c r="C339" s="15"/>
      <c r="D339" s="15"/>
      <c r="E339" s="15"/>
    </row>
    <row r="340" spans="2:5" x14ac:dyDescent="0.2">
      <c r="B340" s="15"/>
      <c r="C340" s="15"/>
      <c r="D340" s="15"/>
      <c r="E340" s="15"/>
    </row>
    <row r="341" spans="2:5" x14ac:dyDescent="0.2">
      <c r="B341" s="15"/>
      <c r="C341" s="15"/>
      <c r="D341" s="15"/>
      <c r="E341" s="15"/>
    </row>
    <row r="342" spans="2:5" x14ac:dyDescent="0.2">
      <c r="B342" s="15"/>
      <c r="C342" s="15"/>
      <c r="D342" s="15"/>
      <c r="E342" s="15"/>
    </row>
    <row r="343" spans="2:5" x14ac:dyDescent="0.2">
      <c r="B343" s="15"/>
      <c r="C343" s="15"/>
      <c r="D343" s="15"/>
      <c r="E343" s="15"/>
    </row>
    <row r="344" spans="2:5" x14ac:dyDescent="0.2">
      <c r="B344" s="15"/>
      <c r="C344" s="15"/>
      <c r="D344" s="15"/>
      <c r="E344" s="15"/>
    </row>
    <row r="345" spans="2:5" x14ac:dyDescent="0.2">
      <c r="B345" s="15"/>
      <c r="C345" s="15"/>
      <c r="D345" s="15"/>
      <c r="E345" s="15"/>
    </row>
    <row r="346" spans="2:5" x14ac:dyDescent="0.2">
      <c r="B346" s="15"/>
      <c r="C346" s="15"/>
      <c r="D346" s="15"/>
      <c r="E346" s="15"/>
    </row>
    <row r="347" spans="2:5" x14ac:dyDescent="0.2">
      <c r="B347" s="15"/>
      <c r="C347" s="15"/>
      <c r="D347" s="15"/>
      <c r="E347" s="15"/>
    </row>
    <row r="348" spans="2:5" x14ac:dyDescent="0.2">
      <c r="B348" s="15"/>
      <c r="C348" s="15"/>
      <c r="D348" s="15"/>
      <c r="E348" s="15"/>
    </row>
    <row r="349" spans="2:5" x14ac:dyDescent="0.2">
      <c r="B349" s="15"/>
      <c r="C349" s="15"/>
      <c r="D349" s="15"/>
      <c r="E349" s="15"/>
    </row>
    <row r="350" spans="2:5" x14ac:dyDescent="0.2">
      <c r="B350" s="15"/>
      <c r="C350" s="15"/>
      <c r="D350" s="15"/>
      <c r="E350" s="15"/>
    </row>
    <row r="351" spans="2:5" x14ac:dyDescent="0.2">
      <c r="B351" s="15"/>
      <c r="C351" s="15"/>
      <c r="D351" s="15"/>
      <c r="E351" s="15"/>
    </row>
    <row r="352" spans="2:5" x14ac:dyDescent="0.2">
      <c r="B352" s="15"/>
      <c r="C352" s="15"/>
      <c r="D352" s="15"/>
      <c r="E352" s="15"/>
    </row>
    <row r="353" spans="2:5" x14ac:dyDescent="0.2">
      <c r="B353" s="15"/>
      <c r="C353" s="15"/>
      <c r="D353" s="15"/>
      <c r="E353" s="15"/>
    </row>
    <row r="354" spans="2:5" x14ac:dyDescent="0.2">
      <c r="B354" s="15"/>
      <c r="C354" s="15"/>
      <c r="D354" s="15"/>
      <c r="E354" s="15"/>
    </row>
    <row r="355" spans="2:5" x14ac:dyDescent="0.2">
      <c r="B355" s="15"/>
      <c r="C355" s="15"/>
      <c r="D355" s="15"/>
      <c r="E355" s="15"/>
    </row>
    <row r="356" spans="2:5" x14ac:dyDescent="0.2">
      <c r="B356" s="15"/>
      <c r="C356" s="15"/>
      <c r="D356" s="15"/>
      <c r="E356" s="15"/>
    </row>
    <row r="357" spans="2:5" x14ac:dyDescent="0.2">
      <c r="B357" s="15"/>
      <c r="C357" s="15"/>
      <c r="D357" s="15"/>
      <c r="E357" s="15"/>
    </row>
    <row r="358" spans="2:5" x14ac:dyDescent="0.2">
      <c r="B358" s="15"/>
      <c r="C358" s="15"/>
      <c r="D358" s="15"/>
      <c r="E358" s="15"/>
    </row>
    <row r="359" spans="2:5" x14ac:dyDescent="0.2">
      <c r="B359" s="15"/>
      <c r="C359" s="15"/>
      <c r="D359" s="15"/>
      <c r="E359" s="15"/>
    </row>
    <row r="360" spans="2:5" x14ac:dyDescent="0.2">
      <c r="B360" s="15"/>
      <c r="C360" s="15"/>
      <c r="D360" s="15"/>
      <c r="E360" s="15"/>
    </row>
    <row r="361" spans="2:5" x14ac:dyDescent="0.2">
      <c r="B361" s="15"/>
      <c r="C361" s="15"/>
      <c r="D361" s="15"/>
      <c r="E361" s="15"/>
    </row>
    <row r="362" spans="2:5" x14ac:dyDescent="0.2">
      <c r="B362" s="15"/>
      <c r="C362" s="15"/>
      <c r="D362" s="15"/>
      <c r="E362" s="15"/>
    </row>
    <row r="363" spans="2:5" x14ac:dyDescent="0.2">
      <c r="B363" s="15"/>
      <c r="C363" s="15"/>
      <c r="D363" s="15"/>
      <c r="E363" s="15"/>
    </row>
    <row r="364" spans="2:5" x14ac:dyDescent="0.2">
      <c r="B364" s="15"/>
      <c r="C364" s="15"/>
      <c r="D364" s="15"/>
      <c r="E364" s="15"/>
    </row>
    <row r="365" spans="2:5" x14ac:dyDescent="0.2">
      <c r="B365" s="15"/>
      <c r="C365" s="15"/>
      <c r="D365" s="15"/>
      <c r="E365" s="15"/>
    </row>
    <row r="366" spans="2:5" x14ac:dyDescent="0.2">
      <c r="B366" s="15"/>
      <c r="C366" s="15"/>
      <c r="D366" s="15"/>
      <c r="E366" s="15"/>
    </row>
    <row r="367" spans="2:5" x14ac:dyDescent="0.2">
      <c r="B367" s="15"/>
      <c r="C367" s="15"/>
      <c r="D367" s="15"/>
      <c r="E367" s="15"/>
    </row>
    <row r="368" spans="2:5" x14ac:dyDescent="0.2">
      <c r="B368" s="15"/>
      <c r="C368" s="15"/>
      <c r="D368" s="15"/>
      <c r="E368" s="15"/>
    </row>
    <row r="369" spans="2:5" x14ac:dyDescent="0.2">
      <c r="B369" s="15"/>
      <c r="C369" s="15"/>
      <c r="D369" s="15"/>
      <c r="E369" s="15"/>
    </row>
    <row r="370" spans="2:5" x14ac:dyDescent="0.2">
      <c r="B370" s="15"/>
      <c r="C370" s="15"/>
      <c r="D370" s="15"/>
      <c r="E370" s="15"/>
    </row>
    <row r="371" spans="2:5" x14ac:dyDescent="0.2">
      <c r="B371" s="15"/>
      <c r="C371" s="15"/>
      <c r="D371" s="15"/>
      <c r="E371" s="15"/>
    </row>
    <row r="372" spans="2:5" x14ac:dyDescent="0.2">
      <c r="B372" s="15"/>
      <c r="C372" s="15"/>
      <c r="D372" s="15"/>
      <c r="E372" s="15"/>
    </row>
    <row r="373" spans="2:5" x14ac:dyDescent="0.2">
      <c r="B373" s="15"/>
      <c r="C373" s="15"/>
      <c r="D373" s="15"/>
      <c r="E373" s="15"/>
    </row>
    <row r="374" spans="2:5" x14ac:dyDescent="0.2">
      <c r="B374" s="15"/>
      <c r="C374" s="15"/>
      <c r="D374" s="15"/>
      <c r="E374" s="15"/>
    </row>
    <row r="375" spans="2:5" x14ac:dyDescent="0.2">
      <c r="B375" s="15"/>
      <c r="C375" s="15"/>
      <c r="D375" s="15"/>
      <c r="E375" s="15"/>
    </row>
    <row r="376" spans="2:5" x14ac:dyDescent="0.2">
      <c r="B376" s="15"/>
      <c r="C376" s="15"/>
      <c r="D376" s="15"/>
      <c r="E376" s="15"/>
    </row>
    <row r="377" spans="2:5" x14ac:dyDescent="0.2">
      <c r="B377" s="15"/>
      <c r="C377" s="15"/>
      <c r="D377" s="15"/>
      <c r="E377" s="15"/>
    </row>
    <row r="378" spans="2:5" x14ac:dyDescent="0.2">
      <c r="B378" s="15"/>
      <c r="C378" s="15"/>
      <c r="D378" s="15"/>
      <c r="E378" s="15"/>
    </row>
    <row r="379" spans="2:5" x14ac:dyDescent="0.2">
      <c r="B379" s="15"/>
      <c r="C379" s="15"/>
      <c r="D379" s="15"/>
      <c r="E379" s="15"/>
    </row>
    <row r="380" spans="2:5" x14ac:dyDescent="0.2">
      <c r="B380" s="15"/>
      <c r="C380" s="15"/>
      <c r="D380" s="15"/>
      <c r="E380" s="15"/>
    </row>
    <row r="381" spans="2:5" x14ac:dyDescent="0.2">
      <c r="B381" s="15"/>
      <c r="C381" s="15"/>
      <c r="D381" s="15"/>
      <c r="E381" s="15"/>
    </row>
    <row r="382" spans="2:5" x14ac:dyDescent="0.2">
      <c r="B382" s="15"/>
      <c r="C382" s="15"/>
      <c r="D382" s="15"/>
      <c r="E382" s="15"/>
    </row>
    <row r="383" spans="2:5" x14ac:dyDescent="0.2">
      <c r="B383" s="15"/>
      <c r="C383" s="15"/>
      <c r="D383" s="15"/>
      <c r="E383" s="15"/>
    </row>
    <row r="384" spans="2:5" x14ac:dyDescent="0.2">
      <c r="B384" s="15"/>
      <c r="C384" s="15"/>
      <c r="D384" s="15"/>
      <c r="E384" s="15"/>
    </row>
    <row r="385" spans="2:5" x14ac:dyDescent="0.2">
      <c r="B385" s="15"/>
      <c r="C385" s="15"/>
      <c r="D385" s="15"/>
      <c r="E385" s="15"/>
    </row>
    <row r="386" spans="2:5" x14ac:dyDescent="0.2">
      <c r="B386" s="15"/>
      <c r="C386" s="15"/>
      <c r="D386" s="15"/>
      <c r="E386" s="15"/>
    </row>
    <row r="387" spans="2:5" x14ac:dyDescent="0.2">
      <c r="B387" s="15"/>
      <c r="C387" s="15"/>
      <c r="D387" s="15"/>
      <c r="E387" s="15"/>
    </row>
    <row r="388" spans="2:5" x14ac:dyDescent="0.2">
      <c r="B388" s="15"/>
      <c r="C388" s="15"/>
      <c r="D388" s="15"/>
      <c r="E388" s="15"/>
    </row>
    <row r="389" spans="2:5" x14ac:dyDescent="0.2">
      <c r="B389" s="15"/>
      <c r="C389" s="15"/>
      <c r="D389" s="15"/>
      <c r="E389" s="15"/>
    </row>
    <row r="390" spans="2:5" x14ac:dyDescent="0.2">
      <c r="B390" s="15"/>
      <c r="C390" s="15"/>
      <c r="D390" s="15"/>
      <c r="E390" s="15"/>
    </row>
    <row r="391" spans="2:5" x14ac:dyDescent="0.2">
      <c r="B391" s="15"/>
      <c r="C391" s="15"/>
      <c r="D391" s="15"/>
      <c r="E391" s="15"/>
    </row>
    <row r="392" spans="2:5" x14ac:dyDescent="0.2">
      <c r="B392" s="15"/>
      <c r="C392" s="15"/>
      <c r="D392" s="15"/>
      <c r="E392" s="15"/>
    </row>
    <row r="393" spans="2:5" x14ac:dyDescent="0.2">
      <c r="B393" s="15"/>
      <c r="C393" s="15"/>
      <c r="D393" s="15"/>
      <c r="E393" s="15"/>
    </row>
    <row r="394" spans="2:5" x14ac:dyDescent="0.2">
      <c r="B394" s="15"/>
      <c r="C394" s="15"/>
      <c r="D394" s="15"/>
      <c r="E394" s="15"/>
    </row>
    <row r="395" spans="2:5" x14ac:dyDescent="0.2">
      <c r="B395" s="15"/>
      <c r="C395" s="15"/>
      <c r="D395" s="15"/>
      <c r="E395" s="15"/>
    </row>
    <row r="396" spans="2:5" x14ac:dyDescent="0.2">
      <c r="B396" s="15"/>
      <c r="C396" s="15"/>
      <c r="D396" s="15"/>
      <c r="E396" s="15"/>
    </row>
    <row r="397" spans="2:5" x14ac:dyDescent="0.2">
      <c r="B397" s="15"/>
      <c r="C397" s="15"/>
      <c r="D397" s="15"/>
      <c r="E397" s="15"/>
    </row>
    <row r="398" spans="2:5" x14ac:dyDescent="0.2">
      <c r="B398" s="15"/>
      <c r="C398" s="15"/>
      <c r="D398" s="15"/>
      <c r="E398" s="15"/>
    </row>
    <row r="399" spans="2:5" x14ac:dyDescent="0.2">
      <c r="B399" s="15"/>
      <c r="C399" s="15"/>
      <c r="D399" s="15"/>
      <c r="E399" s="15"/>
    </row>
    <row r="400" spans="2:5" x14ac:dyDescent="0.2">
      <c r="B400" s="15"/>
      <c r="C400" s="15"/>
      <c r="D400" s="15"/>
      <c r="E400" s="15"/>
    </row>
    <row r="401" spans="2:5" x14ac:dyDescent="0.2">
      <c r="B401" s="15"/>
      <c r="C401" s="15"/>
      <c r="D401" s="15"/>
      <c r="E401" s="15"/>
    </row>
    <row r="402" spans="2:5" x14ac:dyDescent="0.2">
      <c r="B402" s="15"/>
      <c r="C402" s="15"/>
      <c r="D402" s="15"/>
      <c r="E402" s="15"/>
    </row>
    <row r="403" spans="2:5" x14ac:dyDescent="0.2">
      <c r="B403" s="15"/>
      <c r="C403" s="15"/>
      <c r="D403" s="15"/>
      <c r="E403" s="15"/>
    </row>
    <row r="404" spans="2:5" x14ac:dyDescent="0.2">
      <c r="B404" s="15"/>
      <c r="C404" s="15"/>
      <c r="D404" s="15"/>
      <c r="E404" s="15"/>
    </row>
    <row r="405" spans="2:5" x14ac:dyDescent="0.2">
      <c r="B405" s="15"/>
      <c r="C405" s="15"/>
      <c r="D405" s="15"/>
      <c r="E405" s="15"/>
    </row>
    <row r="406" spans="2:5" x14ac:dyDescent="0.2">
      <c r="B406" s="15"/>
      <c r="C406" s="15"/>
      <c r="D406" s="15"/>
      <c r="E406" s="15"/>
    </row>
    <row r="407" spans="2:5" x14ac:dyDescent="0.2">
      <c r="B407" s="15"/>
      <c r="C407" s="15"/>
      <c r="D407" s="15"/>
      <c r="E407" s="15"/>
    </row>
    <row r="408" spans="2:5" x14ac:dyDescent="0.2">
      <c r="B408" s="15"/>
      <c r="C408" s="15"/>
      <c r="D408" s="15"/>
      <c r="E408" s="15"/>
    </row>
    <row r="409" spans="2:5" x14ac:dyDescent="0.2">
      <c r="B409" s="15"/>
      <c r="C409" s="15"/>
      <c r="D409" s="15"/>
      <c r="E409" s="15"/>
    </row>
    <row r="410" spans="2:5" x14ac:dyDescent="0.2">
      <c r="B410" s="15"/>
      <c r="C410" s="15"/>
      <c r="D410" s="15"/>
      <c r="E410" s="15"/>
    </row>
    <row r="411" spans="2:5" x14ac:dyDescent="0.2">
      <c r="B411" s="15"/>
      <c r="C411" s="15"/>
      <c r="D411" s="15"/>
      <c r="E411" s="15"/>
    </row>
    <row r="412" spans="2:5" x14ac:dyDescent="0.2">
      <c r="B412" s="15"/>
      <c r="C412" s="15"/>
      <c r="D412" s="15"/>
      <c r="E412" s="15"/>
    </row>
    <row r="413" spans="2:5" x14ac:dyDescent="0.2">
      <c r="B413" s="15"/>
      <c r="C413" s="15"/>
      <c r="D413" s="15"/>
      <c r="E413" s="15"/>
    </row>
    <row r="414" spans="2:5" x14ac:dyDescent="0.2">
      <c r="B414" s="15"/>
      <c r="C414" s="15"/>
      <c r="D414" s="15"/>
      <c r="E414" s="15"/>
    </row>
    <row r="415" spans="2:5" x14ac:dyDescent="0.2">
      <c r="B415" s="15"/>
      <c r="C415" s="15"/>
      <c r="D415" s="15"/>
      <c r="E415" s="15"/>
    </row>
    <row r="416" spans="2:5" x14ac:dyDescent="0.2">
      <c r="B416" s="15"/>
      <c r="C416" s="15"/>
      <c r="D416" s="15"/>
      <c r="E416" s="15"/>
    </row>
    <row r="417" spans="2:5" x14ac:dyDescent="0.2">
      <c r="B417" s="15"/>
      <c r="C417" s="15"/>
      <c r="D417" s="15"/>
      <c r="E417" s="15"/>
    </row>
    <row r="418" spans="2:5" x14ac:dyDescent="0.2">
      <c r="B418" s="15"/>
      <c r="C418" s="15"/>
      <c r="D418" s="15"/>
      <c r="E418" s="15"/>
    </row>
    <row r="419" spans="2:5" x14ac:dyDescent="0.2">
      <c r="B419" s="15"/>
      <c r="C419" s="15"/>
      <c r="D419" s="15"/>
      <c r="E419" s="15"/>
    </row>
    <row r="420" spans="2:5" x14ac:dyDescent="0.2">
      <c r="B420" s="15"/>
      <c r="C420" s="15"/>
      <c r="D420" s="15"/>
      <c r="E420" s="15"/>
    </row>
    <row r="421" spans="2:5" x14ac:dyDescent="0.2">
      <c r="B421" s="15"/>
      <c r="C421" s="15"/>
      <c r="D421" s="15"/>
      <c r="E421" s="15"/>
    </row>
    <row r="422" spans="2:5" x14ac:dyDescent="0.2">
      <c r="B422" s="15"/>
      <c r="C422" s="15"/>
      <c r="D422" s="15"/>
      <c r="E422" s="15"/>
    </row>
    <row r="423" spans="2:5" x14ac:dyDescent="0.2">
      <c r="B423" s="15"/>
      <c r="C423" s="15"/>
      <c r="D423" s="15"/>
      <c r="E423" s="15"/>
    </row>
    <row r="424" spans="2:5" x14ac:dyDescent="0.2">
      <c r="B424" s="15"/>
      <c r="C424" s="15"/>
      <c r="D424" s="15"/>
      <c r="E424" s="15"/>
    </row>
    <row r="425" spans="2:5" x14ac:dyDescent="0.2">
      <c r="B425" s="15"/>
      <c r="C425" s="15"/>
      <c r="D425" s="15"/>
      <c r="E425" s="15"/>
    </row>
    <row r="426" spans="2:5" x14ac:dyDescent="0.2">
      <c r="B426" s="15"/>
      <c r="C426" s="15"/>
      <c r="D426" s="15"/>
      <c r="E426" s="15"/>
    </row>
    <row r="427" spans="2:5" x14ac:dyDescent="0.2">
      <c r="B427" s="15"/>
      <c r="C427" s="15"/>
      <c r="D427" s="15"/>
      <c r="E427" s="15"/>
    </row>
    <row r="428" spans="2:5" x14ac:dyDescent="0.2">
      <c r="B428" s="15"/>
      <c r="C428" s="15"/>
      <c r="D428" s="15"/>
      <c r="E428" s="15"/>
    </row>
    <row r="429" spans="2:5" x14ac:dyDescent="0.2">
      <c r="B429" s="15"/>
      <c r="C429" s="15"/>
      <c r="D429" s="15"/>
      <c r="E429" s="15"/>
    </row>
    <row r="430" spans="2:5" x14ac:dyDescent="0.2">
      <c r="B430" s="15"/>
      <c r="C430" s="15"/>
      <c r="D430" s="15"/>
      <c r="E430" s="15"/>
    </row>
    <row r="431" spans="2:5" x14ac:dyDescent="0.2">
      <c r="B431" s="15"/>
      <c r="C431" s="15"/>
      <c r="D431" s="15"/>
      <c r="E431" s="15"/>
    </row>
    <row r="432" spans="2:5" x14ac:dyDescent="0.2">
      <c r="B432" s="15"/>
      <c r="C432" s="15"/>
      <c r="D432" s="15"/>
      <c r="E432" s="15"/>
    </row>
    <row r="433" spans="2:5" x14ac:dyDescent="0.2">
      <c r="B433" s="15"/>
      <c r="C433" s="15"/>
      <c r="D433" s="15"/>
      <c r="E433" s="15"/>
    </row>
    <row r="434" spans="2:5" x14ac:dyDescent="0.2">
      <c r="B434" s="15"/>
      <c r="C434" s="15"/>
      <c r="D434" s="15"/>
      <c r="E434" s="15"/>
    </row>
    <row r="435" spans="2:5" x14ac:dyDescent="0.2">
      <c r="B435" s="15"/>
      <c r="C435" s="15"/>
      <c r="D435" s="15"/>
      <c r="E435" s="15"/>
    </row>
    <row r="436" spans="2:5" x14ac:dyDescent="0.2">
      <c r="B436" s="15"/>
      <c r="C436" s="15"/>
      <c r="D436" s="15"/>
      <c r="E436" s="15"/>
    </row>
    <row r="437" spans="2:5" x14ac:dyDescent="0.2">
      <c r="B437" s="15"/>
      <c r="C437" s="15"/>
      <c r="D437" s="15"/>
      <c r="E437" s="15"/>
    </row>
    <row r="438" spans="2:5" x14ac:dyDescent="0.2">
      <c r="B438" s="15"/>
      <c r="C438" s="15"/>
      <c r="D438" s="15"/>
      <c r="E438" s="15"/>
    </row>
    <row r="439" spans="2:5" x14ac:dyDescent="0.2">
      <c r="B439" s="15"/>
      <c r="C439" s="15"/>
      <c r="D439" s="15"/>
      <c r="E439" s="15"/>
    </row>
    <row r="440" spans="2:5" x14ac:dyDescent="0.2">
      <c r="B440" s="15"/>
      <c r="C440" s="15"/>
      <c r="D440" s="15"/>
      <c r="E440" s="15"/>
    </row>
    <row r="441" spans="2:5" x14ac:dyDescent="0.2">
      <c r="B441" s="15"/>
      <c r="C441" s="15"/>
      <c r="D441" s="15"/>
      <c r="E441" s="15"/>
    </row>
    <row r="442" spans="2:5" x14ac:dyDescent="0.2">
      <c r="B442" s="15"/>
      <c r="C442" s="15"/>
      <c r="D442" s="15"/>
      <c r="E442" s="15"/>
    </row>
    <row r="443" spans="2:5" x14ac:dyDescent="0.2">
      <c r="B443" s="15"/>
      <c r="C443" s="15"/>
      <c r="D443" s="15"/>
      <c r="E443" s="15"/>
    </row>
    <row r="444" spans="2:5" x14ac:dyDescent="0.2">
      <c r="B444" s="15"/>
      <c r="C444" s="15"/>
      <c r="D444" s="15"/>
      <c r="E444" s="15"/>
    </row>
    <row r="445" spans="2:5" x14ac:dyDescent="0.2">
      <c r="B445" s="15"/>
      <c r="C445" s="15"/>
      <c r="D445" s="15"/>
      <c r="E445" s="15"/>
    </row>
    <row r="446" spans="2:5" x14ac:dyDescent="0.2">
      <c r="B446" s="15"/>
      <c r="C446" s="15"/>
      <c r="D446" s="15"/>
      <c r="E446" s="15"/>
    </row>
    <row r="447" spans="2:5" x14ac:dyDescent="0.2">
      <c r="B447" s="15"/>
      <c r="C447" s="15"/>
      <c r="D447" s="15"/>
      <c r="E447" s="15"/>
    </row>
    <row r="448" spans="2:5" x14ac:dyDescent="0.2">
      <c r="B448" s="15"/>
      <c r="C448" s="15"/>
      <c r="D448" s="15"/>
      <c r="E448" s="15"/>
    </row>
    <row r="449" spans="2:5" x14ac:dyDescent="0.2">
      <c r="B449" s="15"/>
      <c r="C449" s="15"/>
      <c r="D449" s="15"/>
      <c r="E449" s="15"/>
    </row>
    <row r="450" spans="2:5" x14ac:dyDescent="0.2">
      <c r="B450" s="15"/>
      <c r="C450" s="15"/>
      <c r="D450" s="15"/>
      <c r="E450" s="15"/>
    </row>
    <row r="451" spans="2:5" x14ac:dyDescent="0.2">
      <c r="B451" s="15"/>
      <c r="C451" s="15"/>
      <c r="D451" s="15"/>
      <c r="E451" s="15"/>
    </row>
    <row r="452" spans="2:5" x14ac:dyDescent="0.2">
      <c r="B452" s="15"/>
      <c r="C452" s="15"/>
      <c r="D452" s="15"/>
      <c r="E452" s="15"/>
    </row>
    <row r="453" spans="2:5" x14ac:dyDescent="0.2">
      <c r="B453" s="15"/>
      <c r="C453" s="15"/>
      <c r="D453" s="15"/>
      <c r="E453" s="15"/>
    </row>
    <row r="454" spans="2:5" x14ac:dyDescent="0.2">
      <c r="B454" s="15"/>
      <c r="C454" s="15"/>
      <c r="D454" s="15"/>
      <c r="E454" s="15"/>
    </row>
    <row r="455" spans="2:5" x14ac:dyDescent="0.2">
      <c r="B455" s="15"/>
      <c r="C455" s="15"/>
      <c r="D455" s="15"/>
      <c r="E455" s="15"/>
    </row>
    <row r="456" spans="2:5" x14ac:dyDescent="0.2">
      <c r="B456" s="15"/>
      <c r="C456" s="15"/>
      <c r="D456" s="15"/>
      <c r="E456" s="15"/>
    </row>
    <row r="457" spans="2:5" x14ac:dyDescent="0.2">
      <c r="B457" s="15"/>
      <c r="C457" s="15"/>
      <c r="D457" s="15"/>
      <c r="E457" s="15"/>
    </row>
    <row r="458" spans="2:5" x14ac:dyDescent="0.2">
      <c r="B458" s="15"/>
      <c r="C458" s="15"/>
      <c r="D458" s="15"/>
      <c r="E458" s="15"/>
    </row>
    <row r="459" spans="2:5" x14ac:dyDescent="0.2">
      <c r="B459" s="15"/>
      <c r="C459" s="15"/>
      <c r="D459" s="15"/>
      <c r="E459" s="15"/>
    </row>
    <row r="460" spans="2:5" x14ac:dyDescent="0.2">
      <c r="B460" s="15"/>
      <c r="C460" s="15"/>
      <c r="D460" s="15"/>
      <c r="E460" s="15"/>
    </row>
    <row r="461" spans="2:5" x14ac:dyDescent="0.2">
      <c r="B461" s="15"/>
      <c r="C461" s="15"/>
      <c r="D461" s="15"/>
      <c r="E461" s="15"/>
    </row>
    <row r="462" spans="2:5" x14ac:dyDescent="0.2">
      <c r="B462" s="15"/>
      <c r="C462" s="15"/>
      <c r="D462" s="15"/>
      <c r="E462" s="15"/>
    </row>
    <row r="463" spans="2:5" x14ac:dyDescent="0.2">
      <c r="B463" s="15"/>
      <c r="C463" s="15"/>
      <c r="D463" s="15"/>
      <c r="E463" s="15"/>
    </row>
    <row r="464" spans="2:5" x14ac:dyDescent="0.2">
      <c r="B464" s="15"/>
      <c r="C464" s="15"/>
      <c r="D464" s="15"/>
      <c r="E464" s="15"/>
    </row>
    <row r="465" spans="2:5" x14ac:dyDescent="0.2">
      <c r="B465" s="15"/>
      <c r="C465" s="15"/>
      <c r="D465" s="15"/>
      <c r="E465" s="15"/>
    </row>
    <row r="466" spans="2:5" x14ac:dyDescent="0.2">
      <c r="B466" s="15"/>
      <c r="C466" s="15"/>
      <c r="D466" s="15"/>
      <c r="E466" s="15"/>
    </row>
    <row r="467" spans="2:5" x14ac:dyDescent="0.2">
      <c r="B467" s="15"/>
      <c r="C467" s="15"/>
      <c r="D467" s="15"/>
      <c r="E467" s="15"/>
    </row>
    <row r="468" spans="2:5" x14ac:dyDescent="0.2">
      <c r="B468" s="15"/>
      <c r="C468" s="15"/>
      <c r="D468" s="15"/>
      <c r="E468" s="15"/>
    </row>
    <row r="469" spans="2:5" x14ac:dyDescent="0.2">
      <c r="B469" s="15"/>
      <c r="C469" s="15"/>
      <c r="D469" s="15"/>
      <c r="E469" s="15"/>
    </row>
    <row r="470" spans="2:5" x14ac:dyDescent="0.2">
      <c r="B470" s="15"/>
      <c r="C470" s="15"/>
      <c r="D470" s="15"/>
      <c r="E470" s="15"/>
    </row>
    <row r="471" spans="2:5" x14ac:dyDescent="0.2">
      <c r="B471" s="15"/>
      <c r="C471" s="15"/>
      <c r="D471" s="15"/>
      <c r="E471" s="15"/>
    </row>
    <row r="472" spans="2:5" x14ac:dyDescent="0.2">
      <c r="B472" s="15"/>
      <c r="C472" s="15"/>
      <c r="D472" s="15"/>
      <c r="E472" s="15"/>
    </row>
    <row r="473" spans="2:5" x14ac:dyDescent="0.2">
      <c r="B473" s="15"/>
      <c r="C473" s="15"/>
      <c r="D473" s="15"/>
      <c r="E473" s="15"/>
    </row>
    <row r="474" spans="2:5" x14ac:dyDescent="0.2">
      <c r="B474" s="15"/>
      <c r="C474" s="15"/>
      <c r="D474" s="15"/>
      <c r="E474" s="15"/>
    </row>
    <row r="475" spans="2:5" x14ac:dyDescent="0.2">
      <c r="B475" s="15"/>
      <c r="C475" s="15"/>
      <c r="D475" s="15"/>
      <c r="E475" s="15"/>
    </row>
    <row r="476" spans="2:5" x14ac:dyDescent="0.2">
      <c r="B476" s="15"/>
      <c r="C476" s="15"/>
      <c r="D476" s="15"/>
      <c r="E476" s="15"/>
    </row>
    <row r="477" spans="2:5" x14ac:dyDescent="0.2">
      <c r="B477" s="15"/>
      <c r="C477" s="15"/>
      <c r="D477" s="15"/>
      <c r="E477" s="15"/>
    </row>
    <row r="478" spans="2:5" x14ac:dyDescent="0.2">
      <c r="B478" s="15"/>
      <c r="C478" s="15"/>
      <c r="D478" s="15"/>
      <c r="E478" s="15"/>
    </row>
    <row r="479" spans="2:5" x14ac:dyDescent="0.2">
      <c r="B479" s="15"/>
      <c r="C479" s="15"/>
      <c r="D479" s="15"/>
      <c r="E479" s="15"/>
    </row>
    <row r="480" spans="2:5" x14ac:dyDescent="0.2">
      <c r="B480" s="15"/>
      <c r="C480" s="15"/>
      <c r="D480" s="15"/>
      <c r="E480" s="15"/>
    </row>
    <row r="481" spans="2:5" x14ac:dyDescent="0.2">
      <c r="B481" s="15"/>
      <c r="C481" s="15"/>
      <c r="D481" s="15"/>
      <c r="E481" s="15"/>
    </row>
    <row r="482" spans="2:5" x14ac:dyDescent="0.2">
      <c r="B482" s="15"/>
      <c r="C482" s="15"/>
      <c r="D482" s="15"/>
      <c r="E482" s="15"/>
    </row>
    <row r="483" spans="2:5" x14ac:dyDescent="0.2">
      <c r="B483" s="15"/>
      <c r="C483" s="15"/>
      <c r="D483" s="15"/>
      <c r="E483" s="15"/>
    </row>
    <row r="484" spans="2:5" x14ac:dyDescent="0.2">
      <c r="B484" s="15"/>
      <c r="C484" s="15"/>
      <c r="D484" s="15"/>
      <c r="E484" s="15"/>
    </row>
    <row r="485" spans="2:5" x14ac:dyDescent="0.2">
      <c r="B485" s="15"/>
      <c r="C485" s="15"/>
      <c r="D485" s="15"/>
      <c r="E485" s="15"/>
    </row>
    <row r="486" spans="2:5" x14ac:dyDescent="0.2">
      <c r="B486" s="15"/>
      <c r="C486" s="15"/>
      <c r="D486" s="15"/>
      <c r="E486" s="15"/>
    </row>
    <row r="487" spans="2:5" x14ac:dyDescent="0.2">
      <c r="B487" s="15"/>
      <c r="C487" s="15"/>
      <c r="D487" s="15"/>
      <c r="E487" s="15"/>
    </row>
    <row r="488" spans="2:5" x14ac:dyDescent="0.2">
      <c r="B488" s="15"/>
      <c r="C488" s="15"/>
      <c r="D488" s="15"/>
      <c r="E488" s="15"/>
    </row>
    <row r="489" spans="2:5" x14ac:dyDescent="0.2">
      <c r="B489" s="15"/>
      <c r="C489" s="15"/>
      <c r="D489" s="15"/>
      <c r="E489" s="15"/>
    </row>
    <row r="490" spans="2:5" x14ac:dyDescent="0.2">
      <c r="B490" s="15"/>
      <c r="C490" s="15"/>
      <c r="D490" s="15"/>
      <c r="E490" s="15"/>
    </row>
    <row r="491" spans="2:5" x14ac:dyDescent="0.2">
      <c r="B491" s="15"/>
      <c r="C491" s="15"/>
      <c r="D491" s="15"/>
      <c r="E491" s="15"/>
    </row>
    <row r="492" spans="2:5" x14ac:dyDescent="0.2">
      <c r="B492" s="15"/>
      <c r="C492" s="15"/>
      <c r="D492" s="15"/>
      <c r="E492" s="15"/>
    </row>
    <row r="493" spans="2:5" x14ac:dyDescent="0.2">
      <c r="B493" s="15"/>
      <c r="C493" s="15"/>
      <c r="D493" s="15"/>
      <c r="E493" s="15"/>
    </row>
    <row r="494" spans="2:5" x14ac:dyDescent="0.2">
      <c r="B494" s="15"/>
      <c r="C494" s="15"/>
      <c r="D494" s="15"/>
      <c r="E494" s="15"/>
    </row>
    <row r="495" spans="2:5" x14ac:dyDescent="0.2">
      <c r="B495" s="15"/>
      <c r="C495" s="15"/>
      <c r="D495" s="15"/>
      <c r="E495" s="15"/>
    </row>
    <row r="496" spans="2:5" x14ac:dyDescent="0.2">
      <c r="B496" s="15"/>
      <c r="C496" s="15"/>
      <c r="D496" s="15"/>
      <c r="E496" s="15"/>
    </row>
    <row r="497" spans="2:5" x14ac:dyDescent="0.2">
      <c r="B497" s="15"/>
      <c r="C497" s="15"/>
      <c r="D497" s="15"/>
      <c r="E497" s="15"/>
    </row>
    <row r="498" spans="2:5" x14ac:dyDescent="0.2">
      <c r="B498" s="15"/>
      <c r="C498" s="15"/>
      <c r="D498" s="15"/>
      <c r="E498" s="15"/>
    </row>
    <row r="499" spans="2:5" x14ac:dyDescent="0.2">
      <c r="B499" s="15"/>
      <c r="C499" s="15"/>
      <c r="D499" s="15"/>
      <c r="E499" s="15"/>
    </row>
    <row r="500" spans="2:5" x14ac:dyDescent="0.2">
      <c r="B500" s="15"/>
      <c r="C500" s="15"/>
      <c r="D500" s="15"/>
      <c r="E500" s="15"/>
    </row>
    <row r="501" spans="2:5" x14ac:dyDescent="0.2">
      <c r="B501" s="15"/>
      <c r="C501" s="15"/>
      <c r="D501" s="15"/>
      <c r="E501" s="15"/>
    </row>
    <row r="502" spans="2:5" x14ac:dyDescent="0.2">
      <c r="B502" s="15"/>
      <c r="C502" s="15"/>
      <c r="D502" s="15"/>
      <c r="E502" s="15"/>
    </row>
    <row r="503" spans="2:5" x14ac:dyDescent="0.2">
      <c r="B503" s="15"/>
      <c r="C503" s="15"/>
      <c r="D503" s="15"/>
      <c r="E503" s="15"/>
    </row>
    <row r="504" spans="2:5" x14ac:dyDescent="0.2">
      <c r="B504" s="15"/>
      <c r="C504" s="15"/>
      <c r="D504" s="15"/>
      <c r="E504" s="15"/>
    </row>
    <row r="505" spans="2:5" x14ac:dyDescent="0.2">
      <c r="B505" s="15"/>
      <c r="C505" s="15"/>
      <c r="D505" s="15"/>
      <c r="E505" s="15"/>
    </row>
    <row r="506" spans="2:5" x14ac:dyDescent="0.2">
      <c r="B506" s="15"/>
      <c r="C506" s="15"/>
      <c r="D506" s="15"/>
      <c r="E506" s="15"/>
    </row>
    <row r="507" spans="2:5" x14ac:dyDescent="0.2">
      <c r="B507" s="15"/>
      <c r="C507" s="15"/>
      <c r="D507" s="15"/>
      <c r="E507" s="15"/>
    </row>
    <row r="508" spans="2:5" x14ac:dyDescent="0.2">
      <c r="B508" s="15"/>
      <c r="C508" s="15"/>
      <c r="D508" s="15"/>
      <c r="E508" s="15"/>
    </row>
    <row r="509" spans="2:5" x14ac:dyDescent="0.2">
      <c r="B509" s="15"/>
      <c r="C509" s="15"/>
      <c r="D509" s="15"/>
      <c r="E509" s="15"/>
    </row>
    <row r="510" spans="2:5" x14ac:dyDescent="0.2">
      <c r="B510" s="15"/>
      <c r="C510" s="15"/>
      <c r="D510" s="15"/>
      <c r="E510" s="15"/>
    </row>
    <row r="511" spans="2:5" x14ac:dyDescent="0.2">
      <c r="B511" s="15"/>
      <c r="C511" s="15"/>
      <c r="D511" s="15"/>
      <c r="E511" s="15"/>
    </row>
    <row r="512" spans="2:5" x14ac:dyDescent="0.2">
      <c r="B512" s="15"/>
      <c r="C512" s="15"/>
      <c r="D512" s="15"/>
      <c r="E512" s="15"/>
    </row>
    <row r="513" spans="2:5" x14ac:dyDescent="0.2">
      <c r="B513" s="15"/>
      <c r="C513" s="15"/>
      <c r="D513" s="15"/>
      <c r="E513" s="15"/>
    </row>
    <row r="514" spans="2:5" x14ac:dyDescent="0.2">
      <c r="B514" s="15"/>
      <c r="C514" s="15"/>
      <c r="D514" s="15"/>
      <c r="E514" s="15"/>
    </row>
    <row r="515" spans="2:5" x14ac:dyDescent="0.2">
      <c r="B515" s="15"/>
      <c r="C515" s="15"/>
      <c r="D515" s="15"/>
      <c r="E515" s="15"/>
    </row>
    <row r="516" spans="2:5" x14ac:dyDescent="0.2">
      <c r="B516" s="15"/>
      <c r="C516" s="15"/>
      <c r="D516" s="15"/>
      <c r="E516" s="15"/>
    </row>
    <row r="517" spans="2:5" x14ac:dyDescent="0.2">
      <c r="B517" s="15"/>
      <c r="C517" s="15"/>
      <c r="D517" s="15"/>
      <c r="E517" s="15"/>
    </row>
    <row r="518" spans="2:5" x14ac:dyDescent="0.2">
      <c r="B518" s="15"/>
      <c r="C518" s="15"/>
      <c r="D518" s="15"/>
      <c r="E518" s="15"/>
    </row>
    <row r="519" spans="2:5" x14ac:dyDescent="0.2">
      <c r="B519" s="15"/>
      <c r="C519" s="15"/>
      <c r="D519" s="15"/>
      <c r="E519" s="15"/>
    </row>
    <row r="520" spans="2:5" x14ac:dyDescent="0.2">
      <c r="B520" s="15"/>
      <c r="C520" s="15"/>
      <c r="D520" s="15"/>
      <c r="E520" s="15"/>
    </row>
    <row r="521" spans="2:5" x14ac:dyDescent="0.2">
      <c r="B521" s="15"/>
      <c r="C521" s="15"/>
      <c r="D521" s="15"/>
      <c r="E521" s="15"/>
    </row>
    <row r="522" spans="2:5" x14ac:dyDescent="0.2">
      <c r="B522" s="15"/>
      <c r="C522" s="15"/>
      <c r="D522" s="15"/>
      <c r="E522" s="15"/>
    </row>
    <row r="523" spans="2:5" x14ac:dyDescent="0.2">
      <c r="B523" s="15"/>
      <c r="C523" s="15"/>
      <c r="D523" s="15"/>
      <c r="E523" s="15"/>
    </row>
    <row r="524" spans="2:5" x14ac:dyDescent="0.2">
      <c r="B524" s="15"/>
      <c r="C524" s="15"/>
      <c r="D524" s="15"/>
      <c r="E524" s="15"/>
    </row>
    <row r="525" spans="2:5" x14ac:dyDescent="0.2">
      <c r="B525" s="15"/>
      <c r="C525" s="15"/>
      <c r="D525" s="15"/>
      <c r="E525" s="15"/>
    </row>
    <row r="526" spans="2:5" x14ac:dyDescent="0.2">
      <c r="B526" s="15"/>
      <c r="C526" s="15"/>
      <c r="D526" s="15"/>
      <c r="E526" s="15"/>
    </row>
    <row r="527" spans="2:5" x14ac:dyDescent="0.2">
      <c r="B527" s="15"/>
      <c r="C527" s="15"/>
      <c r="D527" s="15"/>
      <c r="E527" s="15"/>
    </row>
    <row r="528" spans="2:5" x14ac:dyDescent="0.2">
      <c r="B528" s="15"/>
      <c r="C528" s="15"/>
      <c r="D528" s="15"/>
      <c r="E528" s="15"/>
    </row>
    <row r="529" spans="2:5" x14ac:dyDescent="0.2">
      <c r="B529" s="15"/>
      <c r="C529" s="15"/>
      <c r="D529" s="15"/>
      <c r="E529" s="15"/>
    </row>
    <row r="530" spans="2:5" x14ac:dyDescent="0.2">
      <c r="B530" s="15"/>
      <c r="C530" s="15"/>
      <c r="D530" s="15"/>
      <c r="E530" s="15"/>
    </row>
    <row r="531" spans="2:5" x14ac:dyDescent="0.2">
      <c r="B531" s="15"/>
      <c r="C531" s="15"/>
      <c r="D531" s="15"/>
      <c r="E531" s="15"/>
    </row>
    <row r="532" spans="2:5" x14ac:dyDescent="0.2">
      <c r="B532" s="15"/>
      <c r="C532" s="15"/>
      <c r="D532" s="15"/>
      <c r="E532" s="15"/>
    </row>
    <row r="533" spans="2:5" x14ac:dyDescent="0.2">
      <c r="B533" s="15"/>
      <c r="C533" s="15"/>
      <c r="D533" s="15"/>
      <c r="E533" s="15"/>
    </row>
    <row r="534" spans="2:5" x14ac:dyDescent="0.2">
      <c r="B534" s="15"/>
      <c r="C534" s="15"/>
      <c r="D534" s="15"/>
      <c r="E534" s="15"/>
    </row>
    <row r="535" spans="2:5" x14ac:dyDescent="0.2">
      <c r="B535" s="15"/>
      <c r="C535" s="15"/>
      <c r="D535" s="15"/>
      <c r="E535" s="15"/>
    </row>
    <row r="536" spans="2:5" x14ac:dyDescent="0.2">
      <c r="B536" s="15"/>
      <c r="C536" s="15"/>
      <c r="D536" s="15"/>
      <c r="E536" s="15"/>
    </row>
    <row r="537" spans="2:5" x14ac:dyDescent="0.2">
      <c r="B537" s="15"/>
      <c r="C537" s="15"/>
      <c r="D537" s="15"/>
      <c r="E537" s="15"/>
    </row>
    <row r="538" spans="2:5" x14ac:dyDescent="0.2">
      <c r="B538" s="15"/>
      <c r="C538" s="15"/>
      <c r="D538" s="15"/>
      <c r="E538" s="15"/>
    </row>
    <row r="539" spans="2:5" x14ac:dyDescent="0.2">
      <c r="B539" s="15"/>
      <c r="C539" s="15"/>
      <c r="D539" s="15"/>
      <c r="E539" s="15"/>
    </row>
    <row r="540" spans="2:5" x14ac:dyDescent="0.2">
      <c r="B540" s="15"/>
      <c r="C540" s="15"/>
      <c r="D540" s="15"/>
      <c r="E540" s="15"/>
    </row>
    <row r="541" spans="2:5" x14ac:dyDescent="0.2">
      <c r="B541" s="15"/>
      <c r="C541" s="15"/>
      <c r="D541" s="15"/>
      <c r="E541" s="15"/>
    </row>
    <row r="542" spans="2:5" x14ac:dyDescent="0.2">
      <c r="B542" s="15"/>
      <c r="C542" s="15"/>
      <c r="D542" s="15"/>
      <c r="E542" s="15"/>
    </row>
    <row r="543" spans="2:5" x14ac:dyDescent="0.2">
      <c r="B543" s="15"/>
      <c r="C543" s="15"/>
      <c r="D543" s="15"/>
      <c r="E543" s="15"/>
    </row>
    <row r="544" spans="2:5" x14ac:dyDescent="0.2">
      <c r="B544" s="15"/>
      <c r="C544" s="15"/>
      <c r="D544" s="15"/>
      <c r="E544" s="15"/>
    </row>
    <row r="545" spans="2:5" x14ac:dyDescent="0.2">
      <c r="B545" s="15"/>
      <c r="C545" s="15"/>
      <c r="D545" s="15"/>
      <c r="E545" s="15"/>
    </row>
    <row r="546" spans="2:5" x14ac:dyDescent="0.2">
      <c r="B546" s="15"/>
      <c r="C546" s="15"/>
      <c r="D546" s="15"/>
      <c r="E546" s="15"/>
    </row>
    <row r="547" spans="2:5" x14ac:dyDescent="0.2">
      <c r="B547" s="15"/>
      <c r="C547" s="15"/>
      <c r="D547" s="15"/>
      <c r="E547" s="15"/>
    </row>
    <row r="548" spans="2:5" x14ac:dyDescent="0.2">
      <c r="B548" s="15"/>
      <c r="C548" s="15"/>
      <c r="D548" s="15"/>
      <c r="E548" s="15"/>
    </row>
    <row r="549" spans="2:5" x14ac:dyDescent="0.2">
      <c r="B549" s="15"/>
      <c r="C549" s="15"/>
      <c r="D549" s="15"/>
      <c r="E549" s="15"/>
    </row>
    <row r="550" spans="2:5" x14ac:dyDescent="0.2">
      <c r="B550" s="15"/>
      <c r="C550" s="15"/>
      <c r="D550" s="15"/>
      <c r="E550" s="15"/>
    </row>
    <row r="551" spans="2:5" x14ac:dyDescent="0.2">
      <c r="B551" s="15"/>
      <c r="C551" s="15"/>
      <c r="D551" s="15"/>
      <c r="E551" s="15"/>
    </row>
    <row r="552" spans="2:5" x14ac:dyDescent="0.2">
      <c r="B552" s="15"/>
      <c r="C552" s="15"/>
      <c r="D552" s="15"/>
      <c r="E552" s="15"/>
    </row>
    <row r="553" spans="2:5" x14ac:dyDescent="0.2">
      <c r="B553" s="15"/>
      <c r="C553" s="15"/>
      <c r="D553" s="15"/>
      <c r="E553" s="15"/>
    </row>
    <row r="554" spans="2:5" x14ac:dyDescent="0.2">
      <c r="B554" s="15"/>
      <c r="C554" s="15"/>
      <c r="D554" s="15"/>
      <c r="E554" s="15"/>
    </row>
    <row r="555" spans="2:5" x14ac:dyDescent="0.2">
      <c r="B555" s="15"/>
      <c r="C555" s="15"/>
      <c r="D555" s="15"/>
      <c r="E555" s="15"/>
    </row>
    <row r="556" spans="2:5" x14ac:dyDescent="0.2">
      <c r="B556" s="15"/>
      <c r="C556" s="15"/>
      <c r="D556" s="15"/>
      <c r="E556" s="15"/>
    </row>
    <row r="557" spans="2:5" x14ac:dyDescent="0.2">
      <c r="B557" s="15"/>
      <c r="C557" s="15"/>
      <c r="D557" s="15"/>
      <c r="E557" s="15"/>
    </row>
    <row r="558" spans="2:5" x14ac:dyDescent="0.2">
      <c r="B558" s="15"/>
      <c r="C558" s="15"/>
      <c r="D558" s="15"/>
      <c r="E558" s="15"/>
    </row>
    <row r="559" spans="2:5" x14ac:dyDescent="0.2">
      <c r="B559" s="15"/>
      <c r="C559" s="15"/>
      <c r="D559" s="15"/>
      <c r="E559" s="15"/>
    </row>
    <row r="560" spans="2:5" x14ac:dyDescent="0.2">
      <c r="B560" s="15"/>
      <c r="C560" s="15"/>
      <c r="D560" s="15"/>
      <c r="E560" s="15"/>
    </row>
    <row r="561" spans="2:5" x14ac:dyDescent="0.2">
      <c r="B561" s="15"/>
      <c r="C561" s="15"/>
      <c r="D561" s="15"/>
      <c r="E561" s="15"/>
    </row>
    <row r="562" spans="2:5" x14ac:dyDescent="0.2">
      <c r="B562" s="15"/>
      <c r="C562" s="15"/>
      <c r="D562" s="15"/>
      <c r="E562" s="15"/>
    </row>
    <row r="563" spans="2:5" x14ac:dyDescent="0.2">
      <c r="B563" s="15"/>
      <c r="C563" s="15"/>
      <c r="D563" s="15"/>
      <c r="E563" s="15"/>
    </row>
    <row r="564" spans="2:5" x14ac:dyDescent="0.2">
      <c r="B564" s="15"/>
      <c r="C564" s="15"/>
      <c r="D564" s="15"/>
      <c r="E564" s="15"/>
    </row>
    <row r="565" spans="2:5" x14ac:dyDescent="0.2">
      <c r="B565" s="15"/>
      <c r="C565" s="15"/>
      <c r="D565" s="15"/>
      <c r="E565" s="15"/>
    </row>
    <row r="566" spans="2:5" x14ac:dyDescent="0.2">
      <c r="B566" s="15"/>
      <c r="C566" s="15"/>
      <c r="D566" s="15"/>
      <c r="E566" s="15"/>
    </row>
    <row r="567" spans="2:5" x14ac:dyDescent="0.2">
      <c r="B567" s="15"/>
      <c r="C567" s="15"/>
      <c r="D567" s="15"/>
      <c r="E567" s="15"/>
    </row>
    <row r="568" spans="2:5" x14ac:dyDescent="0.2">
      <c r="B568" s="15"/>
      <c r="C568" s="15"/>
      <c r="D568" s="15"/>
      <c r="E568" s="15"/>
    </row>
    <row r="569" spans="2:5" x14ac:dyDescent="0.2">
      <c r="B569" s="15"/>
      <c r="C569" s="15"/>
      <c r="D569" s="15"/>
      <c r="E569" s="15"/>
    </row>
    <row r="570" spans="2:5" x14ac:dyDescent="0.2">
      <c r="B570" s="15"/>
      <c r="C570" s="15"/>
      <c r="D570" s="15"/>
      <c r="E570" s="15"/>
    </row>
    <row r="571" spans="2:5" x14ac:dyDescent="0.2">
      <c r="B571" s="15"/>
      <c r="C571" s="15"/>
      <c r="D571" s="15"/>
      <c r="E571" s="15"/>
    </row>
    <row r="572" spans="2:5" x14ac:dyDescent="0.2">
      <c r="B572" s="15"/>
      <c r="C572" s="15"/>
      <c r="D572" s="15"/>
      <c r="E572" s="15"/>
    </row>
    <row r="573" spans="2:5" x14ac:dyDescent="0.2">
      <c r="B573" s="15"/>
      <c r="C573" s="15"/>
      <c r="D573" s="15"/>
      <c r="E573" s="15"/>
    </row>
    <row r="574" spans="2:5" x14ac:dyDescent="0.2">
      <c r="B574" s="15"/>
      <c r="C574" s="15"/>
      <c r="D574" s="15"/>
      <c r="E574" s="15"/>
    </row>
    <row r="575" spans="2:5" x14ac:dyDescent="0.2">
      <c r="B575" s="15"/>
      <c r="C575" s="15"/>
      <c r="D575" s="15"/>
      <c r="E575" s="15"/>
    </row>
    <row r="576" spans="2:5" x14ac:dyDescent="0.2">
      <c r="B576" s="15"/>
      <c r="C576" s="15"/>
      <c r="D576" s="15"/>
      <c r="E576" s="15"/>
    </row>
    <row r="577" spans="2:5" x14ac:dyDescent="0.2">
      <c r="B577" s="15"/>
      <c r="C577" s="15"/>
      <c r="D577" s="15"/>
      <c r="E577" s="15"/>
    </row>
    <row r="578" spans="2:5" x14ac:dyDescent="0.2">
      <c r="B578" s="15"/>
      <c r="C578" s="15"/>
      <c r="D578" s="15"/>
      <c r="E578" s="15"/>
    </row>
    <row r="579" spans="2:5" x14ac:dyDescent="0.2">
      <c r="B579" s="15"/>
      <c r="C579" s="15"/>
      <c r="D579" s="15"/>
      <c r="E579" s="15"/>
    </row>
    <row r="580" spans="2:5" x14ac:dyDescent="0.2">
      <c r="B580" s="15"/>
      <c r="C580" s="15"/>
      <c r="D580" s="15"/>
      <c r="E580" s="15"/>
    </row>
    <row r="581" spans="2:5" x14ac:dyDescent="0.2">
      <c r="B581" s="15"/>
      <c r="C581" s="15"/>
      <c r="D581" s="15"/>
      <c r="E581" s="15"/>
    </row>
    <row r="582" spans="2:5" x14ac:dyDescent="0.2">
      <c r="B582" s="15"/>
      <c r="C582" s="15"/>
      <c r="D582" s="15"/>
      <c r="E582" s="15"/>
    </row>
    <row r="583" spans="2:5" x14ac:dyDescent="0.2">
      <c r="B583" s="15"/>
      <c r="C583" s="15"/>
      <c r="D583" s="15"/>
      <c r="E583" s="15"/>
    </row>
    <row r="584" spans="2:5" x14ac:dyDescent="0.2">
      <c r="B584" s="15"/>
      <c r="C584" s="15"/>
      <c r="D584" s="15"/>
      <c r="E584" s="15"/>
    </row>
    <row r="585" spans="2:5" x14ac:dyDescent="0.2">
      <c r="B585" s="15"/>
      <c r="C585" s="15"/>
      <c r="D585" s="15"/>
      <c r="E585" s="15"/>
    </row>
    <row r="586" spans="2:5" x14ac:dyDescent="0.2">
      <c r="B586" s="15"/>
      <c r="C586" s="15"/>
      <c r="D586" s="15"/>
      <c r="E586" s="15"/>
    </row>
    <row r="587" spans="2:5" x14ac:dyDescent="0.2">
      <c r="B587" s="15"/>
      <c r="C587" s="15"/>
      <c r="D587" s="15"/>
      <c r="E587" s="15"/>
    </row>
    <row r="588" spans="2:5" x14ac:dyDescent="0.2">
      <c r="B588" s="15"/>
      <c r="C588" s="15"/>
      <c r="D588" s="15"/>
      <c r="E588" s="15"/>
    </row>
    <row r="589" spans="2:5" x14ac:dyDescent="0.2">
      <c r="B589" s="15"/>
      <c r="C589" s="15"/>
      <c r="D589" s="15"/>
      <c r="E589" s="15"/>
    </row>
    <row r="590" spans="2:5" x14ac:dyDescent="0.2">
      <c r="B590" s="15"/>
      <c r="C590" s="15"/>
      <c r="D590" s="15"/>
      <c r="E590" s="15"/>
    </row>
    <row r="591" spans="2:5" x14ac:dyDescent="0.2">
      <c r="B591" s="15"/>
      <c r="C591" s="15"/>
      <c r="D591" s="15"/>
      <c r="E591" s="15"/>
    </row>
    <row r="592" spans="2:5" x14ac:dyDescent="0.2">
      <c r="B592" s="15"/>
      <c r="C592" s="15"/>
      <c r="D592" s="15"/>
      <c r="E592" s="15"/>
    </row>
    <row r="593" spans="2:5" x14ac:dyDescent="0.2">
      <c r="B593" s="15"/>
      <c r="C593" s="15"/>
      <c r="D593" s="15"/>
      <c r="E593" s="15"/>
    </row>
    <row r="594" spans="2:5" x14ac:dyDescent="0.2">
      <c r="B594" s="15"/>
      <c r="C594" s="15"/>
      <c r="D594" s="15"/>
      <c r="E594" s="15"/>
    </row>
    <row r="595" spans="2:5" x14ac:dyDescent="0.2">
      <c r="B595" s="15"/>
      <c r="C595" s="15"/>
      <c r="D595" s="15"/>
      <c r="E595" s="15"/>
    </row>
    <row r="596" spans="2:5" x14ac:dyDescent="0.2">
      <c r="B596" s="15"/>
      <c r="C596" s="15"/>
      <c r="D596" s="15"/>
      <c r="E596" s="15"/>
    </row>
    <row r="597" spans="2:5" x14ac:dyDescent="0.2">
      <c r="B597" s="15"/>
      <c r="C597" s="15"/>
      <c r="D597" s="15"/>
      <c r="E597" s="15"/>
    </row>
    <row r="598" spans="2:5" x14ac:dyDescent="0.2">
      <c r="B598" s="15"/>
      <c r="C598" s="15"/>
      <c r="D598" s="15"/>
      <c r="E598" s="15"/>
    </row>
    <row r="599" spans="2:5" x14ac:dyDescent="0.2">
      <c r="B599" s="15"/>
      <c r="C599" s="15"/>
      <c r="D599" s="15"/>
      <c r="E599" s="15"/>
    </row>
    <row r="600" spans="2:5" x14ac:dyDescent="0.2">
      <c r="B600" s="15"/>
      <c r="C600" s="15"/>
      <c r="D600" s="15"/>
      <c r="E600" s="15"/>
    </row>
    <row r="601" spans="2:5" x14ac:dyDescent="0.2">
      <c r="B601" s="15"/>
      <c r="C601" s="15"/>
      <c r="D601" s="15"/>
      <c r="E601" s="15"/>
    </row>
    <row r="602" spans="2:5" x14ac:dyDescent="0.2">
      <c r="B602" s="15"/>
      <c r="C602" s="15"/>
      <c r="D602" s="15"/>
      <c r="E602" s="15"/>
    </row>
    <row r="603" spans="2:5" x14ac:dyDescent="0.2">
      <c r="B603" s="15"/>
      <c r="C603" s="15"/>
      <c r="D603" s="15"/>
      <c r="E603" s="15"/>
    </row>
    <row r="604" spans="2:5" x14ac:dyDescent="0.2">
      <c r="B604" s="15"/>
      <c r="C604" s="15"/>
      <c r="D604" s="15"/>
      <c r="E604" s="15"/>
    </row>
    <row r="605" spans="2:5" x14ac:dyDescent="0.2">
      <c r="B605" s="15"/>
      <c r="C605" s="15"/>
      <c r="D605" s="15"/>
      <c r="E605" s="15"/>
    </row>
    <row r="606" spans="2:5" x14ac:dyDescent="0.2">
      <c r="B606" s="15"/>
      <c r="C606" s="15"/>
      <c r="D606" s="15"/>
      <c r="E606" s="15"/>
    </row>
    <row r="607" spans="2:5" x14ac:dyDescent="0.2">
      <c r="B607" s="15"/>
      <c r="C607" s="15"/>
      <c r="D607" s="15"/>
      <c r="E607" s="15"/>
    </row>
    <row r="608" spans="2:5" x14ac:dyDescent="0.2">
      <c r="B608" s="15"/>
      <c r="C608" s="15"/>
      <c r="D608" s="15"/>
      <c r="E608" s="15"/>
    </row>
    <row r="609" spans="2:5" x14ac:dyDescent="0.2">
      <c r="B609" s="15"/>
      <c r="C609" s="15"/>
      <c r="D609" s="15"/>
      <c r="E609" s="15"/>
    </row>
    <row r="610" spans="2:5" x14ac:dyDescent="0.2">
      <c r="B610" s="15"/>
      <c r="C610" s="15"/>
      <c r="D610" s="15"/>
      <c r="E610" s="15"/>
    </row>
    <row r="611" spans="2:5" x14ac:dyDescent="0.2">
      <c r="B611" s="15"/>
      <c r="C611" s="15"/>
      <c r="D611" s="15"/>
      <c r="E611" s="15"/>
    </row>
    <row r="612" spans="2:5" x14ac:dyDescent="0.2">
      <c r="B612" s="15"/>
      <c r="C612" s="15"/>
      <c r="D612" s="15"/>
      <c r="E612" s="15"/>
    </row>
    <row r="613" spans="2:5" x14ac:dyDescent="0.2">
      <c r="B613" s="15"/>
      <c r="C613" s="15"/>
      <c r="D613" s="15"/>
      <c r="E613" s="15"/>
    </row>
    <row r="614" spans="2:5" x14ac:dyDescent="0.2">
      <c r="B614" s="15"/>
      <c r="C614" s="15"/>
      <c r="D614" s="15"/>
      <c r="E614" s="15"/>
    </row>
    <row r="615" spans="2:5" x14ac:dyDescent="0.2">
      <c r="B615" s="15"/>
      <c r="C615" s="15"/>
      <c r="D615" s="15"/>
      <c r="E615" s="15"/>
    </row>
    <row r="616" spans="2:5" x14ac:dyDescent="0.2">
      <c r="B616" s="15"/>
      <c r="C616" s="15"/>
      <c r="D616" s="15"/>
      <c r="E616" s="15"/>
    </row>
    <row r="617" spans="2:5" x14ac:dyDescent="0.2">
      <c r="B617" s="15"/>
      <c r="C617" s="15"/>
      <c r="D617" s="15"/>
      <c r="E617" s="15"/>
    </row>
    <row r="618" spans="2:5" x14ac:dyDescent="0.2">
      <c r="B618" s="15"/>
      <c r="C618" s="15"/>
      <c r="D618" s="15"/>
      <c r="E618" s="15"/>
    </row>
    <row r="619" spans="2:5" x14ac:dyDescent="0.2">
      <c r="B619" s="15"/>
      <c r="C619" s="15"/>
      <c r="D619" s="15"/>
      <c r="E619" s="15"/>
    </row>
    <row r="620" spans="2:5" x14ac:dyDescent="0.2">
      <c r="B620" s="15"/>
      <c r="C620" s="15"/>
      <c r="D620" s="15"/>
      <c r="E620" s="15"/>
    </row>
    <row r="621" spans="2:5" x14ac:dyDescent="0.2">
      <c r="B621" s="15"/>
      <c r="C621" s="15"/>
      <c r="D621" s="15"/>
      <c r="E621" s="15"/>
    </row>
    <row r="622" spans="2:5" x14ac:dyDescent="0.2">
      <c r="B622" s="15"/>
      <c r="C622" s="15"/>
      <c r="D622" s="15"/>
      <c r="E622" s="15"/>
    </row>
    <row r="623" spans="2:5" x14ac:dyDescent="0.2">
      <c r="B623" s="15"/>
      <c r="C623" s="15"/>
      <c r="D623" s="15"/>
      <c r="E623" s="15"/>
    </row>
    <row r="624" spans="2:5" x14ac:dyDescent="0.2">
      <c r="B624" s="15"/>
      <c r="C624" s="15"/>
      <c r="D624" s="15"/>
      <c r="E624" s="15"/>
    </row>
    <row r="625" spans="2:5" x14ac:dyDescent="0.2">
      <c r="B625" s="15"/>
      <c r="C625" s="15"/>
      <c r="D625" s="15"/>
      <c r="E625" s="15"/>
    </row>
    <row r="626" spans="2:5" x14ac:dyDescent="0.2">
      <c r="B626" s="15"/>
      <c r="C626" s="15"/>
      <c r="D626" s="15"/>
      <c r="E626" s="15"/>
    </row>
    <row r="627" spans="2:5" x14ac:dyDescent="0.2">
      <c r="B627" s="15"/>
      <c r="C627" s="15"/>
      <c r="D627" s="15"/>
      <c r="E627" s="15"/>
    </row>
    <row r="628" spans="2:5" x14ac:dyDescent="0.2">
      <c r="B628" s="15"/>
      <c r="C628" s="15"/>
      <c r="D628" s="15"/>
      <c r="E628" s="15"/>
    </row>
    <row r="629" spans="2:5" x14ac:dyDescent="0.2">
      <c r="B629" s="15"/>
      <c r="C629" s="15"/>
      <c r="D629" s="15"/>
      <c r="E629" s="15"/>
    </row>
    <row r="630" spans="2:5" x14ac:dyDescent="0.2">
      <c r="B630" s="15"/>
      <c r="C630" s="15"/>
      <c r="D630" s="15"/>
      <c r="E630" s="15"/>
    </row>
    <row r="631" spans="2:5" x14ac:dyDescent="0.2">
      <c r="B631" s="15"/>
      <c r="C631" s="15"/>
      <c r="D631" s="15"/>
      <c r="E631" s="15"/>
    </row>
    <row r="632" spans="2:5" x14ac:dyDescent="0.2">
      <c r="B632" s="15"/>
      <c r="C632" s="15"/>
      <c r="D632" s="15"/>
      <c r="E632" s="15"/>
    </row>
    <row r="633" spans="2:5" x14ac:dyDescent="0.2">
      <c r="B633" s="15"/>
      <c r="C633" s="15"/>
      <c r="D633" s="15"/>
      <c r="E633" s="15"/>
    </row>
    <row r="634" spans="2:5" x14ac:dyDescent="0.2">
      <c r="B634" s="15"/>
      <c r="C634" s="15"/>
      <c r="D634" s="15"/>
      <c r="E634" s="15"/>
    </row>
    <row r="635" spans="2:5" x14ac:dyDescent="0.2">
      <c r="B635" s="15"/>
      <c r="C635" s="15"/>
      <c r="D635" s="15"/>
      <c r="E635" s="15"/>
    </row>
    <row r="636" spans="2:5" x14ac:dyDescent="0.2">
      <c r="B636" s="15"/>
      <c r="C636" s="15"/>
      <c r="D636" s="15"/>
      <c r="E636" s="15"/>
    </row>
    <row r="637" spans="2:5" x14ac:dyDescent="0.2">
      <c r="B637" s="15"/>
      <c r="C637" s="15"/>
      <c r="D637" s="15"/>
      <c r="E637" s="15"/>
    </row>
    <row r="638" spans="2:5" x14ac:dyDescent="0.2">
      <c r="B638" s="15"/>
      <c r="C638" s="15"/>
      <c r="D638" s="15"/>
      <c r="E638" s="15"/>
    </row>
    <row r="639" spans="2:5" x14ac:dyDescent="0.2">
      <c r="B639" s="15"/>
      <c r="C639" s="15"/>
      <c r="D639" s="15"/>
      <c r="E639" s="15"/>
    </row>
    <row r="640" spans="2:5" x14ac:dyDescent="0.2">
      <c r="B640" s="15"/>
      <c r="C640" s="15"/>
      <c r="D640" s="15"/>
      <c r="E640" s="15"/>
    </row>
    <row r="641" spans="2:5" x14ac:dyDescent="0.2">
      <c r="B641" s="15"/>
      <c r="C641" s="15"/>
      <c r="D641" s="15"/>
      <c r="E641" s="15"/>
    </row>
    <row r="642" spans="2:5" x14ac:dyDescent="0.2">
      <c r="B642" s="15"/>
      <c r="C642" s="15"/>
      <c r="D642" s="15"/>
      <c r="E642" s="15"/>
    </row>
    <row r="643" spans="2:5" x14ac:dyDescent="0.2">
      <c r="B643" s="15"/>
      <c r="C643" s="15"/>
      <c r="D643" s="15"/>
      <c r="E643" s="15"/>
    </row>
    <row r="644" spans="2:5" x14ac:dyDescent="0.2">
      <c r="B644" s="15"/>
      <c r="C644" s="15"/>
      <c r="D644" s="15"/>
      <c r="E644" s="15"/>
    </row>
    <row r="645" spans="2:5" x14ac:dyDescent="0.2">
      <c r="B645" s="15"/>
      <c r="C645" s="15"/>
      <c r="D645" s="15"/>
      <c r="E645" s="15"/>
    </row>
    <row r="646" spans="2:5" x14ac:dyDescent="0.2">
      <c r="B646" s="15"/>
      <c r="C646" s="15"/>
      <c r="D646" s="15"/>
      <c r="E646" s="15"/>
    </row>
    <row r="647" spans="2:5" x14ac:dyDescent="0.2">
      <c r="B647" s="15"/>
      <c r="C647" s="15"/>
      <c r="D647" s="15"/>
      <c r="E647" s="15"/>
    </row>
    <row r="648" spans="2:5" x14ac:dyDescent="0.2">
      <c r="B648" s="15"/>
      <c r="C648" s="15"/>
      <c r="D648" s="15"/>
      <c r="E648" s="15"/>
    </row>
    <row r="649" spans="2:5" x14ac:dyDescent="0.2">
      <c r="B649" s="15"/>
      <c r="C649" s="15"/>
      <c r="D649" s="15"/>
      <c r="E649" s="15"/>
    </row>
    <row r="650" spans="2:5" x14ac:dyDescent="0.2">
      <c r="B650" s="15"/>
      <c r="C650" s="15"/>
      <c r="D650" s="15"/>
      <c r="E650" s="15"/>
    </row>
    <row r="651" spans="2:5" x14ac:dyDescent="0.2">
      <c r="B651" s="15"/>
      <c r="C651" s="15"/>
      <c r="D651" s="15"/>
      <c r="E651" s="15"/>
    </row>
    <row r="652" spans="2:5" x14ac:dyDescent="0.2">
      <c r="B652" s="15"/>
      <c r="C652" s="15"/>
      <c r="D652" s="15"/>
      <c r="E652" s="15"/>
    </row>
    <row r="653" spans="2:5" x14ac:dyDescent="0.2">
      <c r="B653" s="15"/>
      <c r="C653" s="15"/>
      <c r="D653" s="15"/>
      <c r="E653" s="15"/>
    </row>
    <row r="654" spans="2:5" x14ac:dyDescent="0.2">
      <c r="B654" s="15"/>
      <c r="C654" s="15"/>
      <c r="D654" s="15"/>
      <c r="E654" s="15"/>
    </row>
    <row r="655" spans="2:5" x14ac:dyDescent="0.2">
      <c r="B655" s="15"/>
      <c r="C655" s="15"/>
      <c r="D655" s="15"/>
      <c r="E655" s="15"/>
    </row>
    <row r="656" spans="2:5" x14ac:dyDescent="0.2">
      <c r="B656" s="15"/>
      <c r="C656" s="15"/>
      <c r="D656" s="15"/>
      <c r="E656" s="15"/>
    </row>
    <row r="657" spans="2:5" x14ac:dyDescent="0.2">
      <c r="B657" s="15"/>
      <c r="C657" s="15"/>
      <c r="D657" s="15"/>
      <c r="E657" s="15"/>
    </row>
    <row r="658" spans="2:5" x14ac:dyDescent="0.2">
      <c r="B658" s="15"/>
      <c r="C658" s="15"/>
      <c r="D658" s="15"/>
      <c r="E658" s="15"/>
    </row>
    <row r="659" spans="2:5" x14ac:dyDescent="0.2">
      <c r="B659" s="15"/>
      <c r="C659" s="15"/>
      <c r="D659" s="15"/>
      <c r="E659" s="15"/>
    </row>
    <row r="660" spans="2:5" x14ac:dyDescent="0.2">
      <c r="B660" s="15"/>
      <c r="C660" s="15"/>
      <c r="D660" s="15"/>
      <c r="E660" s="15"/>
    </row>
    <row r="661" spans="2:5" x14ac:dyDescent="0.2">
      <c r="B661" s="15"/>
      <c r="C661" s="15"/>
      <c r="D661" s="15"/>
      <c r="E661" s="15"/>
    </row>
    <row r="662" spans="2:5" x14ac:dyDescent="0.2">
      <c r="B662" s="15"/>
      <c r="C662" s="15"/>
      <c r="D662" s="15"/>
      <c r="E662" s="15"/>
    </row>
    <row r="663" spans="2:5" x14ac:dyDescent="0.2">
      <c r="B663" s="15"/>
      <c r="C663" s="15"/>
      <c r="D663" s="15"/>
      <c r="E663" s="15"/>
    </row>
    <row r="664" spans="2:5" x14ac:dyDescent="0.2">
      <c r="B664" s="15"/>
      <c r="C664" s="15"/>
      <c r="D664" s="15"/>
      <c r="E664" s="15"/>
    </row>
    <row r="665" spans="2:5" x14ac:dyDescent="0.2">
      <c r="B665" s="15"/>
      <c r="C665" s="15"/>
      <c r="D665" s="15"/>
      <c r="E665" s="15"/>
    </row>
    <row r="666" spans="2:5" x14ac:dyDescent="0.2">
      <c r="B666" s="15"/>
      <c r="C666" s="15"/>
      <c r="D666" s="15"/>
      <c r="E666" s="15"/>
    </row>
    <row r="667" spans="2:5" x14ac:dyDescent="0.2">
      <c r="B667" s="15"/>
      <c r="C667" s="15"/>
      <c r="D667" s="15"/>
      <c r="E667" s="15"/>
    </row>
    <row r="668" spans="2:5" x14ac:dyDescent="0.2">
      <c r="B668" s="15"/>
      <c r="C668" s="15"/>
      <c r="D668" s="15"/>
      <c r="E668" s="15"/>
    </row>
    <row r="669" spans="2:5" x14ac:dyDescent="0.2">
      <c r="B669" s="15"/>
      <c r="C669" s="15"/>
      <c r="D669" s="15"/>
      <c r="E669" s="15"/>
    </row>
    <row r="670" spans="2:5" x14ac:dyDescent="0.2">
      <c r="B670" s="15"/>
      <c r="C670" s="15"/>
      <c r="D670" s="15"/>
      <c r="E670" s="15"/>
    </row>
    <row r="671" spans="2:5" x14ac:dyDescent="0.2">
      <c r="B671" s="15"/>
      <c r="C671" s="15"/>
      <c r="D671" s="15"/>
      <c r="E671" s="15"/>
    </row>
    <row r="672" spans="2:5" x14ac:dyDescent="0.2">
      <c r="B672" s="15"/>
      <c r="C672" s="15"/>
      <c r="D672" s="15"/>
      <c r="E672" s="15"/>
    </row>
    <row r="673" spans="2:5" x14ac:dyDescent="0.2">
      <c r="B673" s="15"/>
      <c r="C673" s="15"/>
      <c r="D673" s="15"/>
      <c r="E673" s="15"/>
    </row>
    <row r="674" spans="2:5" x14ac:dyDescent="0.2">
      <c r="B674" s="15"/>
      <c r="C674" s="15"/>
      <c r="D674" s="15"/>
      <c r="E674" s="15"/>
    </row>
    <row r="675" spans="2:5" x14ac:dyDescent="0.2">
      <c r="B675" s="15"/>
      <c r="C675" s="15"/>
      <c r="D675" s="15"/>
      <c r="E675" s="15"/>
    </row>
    <row r="676" spans="2:5" x14ac:dyDescent="0.2">
      <c r="B676" s="15"/>
      <c r="C676" s="15"/>
      <c r="D676" s="15"/>
      <c r="E676" s="15"/>
    </row>
    <row r="677" spans="2:5" x14ac:dyDescent="0.2">
      <c r="B677" s="15"/>
      <c r="C677" s="15"/>
      <c r="D677" s="15"/>
      <c r="E677" s="15"/>
    </row>
    <row r="678" spans="2:5" x14ac:dyDescent="0.2">
      <c r="B678" s="15"/>
      <c r="C678" s="15"/>
      <c r="D678" s="15"/>
      <c r="E678" s="15"/>
    </row>
    <row r="679" spans="2:5" x14ac:dyDescent="0.2">
      <c r="B679" s="15"/>
      <c r="C679" s="15"/>
      <c r="D679" s="15"/>
      <c r="E679" s="15"/>
    </row>
    <row r="680" spans="2:5" x14ac:dyDescent="0.2">
      <c r="B680" s="15"/>
      <c r="C680" s="15"/>
      <c r="D680" s="15"/>
      <c r="E680" s="15"/>
    </row>
    <row r="681" spans="2:5" x14ac:dyDescent="0.2">
      <c r="B681" s="15"/>
      <c r="C681" s="15"/>
      <c r="D681" s="15"/>
      <c r="E681" s="15"/>
    </row>
    <row r="682" spans="2:5" x14ac:dyDescent="0.2">
      <c r="B682" s="15"/>
      <c r="C682" s="15"/>
      <c r="D682" s="15"/>
      <c r="E682" s="15"/>
    </row>
    <row r="683" spans="2:5" x14ac:dyDescent="0.2">
      <c r="B683" s="15"/>
      <c r="C683" s="15"/>
      <c r="D683" s="15"/>
      <c r="E683" s="15"/>
    </row>
    <row r="684" spans="2:5" x14ac:dyDescent="0.2">
      <c r="B684" s="15"/>
      <c r="C684" s="15"/>
      <c r="D684" s="15"/>
      <c r="E684" s="15"/>
    </row>
    <row r="685" spans="2:5" x14ac:dyDescent="0.2">
      <c r="B685" s="15"/>
      <c r="C685" s="15"/>
      <c r="D685" s="15"/>
      <c r="E685" s="15"/>
    </row>
    <row r="686" spans="2:5" x14ac:dyDescent="0.2">
      <c r="B686" s="15"/>
      <c r="C686" s="15"/>
      <c r="D686" s="15"/>
      <c r="E686" s="15"/>
    </row>
    <row r="687" spans="2:5" x14ac:dyDescent="0.2">
      <c r="B687" s="15"/>
      <c r="C687" s="15"/>
      <c r="D687" s="15"/>
      <c r="E687" s="15"/>
    </row>
    <row r="688" spans="2:5" x14ac:dyDescent="0.2">
      <c r="B688" s="15"/>
      <c r="C688" s="15"/>
      <c r="D688" s="15"/>
      <c r="E688" s="15"/>
    </row>
    <row r="689" spans="2:5" x14ac:dyDescent="0.2">
      <c r="B689" s="15"/>
      <c r="C689" s="15"/>
      <c r="D689" s="15"/>
      <c r="E689" s="15"/>
    </row>
    <row r="690" spans="2:5" x14ac:dyDescent="0.2">
      <c r="B690" s="15"/>
      <c r="C690" s="15"/>
      <c r="D690" s="15"/>
      <c r="E690" s="15"/>
    </row>
    <row r="691" spans="2:5" x14ac:dyDescent="0.2">
      <c r="B691" s="15"/>
      <c r="C691" s="15"/>
      <c r="D691" s="15"/>
      <c r="E691" s="15"/>
    </row>
    <row r="692" spans="2:5" x14ac:dyDescent="0.2">
      <c r="B692" s="15"/>
      <c r="C692" s="15"/>
      <c r="D692" s="15"/>
      <c r="E692" s="15"/>
    </row>
    <row r="693" spans="2:5" x14ac:dyDescent="0.2">
      <c r="B693" s="15"/>
      <c r="C693" s="15"/>
      <c r="D693" s="15"/>
      <c r="E693" s="15"/>
    </row>
    <row r="694" spans="2:5" x14ac:dyDescent="0.2">
      <c r="B694" s="15"/>
      <c r="C694" s="15"/>
      <c r="D694" s="15"/>
      <c r="E694" s="15"/>
    </row>
    <row r="695" spans="2:5" x14ac:dyDescent="0.2">
      <c r="B695" s="15"/>
      <c r="C695" s="15"/>
      <c r="D695" s="15"/>
      <c r="E695" s="15"/>
    </row>
    <row r="696" spans="2:5" x14ac:dyDescent="0.2">
      <c r="B696" s="15"/>
      <c r="C696" s="15"/>
      <c r="D696" s="15"/>
      <c r="E696" s="15"/>
    </row>
    <row r="697" spans="2:5" x14ac:dyDescent="0.2">
      <c r="B697" s="15"/>
      <c r="C697" s="15"/>
      <c r="D697" s="15"/>
      <c r="E697" s="15"/>
    </row>
    <row r="698" spans="2:5" x14ac:dyDescent="0.2">
      <c r="B698" s="15"/>
      <c r="C698" s="15"/>
      <c r="D698" s="15"/>
      <c r="E698" s="15"/>
    </row>
    <row r="699" spans="2:5" x14ac:dyDescent="0.2">
      <c r="B699" s="15"/>
      <c r="C699" s="15"/>
      <c r="D699" s="15"/>
      <c r="E699" s="15"/>
    </row>
    <row r="700" spans="2:5" x14ac:dyDescent="0.2">
      <c r="B700" s="15"/>
      <c r="C700" s="15"/>
      <c r="D700" s="15"/>
      <c r="E700" s="15"/>
    </row>
    <row r="701" spans="2:5" x14ac:dyDescent="0.2">
      <c r="B701" s="15"/>
      <c r="C701" s="15"/>
      <c r="D701" s="15"/>
      <c r="E701" s="15"/>
    </row>
    <row r="702" spans="2:5" x14ac:dyDescent="0.2">
      <c r="B702" s="15"/>
      <c r="C702" s="15"/>
      <c r="D702" s="15"/>
      <c r="E702" s="15"/>
    </row>
    <row r="703" spans="2:5" x14ac:dyDescent="0.2">
      <c r="B703" s="15"/>
      <c r="C703" s="15"/>
      <c r="D703" s="15"/>
      <c r="E703" s="15"/>
    </row>
    <row r="704" spans="2:5" x14ac:dyDescent="0.2">
      <c r="B704" s="15"/>
      <c r="C704" s="15"/>
      <c r="D704" s="15"/>
      <c r="E704" s="15"/>
    </row>
    <row r="705" spans="2:5" x14ac:dyDescent="0.2">
      <c r="B705" s="15"/>
      <c r="C705" s="15"/>
      <c r="D705" s="15"/>
      <c r="E705" s="15"/>
    </row>
    <row r="706" spans="2:5" x14ac:dyDescent="0.2">
      <c r="B706" s="15"/>
      <c r="C706" s="15"/>
      <c r="D706" s="15"/>
      <c r="E706" s="15"/>
    </row>
    <row r="707" spans="2:5" x14ac:dyDescent="0.2">
      <c r="B707" s="15"/>
      <c r="C707" s="15"/>
      <c r="D707" s="15"/>
      <c r="E707" s="15"/>
    </row>
    <row r="708" spans="2:5" x14ac:dyDescent="0.2">
      <c r="B708" s="15"/>
      <c r="C708" s="15"/>
      <c r="D708" s="15"/>
      <c r="E708" s="15"/>
    </row>
    <row r="709" spans="2:5" x14ac:dyDescent="0.2">
      <c r="B709" s="15"/>
      <c r="C709" s="15"/>
      <c r="D709" s="15"/>
      <c r="E709" s="15"/>
    </row>
    <row r="710" spans="2:5" x14ac:dyDescent="0.2">
      <c r="B710" s="15"/>
      <c r="C710" s="15"/>
      <c r="D710" s="15"/>
      <c r="E710" s="15"/>
    </row>
    <row r="711" spans="2:5" x14ac:dyDescent="0.2">
      <c r="B711" s="15"/>
      <c r="C711" s="15"/>
      <c r="D711" s="15"/>
      <c r="E711" s="15"/>
    </row>
    <row r="712" spans="2:5" x14ac:dyDescent="0.2">
      <c r="B712" s="15"/>
      <c r="C712" s="15"/>
      <c r="D712" s="15"/>
      <c r="E712" s="15"/>
    </row>
    <row r="713" spans="2:5" x14ac:dyDescent="0.2">
      <c r="B713" s="15"/>
      <c r="C713" s="15"/>
      <c r="D713" s="15"/>
      <c r="E713" s="15"/>
    </row>
    <row r="714" spans="2:5" x14ac:dyDescent="0.2">
      <c r="B714" s="15"/>
      <c r="C714" s="15"/>
      <c r="D714" s="15"/>
      <c r="E714" s="15"/>
    </row>
    <row r="715" spans="2:5" x14ac:dyDescent="0.2">
      <c r="B715" s="15"/>
      <c r="C715" s="15"/>
      <c r="D715" s="15"/>
      <c r="E715" s="15"/>
    </row>
    <row r="716" spans="2:5" x14ac:dyDescent="0.2">
      <c r="B716" s="15"/>
      <c r="C716" s="15"/>
      <c r="D716" s="15"/>
      <c r="E716" s="15"/>
    </row>
    <row r="717" spans="2:5" x14ac:dyDescent="0.2">
      <c r="B717" s="15"/>
      <c r="C717" s="15"/>
      <c r="D717" s="15"/>
      <c r="E717" s="15"/>
    </row>
    <row r="718" spans="2:5" x14ac:dyDescent="0.2">
      <c r="B718" s="15"/>
      <c r="C718" s="15"/>
      <c r="D718" s="15"/>
      <c r="E718" s="15"/>
    </row>
    <row r="719" spans="2:5" x14ac:dyDescent="0.2">
      <c r="B719" s="15"/>
      <c r="C719" s="15"/>
      <c r="D719" s="15"/>
      <c r="E719" s="15"/>
    </row>
    <row r="720" spans="2:5" x14ac:dyDescent="0.2">
      <c r="B720" s="15"/>
      <c r="C720" s="15"/>
      <c r="D720" s="15"/>
      <c r="E720" s="15"/>
    </row>
    <row r="721" spans="2:5" x14ac:dyDescent="0.2">
      <c r="B721" s="15"/>
      <c r="C721" s="15"/>
      <c r="D721" s="15"/>
      <c r="E721" s="15"/>
    </row>
    <row r="722" spans="2:5" x14ac:dyDescent="0.2">
      <c r="B722" s="15"/>
      <c r="C722" s="15"/>
      <c r="D722" s="15"/>
      <c r="E722" s="15"/>
    </row>
    <row r="723" spans="2:5" x14ac:dyDescent="0.2">
      <c r="B723" s="15"/>
      <c r="C723" s="15"/>
      <c r="D723" s="15"/>
      <c r="E723" s="15"/>
    </row>
    <row r="724" spans="2:5" x14ac:dyDescent="0.2">
      <c r="B724" s="15"/>
      <c r="C724" s="15"/>
      <c r="D724" s="15"/>
      <c r="E724" s="15"/>
    </row>
    <row r="725" spans="2:5" x14ac:dyDescent="0.2">
      <c r="B725" s="15"/>
      <c r="C725" s="15"/>
      <c r="D725" s="15"/>
      <c r="E725" s="15"/>
    </row>
    <row r="726" spans="2:5" x14ac:dyDescent="0.2">
      <c r="B726" s="15"/>
      <c r="C726" s="15"/>
      <c r="D726" s="15"/>
      <c r="E726" s="15"/>
    </row>
    <row r="727" spans="2:5" x14ac:dyDescent="0.2">
      <c r="B727" s="15"/>
      <c r="C727" s="15"/>
      <c r="D727" s="15"/>
      <c r="E727" s="15"/>
    </row>
    <row r="728" spans="2:5" x14ac:dyDescent="0.2">
      <c r="B728" s="15"/>
      <c r="C728" s="15"/>
      <c r="D728" s="15"/>
      <c r="E728" s="15"/>
    </row>
    <row r="729" spans="2:5" x14ac:dyDescent="0.2">
      <c r="B729" s="15"/>
      <c r="C729" s="15"/>
      <c r="D729" s="15"/>
      <c r="E729" s="15"/>
    </row>
    <row r="730" spans="2:5" x14ac:dyDescent="0.2">
      <c r="B730" s="15"/>
      <c r="C730" s="15"/>
      <c r="D730" s="15"/>
      <c r="E730" s="15"/>
    </row>
    <row r="731" spans="2:5" x14ac:dyDescent="0.2">
      <c r="B731" s="15"/>
      <c r="C731" s="15"/>
      <c r="D731" s="15"/>
      <c r="E731" s="15"/>
    </row>
    <row r="732" spans="2:5" x14ac:dyDescent="0.2">
      <c r="B732" s="15"/>
      <c r="C732" s="15"/>
      <c r="D732" s="15"/>
      <c r="E732" s="15"/>
    </row>
    <row r="733" spans="2:5" x14ac:dyDescent="0.2">
      <c r="B733" s="15"/>
      <c r="C733" s="15"/>
      <c r="D733" s="15"/>
      <c r="E733" s="15"/>
    </row>
    <row r="734" spans="2:5" x14ac:dyDescent="0.2">
      <c r="B734" s="15"/>
      <c r="C734" s="15"/>
      <c r="D734" s="15"/>
      <c r="E734" s="15"/>
    </row>
    <row r="735" spans="2:5" x14ac:dyDescent="0.2">
      <c r="B735" s="15"/>
      <c r="C735" s="15"/>
      <c r="D735" s="15"/>
      <c r="E735" s="15"/>
    </row>
    <row r="736" spans="2:5" x14ac:dyDescent="0.2">
      <c r="B736" s="15"/>
      <c r="C736" s="15"/>
      <c r="D736" s="15"/>
      <c r="E736" s="15"/>
    </row>
    <row r="737" spans="2:5" x14ac:dyDescent="0.2">
      <c r="B737" s="15"/>
      <c r="C737" s="15"/>
      <c r="D737" s="15"/>
      <c r="E737" s="15"/>
    </row>
    <row r="738" spans="2:5" x14ac:dyDescent="0.2">
      <c r="B738" s="15"/>
      <c r="C738" s="15"/>
      <c r="D738" s="15"/>
      <c r="E738" s="15"/>
    </row>
    <row r="739" spans="2:5" x14ac:dyDescent="0.2">
      <c r="B739" s="15"/>
      <c r="C739" s="15"/>
      <c r="D739" s="15"/>
      <c r="E739" s="15"/>
    </row>
    <row r="740" spans="2:5" x14ac:dyDescent="0.2">
      <c r="B740" s="15"/>
      <c r="C740" s="15"/>
      <c r="D740" s="15"/>
      <c r="E740" s="15"/>
    </row>
    <row r="741" spans="2:5" x14ac:dyDescent="0.2">
      <c r="B741" s="15"/>
      <c r="C741" s="15"/>
      <c r="D741" s="15"/>
      <c r="E741" s="15"/>
    </row>
    <row r="742" spans="2:5" x14ac:dyDescent="0.2">
      <c r="B742" s="15"/>
      <c r="C742" s="15"/>
      <c r="D742" s="15"/>
      <c r="E742" s="15"/>
    </row>
    <row r="743" spans="2:5" x14ac:dyDescent="0.2">
      <c r="B743" s="15"/>
      <c r="C743" s="15"/>
      <c r="D743" s="15"/>
      <c r="E743" s="15"/>
    </row>
    <row r="744" spans="2:5" x14ac:dyDescent="0.2">
      <c r="B744" s="15"/>
      <c r="C744" s="15"/>
      <c r="D744" s="15"/>
      <c r="E744" s="15"/>
    </row>
    <row r="745" spans="2:5" x14ac:dyDescent="0.2">
      <c r="B745" s="15"/>
      <c r="C745" s="15"/>
      <c r="D745" s="15"/>
      <c r="E745" s="15"/>
    </row>
    <row r="746" spans="2:5" x14ac:dyDescent="0.2">
      <c r="B746" s="15"/>
      <c r="C746" s="15"/>
      <c r="D746" s="15"/>
      <c r="E746" s="15"/>
    </row>
    <row r="747" spans="2:5" x14ac:dyDescent="0.2">
      <c r="B747" s="15"/>
      <c r="C747" s="15"/>
      <c r="D747" s="15"/>
      <c r="E747" s="15"/>
    </row>
    <row r="748" spans="2:5" x14ac:dyDescent="0.2">
      <c r="B748" s="15"/>
      <c r="C748" s="15"/>
      <c r="D748" s="15"/>
      <c r="E748" s="15"/>
    </row>
    <row r="749" spans="2:5" x14ac:dyDescent="0.2">
      <c r="B749" s="15"/>
      <c r="C749" s="15"/>
      <c r="D749" s="15"/>
      <c r="E749" s="15"/>
    </row>
    <row r="750" spans="2:5" x14ac:dyDescent="0.2">
      <c r="B750" s="15"/>
      <c r="C750" s="15"/>
      <c r="D750" s="15"/>
      <c r="E750" s="15"/>
    </row>
    <row r="751" spans="2:5" x14ac:dyDescent="0.2">
      <c r="B751" s="15"/>
      <c r="C751" s="15"/>
      <c r="D751" s="15"/>
      <c r="E751" s="15"/>
    </row>
    <row r="752" spans="2:5" x14ac:dyDescent="0.2">
      <c r="B752" s="15"/>
      <c r="C752" s="15"/>
      <c r="D752" s="15"/>
      <c r="E752" s="15"/>
    </row>
    <row r="753" spans="2:5" x14ac:dyDescent="0.2">
      <c r="B753" s="15"/>
      <c r="C753" s="15"/>
      <c r="D753" s="15"/>
      <c r="E753" s="15"/>
    </row>
    <row r="754" spans="2:5" x14ac:dyDescent="0.2">
      <c r="B754" s="15"/>
      <c r="C754" s="15"/>
      <c r="D754" s="15"/>
      <c r="E754" s="15"/>
    </row>
    <row r="755" spans="2:5" x14ac:dyDescent="0.2">
      <c r="B755" s="15"/>
      <c r="C755" s="15"/>
      <c r="D755" s="15"/>
      <c r="E755" s="15"/>
    </row>
    <row r="756" spans="2:5" x14ac:dyDescent="0.2">
      <c r="B756" s="15"/>
      <c r="C756" s="15"/>
      <c r="D756" s="15"/>
      <c r="E756" s="15"/>
    </row>
    <row r="757" spans="2:5" x14ac:dyDescent="0.2">
      <c r="B757" s="15"/>
      <c r="C757" s="15"/>
      <c r="D757" s="15"/>
      <c r="E757" s="15"/>
    </row>
    <row r="758" spans="2:5" x14ac:dyDescent="0.2">
      <c r="B758" s="15"/>
      <c r="C758" s="15"/>
      <c r="D758" s="15"/>
      <c r="E758" s="15"/>
    </row>
    <row r="759" spans="2:5" x14ac:dyDescent="0.2">
      <c r="B759" s="15"/>
      <c r="C759" s="15"/>
      <c r="D759" s="15"/>
      <c r="E759" s="15"/>
    </row>
    <row r="760" spans="2:5" x14ac:dyDescent="0.2">
      <c r="B760" s="15"/>
      <c r="C760" s="15"/>
      <c r="D760" s="15"/>
      <c r="E760" s="15"/>
    </row>
    <row r="761" spans="2:5" x14ac:dyDescent="0.2">
      <c r="B761" s="15"/>
      <c r="C761" s="15"/>
      <c r="D761" s="15"/>
      <c r="E761" s="15"/>
    </row>
    <row r="762" spans="2:5" x14ac:dyDescent="0.2">
      <c r="B762" s="15"/>
      <c r="C762" s="15"/>
      <c r="D762" s="15"/>
      <c r="E762" s="15"/>
    </row>
    <row r="763" spans="2:5" x14ac:dyDescent="0.2">
      <c r="B763" s="15"/>
      <c r="C763" s="15"/>
      <c r="D763" s="15"/>
      <c r="E763" s="15"/>
    </row>
    <row r="764" spans="2:5" x14ac:dyDescent="0.2">
      <c r="B764" s="15"/>
      <c r="C764" s="15"/>
      <c r="D764" s="15"/>
      <c r="E764" s="15"/>
    </row>
    <row r="765" spans="2:5" x14ac:dyDescent="0.2">
      <c r="B765" s="15"/>
      <c r="C765" s="15"/>
      <c r="D765" s="15"/>
      <c r="E765" s="15"/>
    </row>
    <row r="766" spans="2:5" x14ac:dyDescent="0.2">
      <c r="B766" s="15"/>
      <c r="C766" s="15"/>
      <c r="D766" s="15"/>
      <c r="E766" s="15"/>
    </row>
    <row r="767" spans="2:5" x14ac:dyDescent="0.2">
      <c r="B767" s="15"/>
      <c r="C767" s="15"/>
      <c r="D767" s="15"/>
      <c r="E767" s="15"/>
    </row>
    <row r="768" spans="2:5" x14ac:dyDescent="0.2">
      <c r="B768" s="15"/>
      <c r="C768" s="15"/>
      <c r="D768" s="15"/>
      <c r="E768" s="15"/>
    </row>
    <row r="769" spans="2:5" x14ac:dyDescent="0.2">
      <c r="B769" s="15"/>
      <c r="C769" s="15"/>
      <c r="D769" s="15"/>
      <c r="E769" s="15"/>
    </row>
    <row r="770" spans="2:5" x14ac:dyDescent="0.2">
      <c r="B770" s="15"/>
      <c r="C770" s="15"/>
      <c r="D770" s="15"/>
      <c r="E770" s="15"/>
    </row>
    <row r="771" spans="2:5" x14ac:dyDescent="0.2">
      <c r="B771" s="15"/>
      <c r="C771" s="15"/>
      <c r="D771" s="15"/>
      <c r="E771" s="15"/>
    </row>
    <row r="772" spans="2:5" x14ac:dyDescent="0.2">
      <c r="B772" s="15"/>
      <c r="C772" s="15"/>
      <c r="D772" s="15"/>
      <c r="E772" s="15"/>
    </row>
    <row r="773" spans="2:5" x14ac:dyDescent="0.2">
      <c r="B773" s="15"/>
      <c r="C773" s="15"/>
      <c r="D773" s="15"/>
      <c r="E773" s="15"/>
    </row>
    <row r="774" spans="2:5" x14ac:dyDescent="0.2">
      <c r="B774" s="15"/>
      <c r="C774" s="15"/>
      <c r="D774" s="15"/>
      <c r="E774" s="15"/>
    </row>
    <row r="775" spans="2:5" x14ac:dyDescent="0.2">
      <c r="B775" s="15"/>
      <c r="C775" s="15"/>
      <c r="D775" s="15"/>
      <c r="E775" s="15"/>
    </row>
    <row r="776" spans="2:5" x14ac:dyDescent="0.2">
      <c r="B776" s="15"/>
      <c r="C776" s="15"/>
      <c r="D776" s="15"/>
      <c r="E776" s="15"/>
    </row>
    <row r="777" spans="2:5" x14ac:dyDescent="0.2">
      <c r="B777" s="15"/>
      <c r="C777" s="15"/>
      <c r="D777" s="15"/>
      <c r="E777" s="15"/>
    </row>
    <row r="778" spans="2:5" x14ac:dyDescent="0.2">
      <c r="B778" s="15"/>
      <c r="C778" s="15"/>
      <c r="D778" s="15"/>
      <c r="E778" s="15"/>
    </row>
    <row r="779" spans="2:5" x14ac:dyDescent="0.2">
      <c r="B779" s="15"/>
      <c r="C779" s="15"/>
      <c r="D779" s="15"/>
      <c r="E779" s="15"/>
    </row>
    <row r="780" spans="2:5" x14ac:dyDescent="0.2">
      <c r="B780" s="15"/>
      <c r="C780" s="15"/>
      <c r="D780" s="15"/>
      <c r="E780" s="15"/>
    </row>
    <row r="781" spans="2:5" x14ac:dyDescent="0.2">
      <c r="B781" s="15"/>
      <c r="C781" s="15"/>
      <c r="D781" s="15"/>
      <c r="E781" s="15"/>
    </row>
    <row r="782" spans="2:5" x14ac:dyDescent="0.2">
      <c r="B782" s="15"/>
      <c r="C782" s="15"/>
      <c r="D782" s="15"/>
      <c r="E782" s="15"/>
    </row>
    <row r="783" spans="2:5" x14ac:dyDescent="0.2">
      <c r="B783" s="15"/>
      <c r="C783" s="15"/>
      <c r="D783" s="15"/>
      <c r="E783" s="15"/>
    </row>
    <row r="784" spans="2:5" x14ac:dyDescent="0.2">
      <c r="B784" s="15"/>
      <c r="C784" s="15"/>
      <c r="D784" s="15"/>
      <c r="E784" s="15"/>
    </row>
    <row r="785" spans="2:5" x14ac:dyDescent="0.2">
      <c r="B785" s="15"/>
      <c r="C785" s="15"/>
      <c r="D785" s="15"/>
      <c r="E785" s="15"/>
    </row>
    <row r="786" spans="2:5" x14ac:dyDescent="0.2">
      <c r="B786" s="15"/>
      <c r="C786" s="15"/>
      <c r="D786" s="15"/>
      <c r="E786" s="15"/>
    </row>
    <row r="787" spans="2:5" x14ac:dyDescent="0.2">
      <c r="B787" s="15"/>
      <c r="C787" s="15"/>
      <c r="D787" s="15"/>
      <c r="E787" s="15"/>
    </row>
    <row r="788" spans="2:5" x14ac:dyDescent="0.2">
      <c r="B788" s="15"/>
      <c r="C788" s="15"/>
      <c r="D788" s="15"/>
      <c r="E788" s="15"/>
    </row>
    <row r="789" spans="2:5" x14ac:dyDescent="0.2">
      <c r="B789" s="15"/>
      <c r="C789" s="15"/>
      <c r="D789" s="15"/>
      <c r="E789" s="15"/>
    </row>
    <row r="790" spans="2:5" x14ac:dyDescent="0.2">
      <c r="B790" s="15"/>
      <c r="C790" s="15"/>
      <c r="D790" s="15"/>
      <c r="E790" s="15"/>
    </row>
    <row r="791" spans="2:5" x14ac:dyDescent="0.2">
      <c r="B791" s="15"/>
      <c r="C791" s="15"/>
      <c r="D791" s="15"/>
      <c r="E791" s="15"/>
    </row>
    <row r="792" spans="2:5" x14ac:dyDescent="0.2">
      <c r="B792" s="15"/>
      <c r="C792" s="15"/>
      <c r="D792" s="15"/>
      <c r="E792" s="15"/>
    </row>
    <row r="793" spans="2:5" x14ac:dyDescent="0.2">
      <c r="B793" s="15"/>
      <c r="C793" s="15"/>
      <c r="D793" s="15"/>
      <c r="E793" s="15"/>
    </row>
    <row r="794" spans="2:5" x14ac:dyDescent="0.2">
      <c r="B794" s="15"/>
      <c r="C794" s="15"/>
      <c r="D794" s="15"/>
      <c r="E794" s="15"/>
    </row>
    <row r="795" spans="2:5" x14ac:dyDescent="0.2">
      <c r="B795" s="15"/>
      <c r="C795" s="15"/>
      <c r="D795" s="15"/>
      <c r="E795" s="15"/>
    </row>
    <row r="796" spans="2:5" x14ac:dyDescent="0.2">
      <c r="B796" s="15"/>
      <c r="C796" s="15"/>
      <c r="D796" s="15"/>
      <c r="E796" s="15"/>
    </row>
    <row r="797" spans="2:5" x14ac:dyDescent="0.2">
      <c r="B797" s="15"/>
      <c r="C797" s="15"/>
      <c r="D797" s="15"/>
      <c r="E797" s="15"/>
    </row>
    <row r="798" spans="2:5" x14ac:dyDescent="0.2">
      <c r="B798" s="15"/>
      <c r="C798" s="15"/>
      <c r="D798" s="15"/>
      <c r="E798" s="15"/>
    </row>
    <row r="799" spans="2:5" x14ac:dyDescent="0.2">
      <c r="B799" s="15"/>
      <c r="C799" s="15"/>
      <c r="D799" s="15"/>
      <c r="E799" s="15"/>
    </row>
    <row r="800" spans="2:5" x14ac:dyDescent="0.2">
      <c r="B800" s="15"/>
      <c r="C800" s="15"/>
      <c r="D800" s="15"/>
      <c r="E800" s="15"/>
    </row>
    <row r="801" spans="2:5" x14ac:dyDescent="0.2">
      <c r="B801" s="15"/>
      <c r="C801" s="15"/>
      <c r="D801" s="15"/>
      <c r="E801" s="15"/>
    </row>
    <row r="802" spans="2:5" x14ac:dyDescent="0.2">
      <c r="B802" s="15"/>
      <c r="C802" s="15"/>
      <c r="D802" s="15"/>
      <c r="E802" s="15"/>
    </row>
    <row r="803" spans="2:5" x14ac:dyDescent="0.2">
      <c r="B803" s="15"/>
      <c r="C803" s="15"/>
      <c r="D803" s="15"/>
      <c r="E803" s="15"/>
    </row>
    <row r="804" spans="2:5" x14ac:dyDescent="0.2">
      <c r="B804" s="15"/>
      <c r="C804" s="15"/>
      <c r="D804" s="15"/>
      <c r="E804" s="15"/>
    </row>
    <row r="805" spans="2:5" x14ac:dyDescent="0.2">
      <c r="B805" s="15"/>
      <c r="C805" s="15"/>
      <c r="D805" s="15"/>
      <c r="E805" s="15"/>
    </row>
    <row r="806" spans="2:5" x14ac:dyDescent="0.2">
      <c r="B806" s="15"/>
      <c r="C806" s="15"/>
      <c r="D806" s="15"/>
      <c r="E806" s="15"/>
    </row>
    <row r="807" spans="2:5" x14ac:dyDescent="0.2">
      <c r="B807" s="15"/>
      <c r="C807" s="15"/>
      <c r="D807" s="15"/>
      <c r="E807" s="15"/>
    </row>
    <row r="808" spans="2:5" x14ac:dyDescent="0.2">
      <c r="B808" s="15"/>
      <c r="C808" s="15"/>
      <c r="D808" s="15"/>
      <c r="E808" s="15"/>
    </row>
    <row r="809" spans="2:5" x14ac:dyDescent="0.2">
      <c r="B809" s="15"/>
      <c r="C809" s="15"/>
      <c r="D809" s="15"/>
      <c r="E809" s="15"/>
    </row>
    <row r="810" spans="2:5" x14ac:dyDescent="0.2">
      <c r="B810" s="15"/>
      <c r="C810" s="15"/>
      <c r="D810" s="15"/>
      <c r="E810" s="15"/>
    </row>
    <row r="811" spans="2:5" x14ac:dyDescent="0.2">
      <c r="B811" s="15"/>
      <c r="C811" s="15"/>
      <c r="D811" s="15"/>
      <c r="E811" s="15"/>
    </row>
    <row r="812" spans="2:5" x14ac:dyDescent="0.2">
      <c r="B812" s="15"/>
      <c r="C812" s="15"/>
      <c r="D812" s="15"/>
      <c r="E812" s="15"/>
    </row>
    <row r="813" spans="2:5" x14ac:dyDescent="0.2">
      <c r="B813" s="15"/>
      <c r="C813" s="15"/>
      <c r="D813" s="15"/>
      <c r="E813" s="15"/>
    </row>
    <row r="814" spans="2:5" x14ac:dyDescent="0.2">
      <c r="B814" s="15"/>
      <c r="C814" s="15"/>
      <c r="D814" s="15"/>
      <c r="E814" s="15"/>
    </row>
    <row r="815" spans="2:5" x14ac:dyDescent="0.2">
      <c r="B815" s="15"/>
      <c r="C815" s="15"/>
      <c r="D815" s="15"/>
      <c r="E815" s="15"/>
    </row>
    <row r="816" spans="2:5" x14ac:dyDescent="0.2">
      <c r="B816" s="15"/>
      <c r="C816" s="15"/>
      <c r="D816" s="15"/>
      <c r="E816" s="15"/>
    </row>
    <row r="817" spans="2:5" x14ac:dyDescent="0.2">
      <c r="B817" s="15"/>
      <c r="C817" s="15"/>
      <c r="D817" s="15"/>
      <c r="E817" s="15"/>
    </row>
    <row r="818" spans="2:5" x14ac:dyDescent="0.2">
      <c r="B818" s="15"/>
      <c r="C818" s="15"/>
      <c r="D818" s="15"/>
      <c r="E818" s="15"/>
    </row>
    <row r="819" spans="2:5" x14ac:dyDescent="0.2">
      <c r="B819" s="15"/>
      <c r="C819" s="15"/>
      <c r="D819" s="15"/>
      <c r="E819" s="15"/>
    </row>
    <row r="820" spans="2:5" x14ac:dyDescent="0.2">
      <c r="B820" s="15"/>
      <c r="C820" s="15"/>
      <c r="D820" s="15"/>
      <c r="E820" s="15"/>
    </row>
    <row r="821" spans="2:5" x14ac:dyDescent="0.2">
      <c r="B821" s="15"/>
      <c r="C821" s="15"/>
      <c r="D821" s="15"/>
      <c r="E821" s="15"/>
    </row>
    <row r="822" spans="2:5" x14ac:dyDescent="0.2">
      <c r="B822" s="15"/>
      <c r="C822" s="15"/>
      <c r="D822" s="15"/>
      <c r="E822" s="15"/>
    </row>
    <row r="823" spans="2:5" x14ac:dyDescent="0.2">
      <c r="B823" s="15"/>
      <c r="C823" s="15"/>
      <c r="D823" s="15"/>
      <c r="E823" s="15"/>
    </row>
    <row r="824" spans="2:5" x14ac:dyDescent="0.2">
      <c r="B824" s="15"/>
      <c r="C824" s="15"/>
      <c r="D824" s="15"/>
      <c r="E824" s="15"/>
    </row>
    <row r="825" spans="2:5" x14ac:dyDescent="0.2">
      <c r="B825" s="15"/>
      <c r="C825" s="15"/>
      <c r="D825" s="15"/>
      <c r="E825" s="15"/>
    </row>
    <row r="826" spans="2:5" x14ac:dyDescent="0.2">
      <c r="B826" s="15"/>
      <c r="C826" s="15"/>
      <c r="D826" s="15"/>
      <c r="E826" s="15"/>
    </row>
    <row r="827" spans="2:5" x14ac:dyDescent="0.2">
      <c r="B827" s="15"/>
      <c r="C827" s="15"/>
      <c r="D827" s="15"/>
      <c r="E827" s="15"/>
    </row>
    <row r="828" spans="2:5" x14ac:dyDescent="0.2">
      <c r="B828" s="15"/>
      <c r="C828" s="15"/>
      <c r="D828" s="15"/>
      <c r="E828" s="15"/>
    </row>
    <row r="829" spans="2:5" x14ac:dyDescent="0.2">
      <c r="B829" s="15"/>
      <c r="C829" s="15"/>
      <c r="D829" s="15"/>
      <c r="E829" s="15"/>
    </row>
    <row r="830" spans="2:5" x14ac:dyDescent="0.2">
      <c r="B830" s="15"/>
      <c r="C830" s="15"/>
      <c r="D830" s="15"/>
      <c r="E830" s="15"/>
    </row>
    <row r="831" spans="2:5" x14ac:dyDescent="0.2">
      <c r="B831" s="15"/>
      <c r="C831" s="15"/>
      <c r="D831" s="15"/>
      <c r="E831" s="15"/>
    </row>
    <row r="832" spans="2:5" x14ac:dyDescent="0.2">
      <c r="B832" s="15"/>
      <c r="C832" s="15"/>
      <c r="D832" s="15"/>
      <c r="E832" s="15"/>
    </row>
    <row r="833" spans="2:5" x14ac:dyDescent="0.2">
      <c r="B833" s="15"/>
      <c r="C833" s="15"/>
      <c r="D833" s="15"/>
      <c r="E833" s="15"/>
    </row>
    <row r="834" spans="2:5" x14ac:dyDescent="0.2">
      <c r="B834" s="15"/>
      <c r="C834" s="15"/>
      <c r="D834" s="15"/>
      <c r="E834" s="15"/>
    </row>
    <row r="835" spans="2:5" x14ac:dyDescent="0.2">
      <c r="B835" s="15"/>
      <c r="C835" s="15"/>
      <c r="D835" s="15"/>
      <c r="E835" s="15"/>
    </row>
    <row r="836" spans="2:5" x14ac:dyDescent="0.2">
      <c r="B836" s="15"/>
      <c r="C836" s="15"/>
      <c r="D836" s="15"/>
      <c r="E836" s="15"/>
    </row>
    <row r="837" spans="2:5" x14ac:dyDescent="0.2">
      <c r="B837" s="15"/>
      <c r="C837" s="15"/>
      <c r="D837" s="15"/>
      <c r="E837" s="15"/>
    </row>
    <row r="838" spans="2:5" x14ac:dyDescent="0.2">
      <c r="B838" s="15"/>
      <c r="C838" s="15"/>
      <c r="D838" s="15"/>
      <c r="E838" s="15"/>
    </row>
    <row r="839" spans="2:5" x14ac:dyDescent="0.2">
      <c r="B839" s="15"/>
      <c r="C839" s="15"/>
      <c r="D839" s="15"/>
      <c r="E839" s="15"/>
    </row>
    <row r="840" spans="2:5" x14ac:dyDescent="0.2">
      <c r="B840" s="15"/>
      <c r="C840" s="15"/>
      <c r="D840" s="15"/>
      <c r="E840" s="15"/>
    </row>
    <row r="841" spans="2:5" x14ac:dyDescent="0.2">
      <c r="B841" s="15"/>
      <c r="C841" s="15"/>
      <c r="D841" s="15"/>
      <c r="E841" s="15"/>
    </row>
    <row r="842" spans="2:5" x14ac:dyDescent="0.2">
      <c r="B842" s="15"/>
      <c r="C842" s="15"/>
      <c r="D842" s="15"/>
      <c r="E842" s="15"/>
    </row>
    <row r="843" spans="2:5" x14ac:dyDescent="0.2">
      <c r="B843" s="15"/>
      <c r="C843" s="15"/>
      <c r="D843" s="15"/>
      <c r="E843" s="15"/>
    </row>
    <row r="844" spans="2:5" x14ac:dyDescent="0.2">
      <c r="B844" s="15"/>
      <c r="C844" s="15"/>
      <c r="D844" s="15"/>
      <c r="E844" s="15"/>
    </row>
    <row r="845" spans="2:5" x14ac:dyDescent="0.2">
      <c r="B845" s="15"/>
      <c r="C845" s="15"/>
      <c r="D845" s="15"/>
      <c r="E845" s="15"/>
    </row>
    <row r="846" spans="2:5" x14ac:dyDescent="0.2">
      <c r="B846" s="15"/>
      <c r="C846" s="15"/>
      <c r="D846" s="15"/>
      <c r="E846" s="15"/>
    </row>
    <row r="847" spans="2:5" x14ac:dyDescent="0.2">
      <c r="B847" s="15"/>
      <c r="C847" s="15"/>
      <c r="D847" s="15"/>
      <c r="E847" s="15"/>
    </row>
    <row r="848" spans="2:5" x14ac:dyDescent="0.2">
      <c r="B848" s="15"/>
      <c r="C848" s="15"/>
      <c r="D848" s="15"/>
      <c r="E848" s="15"/>
    </row>
    <row r="849" spans="2:5" x14ac:dyDescent="0.2">
      <c r="B849" s="15"/>
      <c r="C849" s="15"/>
      <c r="D849" s="15"/>
      <c r="E849" s="15"/>
    </row>
    <row r="850" spans="2:5" x14ac:dyDescent="0.2">
      <c r="B850" s="15"/>
      <c r="C850" s="15"/>
      <c r="D850" s="15"/>
      <c r="E850" s="15"/>
    </row>
    <row r="851" spans="2:5" x14ac:dyDescent="0.2">
      <c r="B851" s="15"/>
      <c r="C851" s="15"/>
      <c r="D851" s="15"/>
      <c r="E851" s="15"/>
    </row>
    <row r="852" spans="2:5" x14ac:dyDescent="0.2">
      <c r="B852" s="15"/>
      <c r="C852" s="15"/>
      <c r="D852" s="15"/>
      <c r="E852" s="15"/>
    </row>
    <row r="853" spans="2:5" x14ac:dyDescent="0.2">
      <c r="B853" s="15"/>
      <c r="C853" s="15"/>
      <c r="D853" s="15"/>
      <c r="E853" s="15"/>
    </row>
    <row r="854" spans="2:5" x14ac:dyDescent="0.2">
      <c r="B854" s="15"/>
      <c r="C854" s="15"/>
      <c r="D854" s="15"/>
      <c r="E854" s="15"/>
    </row>
    <row r="855" spans="2:5" x14ac:dyDescent="0.2">
      <c r="B855" s="15"/>
      <c r="C855" s="15"/>
      <c r="D855" s="15"/>
      <c r="E855" s="15"/>
    </row>
    <row r="856" spans="2:5" x14ac:dyDescent="0.2">
      <c r="B856" s="15"/>
      <c r="C856" s="15"/>
      <c r="D856" s="15"/>
      <c r="E856" s="15"/>
    </row>
    <row r="857" spans="2:5" x14ac:dyDescent="0.2">
      <c r="B857" s="15"/>
      <c r="C857" s="15"/>
      <c r="D857" s="15"/>
      <c r="E857" s="15"/>
    </row>
    <row r="858" spans="2:5" x14ac:dyDescent="0.2">
      <c r="B858" s="15"/>
      <c r="C858" s="15"/>
      <c r="D858" s="15"/>
      <c r="E858" s="15"/>
    </row>
    <row r="859" spans="2:5" x14ac:dyDescent="0.2">
      <c r="B859" s="15"/>
      <c r="C859" s="15"/>
      <c r="D859" s="15"/>
      <c r="E859" s="15"/>
    </row>
    <row r="860" spans="2:5" x14ac:dyDescent="0.2">
      <c r="B860" s="15"/>
      <c r="C860" s="15"/>
      <c r="D860" s="15"/>
      <c r="E860" s="15"/>
    </row>
    <row r="861" spans="2:5" x14ac:dyDescent="0.2">
      <c r="B861" s="15"/>
      <c r="C861" s="15"/>
      <c r="D861" s="15"/>
      <c r="E861" s="15"/>
    </row>
    <row r="862" spans="2:5" x14ac:dyDescent="0.2">
      <c r="B862" s="15"/>
      <c r="C862" s="15"/>
      <c r="D862" s="15"/>
      <c r="E862" s="15"/>
    </row>
    <row r="863" spans="2:5" x14ac:dyDescent="0.2">
      <c r="B863" s="15"/>
      <c r="C863" s="15"/>
      <c r="D863" s="15"/>
      <c r="E863" s="15"/>
    </row>
    <row r="864" spans="2:5" x14ac:dyDescent="0.2">
      <c r="B864" s="15"/>
      <c r="C864" s="15"/>
      <c r="D864" s="15"/>
      <c r="E864" s="15"/>
    </row>
    <row r="865" spans="2:5" x14ac:dyDescent="0.2">
      <c r="B865" s="15"/>
      <c r="C865" s="15"/>
      <c r="D865" s="15"/>
      <c r="E865" s="15"/>
    </row>
    <row r="866" spans="2:5" x14ac:dyDescent="0.2">
      <c r="B866" s="15"/>
      <c r="C866" s="15"/>
      <c r="D866" s="15"/>
      <c r="E866" s="15"/>
    </row>
    <row r="867" spans="2:5" x14ac:dyDescent="0.2">
      <c r="B867" s="15"/>
      <c r="C867" s="15"/>
      <c r="D867" s="15"/>
      <c r="E867" s="15"/>
    </row>
    <row r="868" spans="2:5" x14ac:dyDescent="0.2">
      <c r="B868" s="15"/>
      <c r="C868" s="15"/>
      <c r="D868" s="15"/>
      <c r="E868" s="15"/>
    </row>
    <row r="869" spans="2:5" x14ac:dyDescent="0.2">
      <c r="B869" s="15"/>
      <c r="C869" s="15"/>
      <c r="D869" s="15"/>
      <c r="E869" s="15"/>
    </row>
    <row r="870" spans="2:5" x14ac:dyDescent="0.2">
      <c r="B870" s="15"/>
      <c r="C870" s="15"/>
      <c r="D870" s="15"/>
      <c r="E870" s="15"/>
    </row>
    <row r="871" spans="2:5" x14ac:dyDescent="0.2">
      <c r="B871" s="15"/>
      <c r="C871" s="15"/>
      <c r="D871" s="15"/>
      <c r="E871" s="15"/>
    </row>
    <row r="872" spans="2:5" x14ac:dyDescent="0.2">
      <c r="B872" s="15"/>
      <c r="C872" s="15"/>
      <c r="D872" s="15"/>
      <c r="E872" s="15"/>
    </row>
    <row r="873" spans="2:5" x14ac:dyDescent="0.2">
      <c r="B873" s="15"/>
      <c r="C873" s="15"/>
      <c r="D873" s="15"/>
      <c r="E873" s="15"/>
    </row>
    <row r="874" spans="2:5" x14ac:dyDescent="0.2">
      <c r="B874" s="15"/>
      <c r="C874" s="15"/>
      <c r="D874" s="15"/>
      <c r="E874" s="15"/>
    </row>
    <row r="875" spans="2:5" x14ac:dyDescent="0.2">
      <c r="B875" s="15"/>
      <c r="C875" s="15"/>
      <c r="D875" s="15"/>
      <c r="E875" s="15"/>
    </row>
    <row r="876" spans="2:5" x14ac:dyDescent="0.2">
      <c r="B876" s="15"/>
      <c r="C876" s="15"/>
      <c r="D876" s="15"/>
      <c r="E876" s="15"/>
    </row>
    <row r="877" spans="2:5" x14ac:dyDescent="0.2">
      <c r="B877" s="15"/>
      <c r="C877" s="15"/>
      <c r="D877" s="15"/>
      <c r="E877" s="15"/>
    </row>
    <row r="878" spans="2:5" x14ac:dyDescent="0.2">
      <c r="B878" s="15"/>
      <c r="C878" s="15"/>
      <c r="D878" s="15"/>
      <c r="E878" s="15"/>
    </row>
    <row r="879" spans="2:5" x14ac:dyDescent="0.2">
      <c r="B879" s="15"/>
      <c r="C879" s="15"/>
      <c r="D879" s="15"/>
      <c r="E879" s="15"/>
    </row>
    <row r="880" spans="2:5" x14ac:dyDescent="0.2">
      <c r="B880" s="15"/>
      <c r="C880" s="15"/>
      <c r="D880" s="15"/>
      <c r="E880" s="15"/>
    </row>
    <row r="881" spans="2:5" x14ac:dyDescent="0.2">
      <c r="B881" s="15"/>
      <c r="C881" s="15"/>
      <c r="D881" s="15"/>
      <c r="E881" s="15"/>
    </row>
    <row r="882" spans="2:5" x14ac:dyDescent="0.2">
      <c r="B882" s="15"/>
      <c r="C882" s="15"/>
      <c r="D882" s="15"/>
      <c r="E882" s="15"/>
    </row>
    <row r="883" spans="2:5" x14ac:dyDescent="0.2">
      <c r="B883" s="15"/>
      <c r="C883" s="15"/>
      <c r="D883" s="15"/>
      <c r="E883" s="15"/>
    </row>
    <row r="884" spans="2:5" x14ac:dyDescent="0.2">
      <c r="B884" s="15"/>
      <c r="C884" s="15"/>
      <c r="D884" s="15"/>
      <c r="E884" s="15"/>
    </row>
    <row r="885" spans="2:5" x14ac:dyDescent="0.2">
      <c r="B885" s="15"/>
      <c r="C885" s="15"/>
      <c r="D885" s="15"/>
      <c r="E885" s="15"/>
    </row>
    <row r="886" spans="2:5" x14ac:dyDescent="0.2">
      <c r="B886" s="15"/>
      <c r="C886" s="15"/>
      <c r="D886" s="15"/>
      <c r="E886" s="15"/>
    </row>
    <row r="887" spans="2:5" x14ac:dyDescent="0.2">
      <c r="B887" s="15"/>
      <c r="C887" s="15"/>
      <c r="D887" s="15"/>
      <c r="E887" s="15"/>
    </row>
    <row r="888" spans="2:5" x14ac:dyDescent="0.2">
      <c r="B888" s="15"/>
      <c r="C888" s="15"/>
      <c r="D888" s="15"/>
      <c r="E888" s="15"/>
    </row>
    <row r="889" spans="2:5" x14ac:dyDescent="0.2">
      <c r="B889" s="15"/>
      <c r="C889" s="15"/>
      <c r="D889" s="15"/>
      <c r="E889" s="15"/>
    </row>
    <row r="890" spans="2:5" x14ac:dyDescent="0.2">
      <c r="B890" s="15"/>
      <c r="C890" s="15"/>
      <c r="D890" s="15"/>
      <c r="E890" s="15"/>
    </row>
    <row r="891" spans="2:5" x14ac:dyDescent="0.2">
      <c r="B891" s="15"/>
      <c r="C891" s="15"/>
      <c r="D891" s="15"/>
      <c r="E891" s="15"/>
    </row>
    <row r="892" spans="2:5" x14ac:dyDescent="0.2">
      <c r="B892" s="15"/>
      <c r="C892" s="15"/>
      <c r="D892" s="15"/>
      <c r="E892" s="15"/>
    </row>
    <row r="893" spans="2:5" x14ac:dyDescent="0.2">
      <c r="B893" s="15"/>
      <c r="C893" s="15"/>
      <c r="D893" s="15"/>
      <c r="E893" s="15"/>
    </row>
    <row r="894" spans="2:5" x14ac:dyDescent="0.2">
      <c r="B894" s="15"/>
      <c r="C894" s="15"/>
      <c r="D894" s="15"/>
      <c r="E894" s="15"/>
    </row>
    <row r="895" spans="2:5" x14ac:dyDescent="0.2">
      <c r="B895" s="15"/>
      <c r="C895" s="15"/>
      <c r="D895" s="15"/>
      <c r="E895" s="15"/>
    </row>
    <row r="896" spans="2:5" x14ac:dyDescent="0.2">
      <c r="B896" s="15"/>
      <c r="C896" s="15"/>
      <c r="D896" s="15"/>
      <c r="E896" s="15"/>
    </row>
    <row r="897" spans="2:5" x14ac:dyDescent="0.2">
      <c r="B897" s="15"/>
      <c r="C897" s="15"/>
      <c r="D897" s="15"/>
      <c r="E897" s="15"/>
    </row>
    <row r="898" spans="2:5" x14ac:dyDescent="0.2">
      <c r="B898" s="15"/>
      <c r="C898" s="15"/>
      <c r="D898" s="15"/>
      <c r="E898" s="15"/>
    </row>
    <row r="899" spans="2:5" x14ac:dyDescent="0.2">
      <c r="B899" s="15"/>
      <c r="C899" s="15"/>
      <c r="D899" s="15"/>
      <c r="E899" s="15"/>
    </row>
    <row r="900" spans="2:5" x14ac:dyDescent="0.2">
      <c r="B900" s="15"/>
      <c r="C900" s="15"/>
      <c r="D900" s="15"/>
      <c r="E900" s="15"/>
    </row>
    <row r="901" spans="2:5" x14ac:dyDescent="0.2">
      <c r="B901" s="15"/>
      <c r="C901" s="15"/>
      <c r="D901" s="15"/>
      <c r="E901" s="15"/>
    </row>
    <row r="902" spans="2:5" x14ac:dyDescent="0.2">
      <c r="B902" s="15"/>
      <c r="C902" s="15"/>
      <c r="D902" s="15"/>
      <c r="E902" s="15"/>
    </row>
    <row r="903" spans="2:5" x14ac:dyDescent="0.2">
      <c r="B903" s="15"/>
      <c r="C903" s="15"/>
      <c r="D903" s="15"/>
      <c r="E903" s="15"/>
    </row>
    <row r="904" spans="2:5" x14ac:dyDescent="0.2">
      <c r="B904" s="15"/>
      <c r="C904" s="15"/>
      <c r="D904" s="15"/>
      <c r="E904" s="15"/>
    </row>
    <row r="905" spans="2:5" x14ac:dyDescent="0.2">
      <c r="B905" s="15"/>
      <c r="C905" s="15"/>
      <c r="D905" s="15"/>
      <c r="E905" s="15"/>
    </row>
    <row r="906" spans="2:5" x14ac:dyDescent="0.2">
      <c r="B906" s="15"/>
      <c r="C906" s="15"/>
      <c r="D906" s="15"/>
      <c r="E906" s="15"/>
    </row>
    <row r="907" spans="2:5" x14ac:dyDescent="0.2">
      <c r="B907" s="15"/>
      <c r="C907" s="15"/>
      <c r="D907" s="15"/>
      <c r="E907" s="15"/>
    </row>
    <row r="908" spans="2:5" x14ac:dyDescent="0.2">
      <c r="B908" s="15"/>
      <c r="C908" s="15"/>
      <c r="D908" s="15"/>
      <c r="E908" s="15"/>
    </row>
    <row r="909" spans="2:5" x14ac:dyDescent="0.2">
      <c r="B909" s="15"/>
      <c r="C909" s="15"/>
      <c r="D909" s="15"/>
      <c r="E909" s="15"/>
    </row>
    <row r="910" spans="2:5" x14ac:dyDescent="0.2">
      <c r="B910" s="15"/>
      <c r="C910" s="15"/>
      <c r="D910" s="15"/>
      <c r="E910" s="15"/>
    </row>
    <row r="911" spans="2:5" x14ac:dyDescent="0.2">
      <c r="B911" s="15"/>
      <c r="C911" s="15"/>
      <c r="D911" s="15"/>
      <c r="E911" s="15"/>
    </row>
    <row r="912" spans="2:5" x14ac:dyDescent="0.2">
      <c r="B912" s="15"/>
      <c r="C912" s="15"/>
      <c r="D912" s="15"/>
      <c r="E912" s="15"/>
    </row>
    <row r="913" spans="2:5" x14ac:dyDescent="0.2">
      <c r="B913" s="15"/>
      <c r="C913" s="15"/>
      <c r="D913" s="15"/>
      <c r="E913" s="15"/>
    </row>
    <row r="914" spans="2:5" x14ac:dyDescent="0.2">
      <c r="B914" s="15"/>
      <c r="C914" s="15"/>
      <c r="D914" s="15"/>
      <c r="E914" s="15"/>
    </row>
    <row r="915" spans="2:5" x14ac:dyDescent="0.2">
      <c r="B915" s="15"/>
      <c r="C915" s="15"/>
      <c r="D915" s="15"/>
      <c r="E915" s="15"/>
    </row>
    <row r="916" spans="2:5" x14ac:dyDescent="0.2">
      <c r="B916" s="15"/>
      <c r="C916" s="15"/>
      <c r="D916" s="15"/>
      <c r="E916" s="15"/>
    </row>
    <row r="917" spans="2:5" x14ac:dyDescent="0.2">
      <c r="B917" s="15"/>
      <c r="C917" s="15"/>
      <c r="D917" s="15"/>
      <c r="E917" s="15"/>
    </row>
    <row r="918" spans="2:5" x14ac:dyDescent="0.2">
      <c r="B918" s="15"/>
      <c r="C918" s="15"/>
      <c r="D918" s="15"/>
      <c r="E918" s="15"/>
    </row>
    <row r="919" spans="2:5" x14ac:dyDescent="0.2">
      <c r="B919" s="15"/>
      <c r="C919" s="15"/>
      <c r="D919" s="15"/>
      <c r="E919" s="15"/>
    </row>
    <row r="920" spans="2:5" x14ac:dyDescent="0.2">
      <c r="B920" s="15"/>
      <c r="C920" s="15"/>
      <c r="D920" s="15"/>
      <c r="E920" s="15"/>
    </row>
    <row r="921" spans="2:5" x14ac:dyDescent="0.2">
      <c r="B921" s="15"/>
      <c r="C921" s="15"/>
      <c r="D921" s="15"/>
      <c r="E921" s="15"/>
    </row>
    <row r="922" spans="2:5" x14ac:dyDescent="0.2">
      <c r="B922" s="15"/>
      <c r="C922" s="15"/>
      <c r="D922" s="15"/>
      <c r="E922" s="15"/>
    </row>
    <row r="923" spans="2:5" x14ac:dyDescent="0.2">
      <c r="B923" s="15"/>
      <c r="C923" s="15"/>
      <c r="D923" s="15"/>
      <c r="E923" s="15"/>
    </row>
    <row r="924" spans="2:5" x14ac:dyDescent="0.2">
      <c r="B924" s="15"/>
      <c r="C924" s="15"/>
      <c r="D924" s="15"/>
      <c r="E924" s="15"/>
    </row>
    <row r="925" spans="2:5" x14ac:dyDescent="0.2">
      <c r="B925" s="15"/>
      <c r="C925" s="15"/>
      <c r="D925" s="15"/>
      <c r="E925" s="15"/>
    </row>
    <row r="926" spans="2:5" x14ac:dyDescent="0.2">
      <c r="B926" s="15"/>
      <c r="C926" s="15"/>
      <c r="D926" s="15"/>
      <c r="E926" s="15"/>
    </row>
    <row r="927" spans="2:5" x14ac:dyDescent="0.2">
      <c r="B927" s="15"/>
      <c r="C927" s="15"/>
      <c r="D927" s="15"/>
      <c r="E927" s="15"/>
    </row>
    <row r="928" spans="2:5" x14ac:dyDescent="0.2">
      <c r="B928" s="15"/>
      <c r="C928" s="15"/>
      <c r="D928" s="15"/>
      <c r="E928" s="15"/>
    </row>
    <row r="929" spans="2:5" x14ac:dyDescent="0.2">
      <c r="B929" s="15"/>
      <c r="C929" s="15"/>
      <c r="D929" s="15"/>
      <c r="E929" s="15"/>
    </row>
    <row r="930" spans="2:5" x14ac:dyDescent="0.2">
      <c r="B930" s="15"/>
      <c r="C930" s="15"/>
      <c r="D930" s="15"/>
      <c r="E930" s="15"/>
    </row>
    <row r="931" spans="2:5" x14ac:dyDescent="0.2">
      <c r="B931" s="15"/>
      <c r="C931" s="15"/>
      <c r="D931" s="15"/>
      <c r="E931" s="15"/>
    </row>
    <row r="932" spans="2:5" x14ac:dyDescent="0.2">
      <c r="B932" s="15"/>
      <c r="C932" s="15"/>
      <c r="D932" s="15"/>
      <c r="E932" s="15"/>
    </row>
    <row r="933" spans="2:5" x14ac:dyDescent="0.2">
      <c r="B933" s="15"/>
      <c r="C933" s="15"/>
      <c r="D933" s="15"/>
      <c r="E933" s="15"/>
    </row>
    <row r="934" spans="2:5" x14ac:dyDescent="0.2">
      <c r="B934" s="15"/>
      <c r="C934" s="15"/>
      <c r="D934" s="15"/>
      <c r="E934" s="15"/>
    </row>
    <row r="935" spans="2:5" x14ac:dyDescent="0.2">
      <c r="B935" s="15"/>
      <c r="C935" s="15"/>
      <c r="D935" s="15"/>
      <c r="E935" s="15"/>
    </row>
    <row r="936" spans="2:5" x14ac:dyDescent="0.2">
      <c r="B936" s="15"/>
      <c r="C936" s="15"/>
      <c r="D936" s="15"/>
      <c r="E936" s="15"/>
    </row>
    <row r="937" spans="2:5" x14ac:dyDescent="0.2">
      <c r="B937" s="15"/>
      <c r="C937" s="15"/>
      <c r="D937" s="15"/>
      <c r="E937" s="15"/>
    </row>
    <row r="938" spans="2:5" x14ac:dyDescent="0.2">
      <c r="B938" s="15"/>
      <c r="C938" s="15"/>
      <c r="D938" s="15"/>
      <c r="E938" s="15"/>
    </row>
    <row r="939" spans="2:5" x14ac:dyDescent="0.2">
      <c r="B939" s="15"/>
      <c r="C939" s="15"/>
      <c r="D939" s="15"/>
      <c r="E939" s="15"/>
    </row>
    <row r="940" spans="2:5" x14ac:dyDescent="0.2">
      <c r="B940" s="15"/>
      <c r="C940" s="15"/>
      <c r="D940" s="15"/>
      <c r="E940" s="15"/>
    </row>
    <row r="941" spans="2:5" x14ac:dyDescent="0.2">
      <c r="B941" s="15"/>
      <c r="C941" s="15"/>
      <c r="D941" s="15"/>
      <c r="E941" s="15"/>
    </row>
    <row r="942" spans="2:5" x14ac:dyDescent="0.2">
      <c r="B942" s="15"/>
      <c r="C942" s="15"/>
      <c r="D942" s="15"/>
      <c r="E942" s="15"/>
    </row>
    <row r="943" spans="2:5" x14ac:dyDescent="0.2">
      <c r="B943" s="15"/>
      <c r="C943" s="15"/>
      <c r="D943" s="15"/>
      <c r="E943" s="15"/>
    </row>
    <row r="944" spans="2:5" x14ac:dyDescent="0.2">
      <c r="B944" s="15"/>
      <c r="C944" s="15"/>
      <c r="D944" s="15"/>
      <c r="E944" s="15"/>
    </row>
    <row r="945" spans="2:5" x14ac:dyDescent="0.2">
      <c r="B945" s="15"/>
      <c r="C945" s="15"/>
      <c r="D945" s="15"/>
      <c r="E945" s="15"/>
    </row>
    <row r="946" spans="2:5" x14ac:dyDescent="0.2">
      <c r="B946" s="15"/>
      <c r="C946" s="15"/>
      <c r="D946" s="15"/>
      <c r="E946" s="15"/>
    </row>
    <row r="947" spans="2:5" x14ac:dyDescent="0.2">
      <c r="B947" s="15"/>
      <c r="C947" s="15"/>
      <c r="D947" s="15"/>
      <c r="E947" s="15"/>
    </row>
    <row r="948" spans="2:5" x14ac:dyDescent="0.2">
      <c r="B948" s="15"/>
      <c r="C948" s="15"/>
      <c r="D948" s="15"/>
      <c r="E948" s="15"/>
    </row>
    <row r="949" spans="2:5" x14ac:dyDescent="0.2">
      <c r="B949" s="15"/>
      <c r="C949" s="15"/>
      <c r="D949" s="15"/>
      <c r="E949" s="15"/>
    </row>
    <row r="950" spans="2:5" x14ac:dyDescent="0.2">
      <c r="B950" s="15"/>
      <c r="C950" s="15"/>
      <c r="D950" s="15"/>
      <c r="E950" s="15"/>
    </row>
    <row r="951" spans="2:5" x14ac:dyDescent="0.2">
      <c r="B951" s="15"/>
      <c r="C951" s="15"/>
      <c r="D951" s="15"/>
      <c r="E951" s="15"/>
    </row>
    <row r="952" spans="2:5" x14ac:dyDescent="0.2">
      <c r="B952" s="15"/>
      <c r="C952" s="15"/>
      <c r="D952" s="15"/>
      <c r="E952" s="15"/>
    </row>
    <row r="953" spans="2:5" x14ac:dyDescent="0.2">
      <c r="B953" s="15"/>
      <c r="C953" s="15"/>
      <c r="D953" s="15"/>
      <c r="E953" s="15"/>
    </row>
    <row r="954" spans="2:5" x14ac:dyDescent="0.2">
      <c r="B954" s="15"/>
      <c r="C954" s="15"/>
      <c r="D954" s="15"/>
      <c r="E954" s="15"/>
    </row>
    <row r="955" spans="2:5" x14ac:dyDescent="0.2">
      <c r="B955" s="15"/>
      <c r="C955" s="15"/>
      <c r="D955" s="15"/>
      <c r="E955" s="15"/>
    </row>
    <row r="956" spans="2:5" x14ac:dyDescent="0.2">
      <c r="B956" s="15"/>
      <c r="C956" s="15"/>
      <c r="D956" s="15"/>
      <c r="E956" s="15"/>
    </row>
    <row r="957" spans="2:5" x14ac:dyDescent="0.2">
      <c r="B957" s="15"/>
      <c r="C957" s="15"/>
      <c r="D957" s="15"/>
      <c r="E957" s="15"/>
    </row>
    <row r="958" spans="2:5" x14ac:dyDescent="0.2">
      <c r="B958" s="15"/>
      <c r="C958" s="15"/>
      <c r="D958" s="15"/>
      <c r="E958" s="15"/>
    </row>
    <row r="959" spans="2:5" x14ac:dyDescent="0.2">
      <c r="B959" s="15"/>
      <c r="C959" s="15"/>
      <c r="D959" s="15"/>
      <c r="E959" s="15"/>
    </row>
    <row r="960" spans="2:5" x14ac:dyDescent="0.2">
      <c r="B960" s="15"/>
      <c r="C960" s="15"/>
      <c r="D960" s="15"/>
      <c r="E960" s="15"/>
    </row>
    <row r="961" spans="2:5" x14ac:dyDescent="0.2">
      <c r="B961" s="15"/>
      <c r="C961" s="15"/>
      <c r="D961" s="15"/>
      <c r="E961" s="15"/>
    </row>
    <row r="962" spans="2:5" x14ac:dyDescent="0.2">
      <c r="B962" s="15"/>
      <c r="C962" s="15"/>
      <c r="D962" s="15"/>
      <c r="E962" s="15"/>
    </row>
    <row r="963" spans="2:5" x14ac:dyDescent="0.2">
      <c r="B963" s="15"/>
      <c r="C963" s="15"/>
      <c r="D963" s="15"/>
      <c r="E963" s="15"/>
    </row>
    <row r="964" spans="2:5" x14ac:dyDescent="0.2">
      <c r="B964" s="15"/>
      <c r="C964" s="15"/>
      <c r="D964" s="15"/>
      <c r="E964" s="15"/>
    </row>
    <row r="965" spans="2:5" x14ac:dyDescent="0.2">
      <c r="B965" s="15"/>
      <c r="C965" s="15"/>
      <c r="D965" s="15"/>
      <c r="E965" s="15"/>
    </row>
    <row r="966" spans="2:5" x14ac:dyDescent="0.2">
      <c r="B966" s="15"/>
      <c r="C966" s="15"/>
      <c r="D966" s="15"/>
      <c r="E966" s="15"/>
    </row>
    <row r="967" spans="2:5" x14ac:dyDescent="0.2">
      <c r="B967" s="15"/>
      <c r="C967" s="15"/>
      <c r="D967" s="15"/>
      <c r="E967" s="15"/>
    </row>
    <row r="968" spans="2:5" x14ac:dyDescent="0.2">
      <c r="B968" s="15"/>
      <c r="C968" s="15"/>
      <c r="D968" s="15"/>
      <c r="E968" s="15"/>
    </row>
    <row r="969" spans="2:5" x14ac:dyDescent="0.2">
      <c r="B969" s="15"/>
      <c r="C969" s="15"/>
      <c r="D969" s="15"/>
      <c r="E969" s="15"/>
    </row>
    <row r="970" spans="2:5" x14ac:dyDescent="0.2">
      <c r="B970" s="15"/>
      <c r="C970" s="15"/>
      <c r="D970" s="15"/>
      <c r="E970" s="15"/>
    </row>
    <row r="971" spans="2:5" x14ac:dyDescent="0.2">
      <c r="B971" s="15"/>
      <c r="C971" s="15"/>
      <c r="D971" s="15"/>
      <c r="E971" s="15"/>
    </row>
    <row r="972" spans="2:5" x14ac:dyDescent="0.2">
      <c r="B972" s="15"/>
      <c r="C972" s="15"/>
      <c r="D972" s="15"/>
      <c r="E972" s="15"/>
    </row>
    <row r="973" spans="2:5" x14ac:dyDescent="0.2">
      <c r="B973" s="15"/>
      <c r="C973" s="15"/>
      <c r="D973" s="15"/>
      <c r="E973" s="15"/>
    </row>
    <row r="974" spans="2:5" x14ac:dyDescent="0.2">
      <c r="B974" s="15"/>
      <c r="C974" s="15"/>
      <c r="D974" s="15"/>
      <c r="E974" s="15"/>
    </row>
    <row r="975" spans="2:5" x14ac:dyDescent="0.2">
      <c r="B975" s="15"/>
      <c r="C975" s="15"/>
      <c r="D975" s="15"/>
      <c r="E975" s="15"/>
    </row>
    <row r="976" spans="2:5" x14ac:dyDescent="0.2">
      <c r="B976" s="15"/>
      <c r="C976" s="15"/>
      <c r="D976" s="15"/>
      <c r="E976" s="15"/>
    </row>
    <row r="977" spans="2:5" x14ac:dyDescent="0.2">
      <c r="B977" s="15"/>
      <c r="C977" s="15"/>
      <c r="D977" s="15"/>
      <c r="E977" s="15"/>
    </row>
    <row r="978" spans="2:5" x14ac:dyDescent="0.2">
      <c r="B978" s="15"/>
      <c r="C978" s="15"/>
      <c r="D978" s="15"/>
      <c r="E978" s="15"/>
    </row>
    <row r="979" spans="2:5" x14ac:dyDescent="0.2">
      <c r="B979" s="15"/>
      <c r="C979" s="15"/>
      <c r="D979" s="15"/>
      <c r="E979" s="15"/>
    </row>
    <row r="980" spans="2:5" x14ac:dyDescent="0.2">
      <c r="B980" s="15"/>
      <c r="C980" s="15"/>
      <c r="D980" s="15"/>
      <c r="E980" s="15"/>
    </row>
    <row r="981" spans="2:5" x14ac:dyDescent="0.2">
      <c r="B981" s="15"/>
      <c r="C981" s="15"/>
      <c r="D981" s="15"/>
      <c r="E981" s="15"/>
    </row>
    <row r="982" spans="2:5" x14ac:dyDescent="0.2">
      <c r="B982" s="15"/>
      <c r="C982" s="15"/>
      <c r="D982" s="15"/>
      <c r="E982" s="15"/>
    </row>
    <row r="983" spans="2:5" x14ac:dyDescent="0.2">
      <c r="B983" s="15"/>
      <c r="C983" s="15"/>
      <c r="D983" s="15"/>
      <c r="E983" s="15"/>
    </row>
    <row r="984" spans="2:5" x14ac:dyDescent="0.2">
      <c r="B984" s="15"/>
      <c r="C984" s="15"/>
      <c r="D984" s="15"/>
      <c r="E984" s="15"/>
    </row>
    <row r="985" spans="2:5" x14ac:dyDescent="0.2">
      <c r="B985" s="15"/>
      <c r="C985" s="15"/>
      <c r="D985" s="15"/>
      <c r="E985" s="15"/>
    </row>
    <row r="986" spans="2:5" x14ac:dyDescent="0.2">
      <c r="B986" s="15"/>
      <c r="C986" s="15"/>
      <c r="D986" s="15"/>
      <c r="E986" s="15"/>
    </row>
    <row r="987" spans="2:5" x14ac:dyDescent="0.2">
      <c r="B987" s="15"/>
      <c r="C987" s="15"/>
      <c r="D987" s="15"/>
      <c r="E987" s="15"/>
    </row>
    <row r="988" spans="2:5" x14ac:dyDescent="0.2">
      <c r="B988" s="15"/>
      <c r="C988" s="15"/>
      <c r="D988" s="15"/>
      <c r="E988" s="15"/>
    </row>
    <row r="989" spans="2:5" x14ac:dyDescent="0.2">
      <c r="B989" s="15"/>
      <c r="C989" s="15"/>
      <c r="D989" s="15"/>
      <c r="E989" s="15"/>
    </row>
    <row r="990" spans="2:5" x14ac:dyDescent="0.2">
      <c r="B990" s="15"/>
      <c r="C990" s="15"/>
      <c r="D990" s="15"/>
      <c r="E990" s="15"/>
    </row>
    <row r="991" spans="2:5" x14ac:dyDescent="0.2">
      <c r="B991" s="15"/>
      <c r="C991" s="15"/>
      <c r="D991" s="15"/>
      <c r="E991" s="15"/>
    </row>
    <row r="992" spans="2:5" x14ac:dyDescent="0.2">
      <c r="B992" s="15"/>
      <c r="C992" s="15"/>
      <c r="D992" s="15"/>
      <c r="E992" s="15"/>
    </row>
    <row r="993" spans="2:5" x14ac:dyDescent="0.2">
      <c r="B993" s="15"/>
      <c r="C993" s="15"/>
      <c r="D993" s="15"/>
      <c r="E993" s="15"/>
    </row>
    <row r="994" spans="2:5" x14ac:dyDescent="0.2">
      <c r="B994" s="15"/>
      <c r="C994" s="15"/>
      <c r="D994" s="15"/>
      <c r="E994" s="15"/>
    </row>
    <row r="995" spans="2:5" x14ac:dyDescent="0.2">
      <c r="B995" s="15"/>
      <c r="C995" s="15"/>
      <c r="D995" s="15"/>
      <c r="E995" s="15"/>
    </row>
    <row r="996" spans="2:5" x14ac:dyDescent="0.2">
      <c r="B996" s="15"/>
      <c r="C996" s="15"/>
      <c r="D996" s="15"/>
      <c r="E996" s="15"/>
    </row>
    <row r="997" spans="2:5" x14ac:dyDescent="0.2">
      <c r="B997" s="15"/>
      <c r="C997" s="15"/>
      <c r="D997" s="15"/>
      <c r="E997" s="15"/>
    </row>
    <row r="998" spans="2:5" x14ac:dyDescent="0.2">
      <c r="B998" s="15"/>
      <c r="C998" s="15"/>
      <c r="D998" s="15"/>
      <c r="E998" s="15"/>
    </row>
    <row r="999" spans="2:5" x14ac:dyDescent="0.2">
      <c r="B999" s="15"/>
      <c r="C999" s="15"/>
      <c r="D999" s="15"/>
      <c r="E999" s="15"/>
    </row>
    <row r="1000" spans="2:5" x14ac:dyDescent="0.2">
      <c r="B1000" s="15"/>
      <c r="C1000" s="15"/>
      <c r="D1000" s="15"/>
      <c r="E1000" s="15"/>
    </row>
    <row r="1001" spans="2:5" x14ac:dyDescent="0.2">
      <c r="B1001" s="15"/>
      <c r="C1001" s="15"/>
      <c r="D1001" s="15"/>
      <c r="E1001" s="15"/>
    </row>
    <row r="1002" spans="2:5" x14ac:dyDescent="0.2">
      <c r="B1002" s="15"/>
      <c r="C1002" s="15"/>
      <c r="D1002" s="15"/>
      <c r="E1002" s="15"/>
    </row>
    <row r="1003" spans="2:5" x14ac:dyDescent="0.2">
      <c r="B1003" s="15"/>
      <c r="C1003" s="15"/>
      <c r="D1003" s="15"/>
      <c r="E1003" s="15"/>
    </row>
    <row r="1004" spans="2:5" x14ac:dyDescent="0.2">
      <c r="B1004" s="15"/>
      <c r="C1004" s="15"/>
      <c r="D1004" s="15"/>
      <c r="E1004" s="15"/>
    </row>
    <row r="1005" spans="2:5" x14ac:dyDescent="0.2">
      <c r="B1005" s="15"/>
      <c r="C1005" s="15"/>
      <c r="D1005" s="15"/>
      <c r="E1005" s="15"/>
    </row>
    <row r="1006" spans="2:5" x14ac:dyDescent="0.2">
      <c r="B1006" s="15"/>
      <c r="C1006" s="15"/>
      <c r="D1006" s="15"/>
      <c r="E1006" s="15"/>
    </row>
    <row r="1007" spans="2:5" x14ac:dyDescent="0.2">
      <c r="B1007" s="15"/>
      <c r="C1007" s="15"/>
      <c r="D1007" s="15"/>
      <c r="E1007" s="15"/>
    </row>
    <row r="1008" spans="2:5" x14ac:dyDescent="0.2">
      <c r="B1008" s="15"/>
      <c r="C1008" s="15"/>
      <c r="D1008" s="15"/>
      <c r="E1008" s="15"/>
    </row>
    <row r="1009" spans="2:5" x14ac:dyDescent="0.2">
      <c r="B1009" s="15"/>
      <c r="C1009" s="15"/>
      <c r="D1009" s="15"/>
      <c r="E1009" s="15"/>
    </row>
    <row r="1010" spans="2:5" x14ac:dyDescent="0.2">
      <c r="B1010" s="15"/>
      <c r="C1010" s="15"/>
      <c r="D1010" s="15"/>
      <c r="E1010" s="15"/>
    </row>
    <row r="1011" spans="2:5" x14ac:dyDescent="0.2">
      <c r="B1011" s="15"/>
      <c r="C1011" s="15"/>
      <c r="D1011" s="15"/>
      <c r="E1011" s="15"/>
    </row>
    <row r="1012" spans="2:5" x14ac:dyDescent="0.2">
      <c r="B1012" s="15"/>
      <c r="C1012" s="15"/>
      <c r="D1012" s="15"/>
      <c r="E1012" s="15"/>
    </row>
    <row r="1013" spans="2:5" x14ac:dyDescent="0.2">
      <c r="B1013" s="15"/>
      <c r="C1013" s="15"/>
      <c r="D1013" s="15"/>
      <c r="E1013" s="15"/>
    </row>
    <row r="1014" spans="2:5" x14ac:dyDescent="0.2">
      <c r="B1014" s="15"/>
      <c r="C1014" s="15"/>
      <c r="D1014" s="15"/>
      <c r="E1014" s="15"/>
    </row>
    <row r="1015" spans="2:5" x14ac:dyDescent="0.2">
      <c r="B1015" s="15"/>
      <c r="C1015" s="15"/>
      <c r="D1015" s="15"/>
      <c r="E1015" s="15"/>
    </row>
    <row r="1016" spans="2:5" x14ac:dyDescent="0.2">
      <c r="B1016" s="15"/>
      <c r="C1016" s="15"/>
      <c r="D1016" s="15"/>
      <c r="E1016" s="15"/>
    </row>
    <row r="1017" spans="2:5" x14ac:dyDescent="0.2">
      <c r="B1017" s="15"/>
      <c r="C1017" s="15"/>
      <c r="D1017" s="15"/>
      <c r="E1017" s="15"/>
    </row>
    <row r="1018" spans="2:5" x14ac:dyDescent="0.2">
      <c r="B1018" s="15"/>
      <c r="C1018" s="15"/>
      <c r="D1018" s="15"/>
      <c r="E1018" s="15"/>
    </row>
    <row r="1019" spans="2:5" x14ac:dyDescent="0.2">
      <c r="B1019" s="15"/>
      <c r="C1019" s="15"/>
      <c r="D1019" s="15"/>
      <c r="E1019" s="15"/>
    </row>
    <row r="1020" spans="2:5" x14ac:dyDescent="0.2">
      <c r="B1020" s="15"/>
      <c r="C1020" s="15"/>
      <c r="D1020" s="15"/>
      <c r="E1020" s="15"/>
    </row>
    <row r="1021" spans="2:5" x14ac:dyDescent="0.2">
      <c r="B1021" s="15"/>
      <c r="C1021" s="15"/>
      <c r="D1021" s="15"/>
      <c r="E1021" s="15"/>
    </row>
    <row r="1022" spans="2:5" x14ac:dyDescent="0.2">
      <c r="B1022" s="15"/>
      <c r="C1022" s="15"/>
      <c r="D1022" s="15"/>
      <c r="E1022" s="15"/>
    </row>
    <row r="1023" spans="2:5" x14ac:dyDescent="0.2">
      <c r="B1023" s="15"/>
      <c r="C1023" s="15"/>
      <c r="D1023" s="15"/>
      <c r="E1023" s="15"/>
    </row>
    <row r="1024" spans="2:5" x14ac:dyDescent="0.2">
      <c r="B1024" s="15"/>
      <c r="C1024" s="15"/>
      <c r="D1024" s="15"/>
      <c r="E1024" s="15"/>
    </row>
    <row r="1025" spans="2:5" x14ac:dyDescent="0.2">
      <c r="B1025" s="15"/>
      <c r="C1025" s="15"/>
      <c r="D1025" s="15"/>
      <c r="E1025" s="15"/>
    </row>
    <row r="1026" spans="2:5" x14ac:dyDescent="0.2">
      <c r="B1026" s="15"/>
      <c r="C1026" s="15"/>
      <c r="D1026" s="15"/>
      <c r="E1026" s="15"/>
    </row>
    <row r="1027" spans="2:5" x14ac:dyDescent="0.2">
      <c r="B1027" s="15"/>
      <c r="C1027" s="15"/>
      <c r="D1027" s="15"/>
      <c r="E1027" s="15"/>
    </row>
    <row r="1028" spans="2:5" x14ac:dyDescent="0.2">
      <c r="B1028" s="15"/>
      <c r="C1028" s="15"/>
      <c r="D1028" s="15"/>
      <c r="E1028" s="15"/>
    </row>
    <row r="1029" spans="2:5" x14ac:dyDescent="0.2">
      <c r="B1029" s="15"/>
      <c r="C1029" s="15"/>
      <c r="D1029" s="15"/>
      <c r="E1029" s="15"/>
    </row>
    <row r="1030" spans="2:5" x14ac:dyDescent="0.2">
      <c r="B1030" s="15"/>
      <c r="C1030" s="15"/>
      <c r="D1030" s="15"/>
      <c r="E1030" s="15"/>
    </row>
    <row r="1031" spans="2:5" x14ac:dyDescent="0.2">
      <c r="B1031" s="15"/>
      <c r="C1031" s="15"/>
      <c r="D1031" s="15"/>
      <c r="E1031" s="15"/>
    </row>
    <row r="1032" spans="2:5" x14ac:dyDescent="0.2">
      <c r="B1032" s="15"/>
      <c r="C1032" s="15"/>
      <c r="D1032" s="15"/>
      <c r="E1032" s="15"/>
    </row>
    <row r="1033" spans="2:5" x14ac:dyDescent="0.2">
      <c r="B1033" s="15"/>
      <c r="C1033" s="15"/>
      <c r="D1033" s="15"/>
      <c r="E1033" s="15"/>
    </row>
    <row r="1034" spans="2:5" x14ac:dyDescent="0.2">
      <c r="B1034" s="15"/>
      <c r="C1034" s="15"/>
      <c r="D1034" s="15"/>
      <c r="E1034" s="15"/>
    </row>
    <row r="1035" spans="2:5" x14ac:dyDescent="0.2">
      <c r="B1035" s="15"/>
      <c r="C1035" s="15"/>
      <c r="D1035" s="15"/>
      <c r="E1035" s="15"/>
    </row>
    <row r="1036" spans="2:5" x14ac:dyDescent="0.2">
      <c r="B1036" s="15"/>
      <c r="C1036" s="15"/>
      <c r="D1036" s="15"/>
      <c r="E1036" s="15"/>
    </row>
    <row r="1037" spans="2:5" x14ac:dyDescent="0.2">
      <c r="B1037" s="15"/>
      <c r="C1037" s="15"/>
      <c r="D1037" s="15"/>
      <c r="E1037" s="15"/>
    </row>
    <row r="1038" spans="2:5" x14ac:dyDescent="0.2">
      <c r="B1038" s="15"/>
      <c r="C1038" s="15"/>
      <c r="D1038" s="15"/>
      <c r="E1038" s="15"/>
    </row>
    <row r="1039" spans="2:5" x14ac:dyDescent="0.2">
      <c r="B1039" s="15"/>
      <c r="C1039" s="15"/>
      <c r="D1039" s="15"/>
      <c r="E1039" s="15"/>
    </row>
    <row r="1040" spans="2:5" x14ac:dyDescent="0.2">
      <c r="B1040" s="15"/>
      <c r="C1040" s="15"/>
      <c r="D1040" s="15"/>
      <c r="E1040" s="15"/>
    </row>
    <row r="1041" spans="2:5" x14ac:dyDescent="0.2">
      <c r="B1041" s="15"/>
      <c r="C1041" s="15"/>
      <c r="D1041" s="15"/>
      <c r="E1041" s="15"/>
    </row>
    <row r="1042" spans="2:5" x14ac:dyDescent="0.2">
      <c r="B1042" s="15"/>
      <c r="C1042" s="15"/>
      <c r="D1042" s="15"/>
      <c r="E1042" s="15"/>
    </row>
    <row r="1043" spans="2:5" x14ac:dyDescent="0.2">
      <c r="B1043" s="15"/>
      <c r="C1043" s="15"/>
      <c r="D1043" s="15"/>
      <c r="E1043" s="15"/>
    </row>
    <row r="1044" spans="2:5" x14ac:dyDescent="0.2">
      <c r="B1044" s="15"/>
      <c r="C1044" s="15"/>
      <c r="D1044" s="15"/>
      <c r="E1044" s="15"/>
    </row>
    <row r="1045" spans="2:5" x14ac:dyDescent="0.2">
      <c r="B1045" s="15"/>
      <c r="C1045" s="15"/>
      <c r="D1045" s="15"/>
      <c r="E1045" s="15"/>
    </row>
    <row r="1046" spans="2:5" x14ac:dyDescent="0.2">
      <c r="B1046" s="15"/>
      <c r="C1046" s="15"/>
      <c r="D1046" s="15"/>
      <c r="E1046" s="15"/>
    </row>
    <row r="1047" spans="2:5" x14ac:dyDescent="0.2">
      <c r="B1047" s="15"/>
      <c r="C1047" s="15"/>
      <c r="D1047" s="15"/>
      <c r="E1047" s="15"/>
    </row>
    <row r="1048" spans="2:5" x14ac:dyDescent="0.2">
      <c r="B1048" s="15"/>
      <c r="C1048" s="15"/>
      <c r="D1048" s="15"/>
      <c r="E1048" s="15"/>
    </row>
    <row r="1049" spans="2:5" x14ac:dyDescent="0.2">
      <c r="B1049" s="15"/>
      <c r="C1049" s="15"/>
      <c r="D1049" s="15"/>
      <c r="E1049" s="15"/>
    </row>
    <row r="1050" spans="2:5" x14ac:dyDescent="0.2">
      <c r="B1050" s="15"/>
      <c r="C1050" s="15"/>
      <c r="D1050" s="15"/>
      <c r="E1050" s="15"/>
    </row>
    <row r="1051" spans="2:5" x14ac:dyDescent="0.2">
      <c r="B1051" s="15"/>
      <c r="C1051" s="15"/>
      <c r="D1051" s="15"/>
      <c r="E1051" s="15"/>
    </row>
    <row r="1052" spans="2:5" x14ac:dyDescent="0.2">
      <c r="B1052" s="15"/>
      <c r="C1052" s="15"/>
      <c r="D1052" s="15"/>
      <c r="E1052" s="15"/>
    </row>
    <row r="1053" spans="2:5" x14ac:dyDescent="0.2">
      <c r="B1053" s="15"/>
      <c r="C1053" s="15"/>
      <c r="D1053" s="15"/>
      <c r="E1053" s="15"/>
    </row>
    <row r="1054" spans="2:5" x14ac:dyDescent="0.2">
      <c r="B1054" s="15"/>
      <c r="C1054" s="15"/>
      <c r="D1054" s="15"/>
      <c r="E1054" s="15"/>
    </row>
    <row r="1055" spans="2:5" x14ac:dyDescent="0.2">
      <c r="B1055" s="15"/>
      <c r="C1055" s="15"/>
      <c r="D1055" s="15"/>
      <c r="E1055" s="15"/>
    </row>
    <row r="1056" spans="2:5" x14ac:dyDescent="0.2">
      <c r="B1056" s="15"/>
      <c r="C1056" s="15"/>
      <c r="D1056" s="15"/>
      <c r="E1056" s="15"/>
    </row>
    <row r="1057" spans="2:5" x14ac:dyDescent="0.2">
      <c r="B1057" s="15"/>
      <c r="C1057" s="15"/>
      <c r="D1057" s="15"/>
      <c r="E1057" s="15"/>
    </row>
    <row r="1058" spans="2:5" x14ac:dyDescent="0.2">
      <c r="B1058" s="15"/>
      <c r="C1058" s="15"/>
      <c r="D1058" s="15"/>
      <c r="E1058" s="15"/>
    </row>
    <row r="1059" spans="2:5" x14ac:dyDescent="0.2">
      <c r="B1059" s="15"/>
      <c r="C1059" s="15"/>
      <c r="D1059" s="15"/>
      <c r="E1059" s="15"/>
    </row>
    <row r="1060" spans="2:5" x14ac:dyDescent="0.2">
      <c r="B1060" s="15"/>
      <c r="C1060" s="15"/>
      <c r="D1060" s="15"/>
      <c r="E1060" s="15"/>
    </row>
    <row r="1061" spans="2:5" x14ac:dyDescent="0.2">
      <c r="B1061" s="15"/>
      <c r="C1061" s="15"/>
      <c r="D1061" s="15"/>
      <c r="E1061" s="15"/>
    </row>
    <row r="1062" spans="2:5" x14ac:dyDescent="0.2">
      <c r="B1062" s="15"/>
      <c r="C1062" s="15"/>
      <c r="D1062" s="15"/>
      <c r="E1062" s="15"/>
    </row>
    <row r="1063" spans="2:5" x14ac:dyDescent="0.2">
      <c r="B1063" s="15"/>
      <c r="C1063" s="15"/>
      <c r="D1063" s="15"/>
      <c r="E1063" s="15"/>
    </row>
    <row r="1064" spans="2:5" x14ac:dyDescent="0.2">
      <c r="B1064" s="15"/>
      <c r="C1064" s="15"/>
      <c r="D1064" s="15"/>
      <c r="E1064" s="15"/>
    </row>
    <row r="1065" spans="2:5" x14ac:dyDescent="0.2">
      <c r="B1065" s="15"/>
      <c r="C1065" s="15"/>
      <c r="D1065" s="15"/>
      <c r="E1065" s="15"/>
    </row>
    <row r="1066" spans="2:5" x14ac:dyDescent="0.2">
      <c r="B1066" s="15"/>
      <c r="C1066" s="15"/>
      <c r="D1066" s="15"/>
      <c r="E1066" s="15"/>
    </row>
    <row r="1067" spans="2:5" x14ac:dyDescent="0.2">
      <c r="B1067" s="15"/>
      <c r="C1067" s="15"/>
      <c r="D1067" s="15"/>
      <c r="E1067" s="15"/>
    </row>
    <row r="1068" spans="2:5" x14ac:dyDescent="0.2">
      <c r="B1068" s="15"/>
      <c r="C1068" s="15"/>
      <c r="D1068" s="15"/>
      <c r="E1068" s="15"/>
    </row>
    <row r="1069" spans="2:5" x14ac:dyDescent="0.2">
      <c r="B1069" s="15"/>
      <c r="C1069" s="15"/>
      <c r="D1069" s="15"/>
      <c r="E1069" s="15"/>
    </row>
    <row r="1070" spans="2:5" x14ac:dyDescent="0.2">
      <c r="B1070" s="15"/>
      <c r="C1070" s="15"/>
      <c r="D1070" s="15"/>
      <c r="E1070" s="15"/>
    </row>
    <row r="1071" spans="2:5" x14ac:dyDescent="0.2">
      <c r="B1071" s="15"/>
      <c r="C1071" s="15"/>
      <c r="D1071" s="15"/>
      <c r="E1071" s="15"/>
    </row>
    <row r="1072" spans="2:5" x14ac:dyDescent="0.2">
      <c r="B1072" s="15"/>
      <c r="C1072" s="15"/>
      <c r="D1072" s="15"/>
      <c r="E1072" s="15"/>
    </row>
    <row r="1073" spans="2:5" x14ac:dyDescent="0.2">
      <c r="B1073" s="15"/>
      <c r="C1073" s="15"/>
      <c r="D1073" s="15"/>
      <c r="E1073" s="15"/>
    </row>
    <row r="1074" spans="2:5" x14ac:dyDescent="0.2">
      <c r="B1074" s="15"/>
      <c r="C1074" s="15"/>
      <c r="D1074" s="15"/>
      <c r="E1074" s="15"/>
    </row>
    <row r="1075" spans="2:5" x14ac:dyDescent="0.2">
      <c r="B1075" s="15"/>
      <c r="C1075" s="15"/>
      <c r="D1075" s="15"/>
      <c r="E1075" s="15"/>
    </row>
    <row r="1076" spans="2:5" x14ac:dyDescent="0.2">
      <c r="B1076" s="15"/>
      <c r="C1076" s="15"/>
      <c r="D1076" s="15"/>
      <c r="E1076" s="15"/>
    </row>
    <row r="1077" spans="2:5" x14ac:dyDescent="0.2">
      <c r="B1077" s="15"/>
      <c r="C1077" s="15"/>
      <c r="D1077" s="15"/>
      <c r="E1077" s="15"/>
    </row>
    <row r="1078" spans="2:5" x14ac:dyDescent="0.2">
      <c r="B1078" s="15"/>
      <c r="C1078" s="15"/>
      <c r="D1078" s="15"/>
      <c r="E1078" s="15"/>
    </row>
    <row r="1079" spans="2:5" x14ac:dyDescent="0.2">
      <c r="B1079" s="15"/>
      <c r="C1079" s="15"/>
      <c r="D1079" s="15"/>
      <c r="E1079" s="15"/>
    </row>
    <row r="1080" spans="2:5" x14ac:dyDescent="0.2">
      <c r="B1080" s="15"/>
      <c r="C1080" s="15"/>
      <c r="D1080" s="15"/>
      <c r="E1080" s="15"/>
    </row>
    <row r="1081" spans="2:5" x14ac:dyDescent="0.2">
      <c r="B1081" s="15"/>
      <c r="C1081" s="15"/>
      <c r="D1081" s="15"/>
      <c r="E1081" s="15"/>
    </row>
    <row r="1082" spans="2:5" x14ac:dyDescent="0.2">
      <c r="B1082" s="15"/>
      <c r="C1082" s="15"/>
      <c r="D1082" s="15"/>
      <c r="E1082" s="15"/>
    </row>
    <row r="1083" spans="2:5" x14ac:dyDescent="0.2">
      <c r="B1083" s="15"/>
      <c r="C1083" s="15"/>
      <c r="D1083" s="15"/>
      <c r="E1083" s="15"/>
    </row>
    <row r="1084" spans="2:5" x14ac:dyDescent="0.2">
      <c r="B1084" s="15"/>
      <c r="C1084" s="15"/>
      <c r="D1084" s="15"/>
      <c r="E1084" s="15"/>
    </row>
    <row r="1085" spans="2:5" x14ac:dyDescent="0.2">
      <c r="B1085" s="15"/>
      <c r="C1085" s="15"/>
      <c r="D1085" s="15"/>
      <c r="E1085" s="15"/>
    </row>
    <row r="1086" spans="2:5" x14ac:dyDescent="0.2">
      <c r="B1086" s="15"/>
      <c r="C1086" s="15"/>
      <c r="D1086" s="15"/>
      <c r="E1086" s="15"/>
    </row>
    <row r="1087" spans="2:5" x14ac:dyDescent="0.2">
      <c r="B1087" s="15"/>
      <c r="C1087" s="15"/>
      <c r="D1087" s="15"/>
      <c r="E1087" s="15"/>
    </row>
    <row r="1088" spans="2:5" x14ac:dyDescent="0.2">
      <c r="B1088" s="15"/>
      <c r="C1088" s="15"/>
      <c r="D1088" s="15"/>
      <c r="E1088" s="15"/>
    </row>
    <row r="1089" spans="2:5" x14ac:dyDescent="0.2">
      <c r="B1089" s="15"/>
      <c r="C1089" s="15"/>
      <c r="D1089" s="15"/>
      <c r="E1089" s="15"/>
    </row>
    <row r="1090" spans="2:5" x14ac:dyDescent="0.2">
      <c r="B1090" s="15"/>
      <c r="C1090" s="15"/>
      <c r="D1090" s="15"/>
      <c r="E1090" s="15"/>
    </row>
    <row r="1091" spans="2:5" x14ac:dyDescent="0.2">
      <c r="B1091" s="15"/>
      <c r="C1091" s="15"/>
      <c r="D1091" s="15"/>
      <c r="E1091" s="15"/>
    </row>
    <row r="1092" spans="2:5" x14ac:dyDescent="0.2">
      <c r="B1092" s="15"/>
      <c r="C1092" s="15"/>
      <c r="D1092" s="15"/>
      <c r="E1092" s="15"/>
    </row>
    <row r="1093" spans="2:5" x14ac:dyDescent="0.2">
      <c r="B1093" s="15"/>
      <c r="C1093" s="15"/>
      <c r="D1093" s="15"/>
      <c r="E1093" s="15"/>
    </row>
    <row r="1094" spans="2:5" x14ac:dyDescent="0.2">
      <c r="B1094" s="15"/>
      <c r="C1094" s="15"/>
      <c r="D1094" s="15"/>
      <c r="E1094" s="15"/>
    </row>
    <row r="1095" spans="2:5" x14ac:dyDescent="0.2">
      <c r="B1095" s="15"/>
      <c r="C1095" s="15"/>
      <c r="D1095" s="15"/>
      <c r="E1095" s="15"/>
    </row>
    <row r="1096" spans="2:5" x14ac:dyDescent="0.2">
      <c r="B1096" s="15"/>
      <c r="C1096" s="15"/>
      <c r="D1096" s="15"/>
      <c r="E1096" s="15"/>
    </row>
    <row r="1097" spans="2:5" x14ac:dyDescent="0.2">
      <c r="B1097" s="15"/>
      <c r="C1097" s="15"/>
      <c r="D1097" s="15"/>
      <c r="E1097" s="15"/>
    </row>
    <row r="1098" spans="2:5" x14ac:dyDescent="0.2">
      <c r="B1098" s="15"/>
      <c r="C1098" s="15"/>
      <c r="D1098" s="15"/>
      <c r="E1098" s="15"/>
    </row>
    <row r="1099" spans="2:5" x14ac:dyDescent="0.2">
      <c r="B1099" s="15"/>
      <c r="C1099" s="15"/>
      <c r="D1099" s="15"/>
      <c r="E1099" s="15"/>
    </row>
    <row r="1100" spans="2:5" x14ac:dyDescent="0.2">
      <c r="B1100" s="15"/>
      <c r="C1100" s="15"/>
      <c r="D1100" s="15"/>
      <c r="E1100" s="15"/>
    </row>
    <row r="1101" spans="2:5" x14ac:dyDescent="0.2">
      <c r="B1101" s="15"/>
      <c r="C1101" s="15"/>
      <c r="D1101" s="15"/>
      <c r="E1101" s="15"/>
    </row>
    <row r="1102" spans="2:5" x14ac:dyDescent="0.2">
      <c r="B1102" s="15"/>
      <c r="C1102" s="15"/>
      <c r="D1102" s="15"/>
      <c r="E1102" s="15"/>
    </row>
    <row r="1103" spans="2:5" x14ac:dyDescent="0.2">
      <c r="B1103" s="15"/>
      <c r="C1103" s="15"/>
      <c r="D1103" s="15"/>
      <c r="E1103" s="15"/>
    </row>
    <row r="1104" spans="2:5" x14ac:dyDescent="0.2">
      <c r="B1104" s="15"/>
      <c r="C1104" s="15"/>
      <c r="D1104" s="15"/>
      <c r="E1104" s="15"/>
    </row>
    <row r="1105" spans="2:5" x14ac:dyDescent="0.2">
      <c r="B1105" s="15"/>
      <c r="C1105" s="15"/>
      <c r="D1105" s="15"/>
      <c r="E1105" s="15"/>
    </row>
    <row r="1106" spans="2:5" x14ac:dyDescent="0.2">
      <c r="B1106" s="15"/>
      <c r="C1106" s="15"/>
      <c r="D1106" s="15"/>
      <c r="E1106" s="15"/>
    </row>
    <row r="1107" spans="2:5" x14ac:dyDescent="0.2">
      <c r="B1107" s="15"/>
      <c r="C1107" s="15"/>
      <c r="D1107" s="15"/>
      <c r="E1107" s="15"/>
    </row>
    <row r="1108" spans="2:5" x14ac:dyDescent="0.2">
      <c r="B1108" s="15"/>
      <c r="C1108" s="15"/>
      <c r="D1108" s="15"/>
      <c r="E1108" s="15"/>
    </row>
    <row r="1109" spans="2:5" x14ac:dyDescent="0.2">
      <c r="B1109" s="15"/>
      <c r="C1109" s="15"/>
      <c r="D1109" s="15"/>
      <c r="E1109" s="15"/>
    </row>
    <row r="1110" spans="2:5" x14ac:dyDescent="0.2">
      <c r="B1110" s="15"/>
      <c r="C1110" s="15"/>
      <c r="D1110" s="15"/>
      <c r="E1110" s="15"/>
    </row>
    <row r="1111" spans="2:5" x14ac:dyDescent="0.2">
      <c r="B1111" s="15"/>
      <c r="C1111" s="15"/>
      <c r="D1111" s="15"/>
      <c r="E1111" s="15"/>
    </row>
    <row r="1112" spans="2:5" x14ac:dyDescent="0.2">
      <c r="B1112" s="15"/>
      <c r="C1112" s="15"/>
      <c r="D1112" s="15"/>
      <c r="E1112" s="15"/>
    </row>
    <row r="1113" spans="2:5" x14ac:dyDescent="0.2">
      <c r="B1113" s="15"/>
      <c r="C1113" s="15"/>
      <c r="D1113" s="15"/>
      <c r="E1113" s="15"/>
    </row>
    <row r="1114" spans="2:5" x14ac:dyDescent="0.2">
      <c r="B1114" s="15"/>
      <c r="C1114" s="15"/>
      <c r="D1114" s="15"/>
      <c r="E1114" s="15"/>
    </row>
    <row r="1115" spans="2:5" x14ac:dyDescent="0.2">
      <c r="B1115" s="15"/>
      <c r="C1115" s="15"/>
      <c r="D1115" s="15"/>
      <c r="E1115" s="15"/>
    </row>
    <row r="1116" spans="2:5" x14ac:dyDescent="0.2">
      <c r="B1116" s="15"/>
      <c r="C1116" s="15"/>
      <c r="D1116" s="15"/>
      <c r="E1116" s="15"/>
    </row>
    <row r="1117" spans="2:5" x14ac:dyDescent="0.2">
      <c r="B1117" s="15"/>
      <c r="C1117" s="15"/>
      <c r="D1117" s="15"/>
      <c r="E1117" s="15"/>
    </row>
    <row r="1118" spans="2:5" x14ac:dyDescent="0.2">
      <c r="B1118" s="15"/>
      <c r="C1118" s="15"/>
      <c r="D1118" s="15"/>
      <c r="E1118" s="15"/>
    </row>
    <row r="1119" spans="2:5" x14ac:dyDescent="0.2">
      <c r="B1119" s="15"/>
      <c r="C1119" s="15"/>
      <c r="D1119" s="15"/>
      <c r="E1119" s="15"/>
    </row>
    <row r="1120" spans="2:5" x14ac:dyDescent="0.2">
      <c r="B1120" s="15"/>
      <c r="C1120" s="15"/>
      <c r="D1120" s="15"/>
      <c r="E1120" s="15"/>
    </row>
    <row r="1121" spans="2:5" x14ac:dyDescent="0.2">
      <c r="B1121" s="15"/>
      <c r="C1121" s="15"/>
      <c r="D1121" s="15"/>
      <c r="E1121" s="15"/>
    </row>
    <row r="1122" spans="2:5" x14ac:dyDescent="0.2">
      <c r="B1122" s="15"/>
      <c r="C1122" s="15"/>
      <c r="D1122" s="15"/>
      <c r="E1122" s="15"/>
    </row>
    <row r="1123" spans="2:5" x14ac:dyDescent="0.2">
      <c r="B1123" s="15"/>
      <c r="C1123" s="15"/>
      <c r="D1123" s="15"/>
      <c r="E1123" s="15"/>
    </row>
    <row r="1124" spans="2:5" x14ac:dyDescent="0.2">
      <c r="B1124" s="15"/>
      <c r="C1124" s="15"/>
      <c r="D1124" s="15"/>
      <c r="E1124" s="15"/>
    </row>
    <row r="1125" spans="2:5" x14ac:dyDescent="0.2">
      <c r="B1125" s="15"/>
      <c r="C1125" s="15"/>
      <c r="D1125" s="15"/>
      <c r="E1125" s="15"/>
    </row>
    <row r="1126" spans="2:5" x14ac:dyDescent="0.2">
      <c r="B1126" s="15"/>
      <c r="C1126" s="15"/>
      <c r="D1126" s="15"/>
      <c r="E1126" s="15"/>
    </row>
    <row r="1127" spans="2:5" x14ac:dyDescent="0.2">
      <c r="B1127" s="15"/>
      <c r="C1127" s="15"/>
      <c r="D1127" s="15"/>
      <c r="E1127" s="15"/>
    </row>
    <row r="1128" spans="2:5" x14ac:dyDescent="0.2">
      <c r="B1128" s="15"/>
      <c r="C1128" s="15"/>
      <c r="D1128" s="15"/>
      <c r="E1128" s="15"/>
    </row>
    <row r="1129" spans="2:5" x14ac:dyDescent="0.2">
      <c r="B1129" s="15"/>
      <c r="C1129" s="15"/>
      <c r="D1129" s="15"/>
      <c r="E1129" s="15"/>
    </row>
    <row r="1130" spans="2:5" x14ac:dyDescent="0.2">
      <c r="B1130" s="15"/>
      <c r="C1130" s="15"/>
      <c r="D1130" s="15"/>
      <c r="E1130" s="15"/>
    </row>
    <row r="1131" spans="2:5" x14ac:dyDescent="0.2">
      <c r="B1131" s="15"/>
      <c r="C1131" s="15"/>
      <c r="D1131" s="15"/>
      <c r="E1131" s="15"/>
    </row>
    <row r="1132" spans="2:5" x14ac:dyDescent="0.2">
      <c r="B1132" s="15"/>
      <c r="C1132" s="15"/>
      <c r="D1132" s="15"/>
      <c r="E1132" s="15"/>
    </row>
    <row r="1133" spans="2:5" x14ac:dyDescent="0.2">
      <c r="B1133" s="15"/>
      <c r="C1133" s="15"/>
      <c r="D1133" s="15"/>
      <c r="E1133" s="15"/>
    </row>
    <row r="1134" spans="2:5" x14ac:dyDescent="0.2">
      <c r="B1134" s="15"/>
      <c r="C1134" s="15"/>
      <c r="D1134" s="15"/>
      <c r="E1134" s="15"/>
    </row>
    <row r="1135" spans="2:5" x14ac:dyDescent="0.2">
      <c r="B1135" s="15"/>
      <c r="C1135" s="15"/>
      <c r="D1135" s="15"/>
      <c r="E1135" s="15"/>
    </row>
    <row r="1136" spans="2:5" x14ac:dyDescent="0.2">
      <c r="B1136" s="15"/>
      <c r="C1136" s="15"/>
      <c r="D1136" s="15"/>
      <c r="E1136" s="15"/>
    </row>
    <row r="1137" spans="2:5" x14ac:dyDescent="0.2">
      <c r="B1137" s="15"/>
      <c r="C1137" s="15"/>
      <c r="D1137" s="15"/>
      <c r="E1137" s="15"/>
    </row>
    <row r="1138" spans="2:5" x14ac:dyDescent="0.2">
      <c r="B1138" s="15"/>
      <c r="C1138" s="15"/>
      <c r="D1138" s="15"/>
      <c r="E1138" s="15"/>
    </row>
    <row r="1139" spans="2:5" x14ac:dyDescent="0.2">
      <c r="B1139" s="15"/>
      <c r="C1139" s="15"/>
      <c r="D1139" s="15"/>
      <c r="E1139" s="15"/>
    </row>
    <row r="1140" spans="2:5" x14ac:dyDescent="0.2">
      <c r="B1140" s="15"/>
      <c r="C1140" s="15"/>
      <c r="D1140" s="15"/>
      <c r="E1140" s="15"/>
    </row>
    <row r="1141" spans="2:5" x14ac:dyDescent="0.2">
      <c r="B1141" s="15"/>
      <c r="C1141" s="15"/>
      <c r="D1141" s="15"/>
      <c r="E1141" s="15"/>
    </row>
    <row r="1142" spans="2:5" x14ac:dyDescent="0.2">
      <c r="B1142" s="15"/>
      <c r="C1142" s="15"/>
      <c r="D1142" s="15"/>
      <c r="E1142" s="15"/>
    </row>
    <row r="1143" spans="2:5" x14ac:dyDescent="0.2">
      <c r="B1143" s="15"/>
      <c r="C1143" s="15"/>
      <c r="D1143" s="15"/>
      <c r="E1143" s="15"/>
    </row>
    <row r="1144" spans="2:5" x14ac:dyDescent="0.2">
      <c r="B1144" s="15"/>
      <c r="C1144" s="15"/>
      <c r="D1144" s="15"/>
      <c r="E1144" s="15"/>
    </row>
    <row r="1145" spans="2:5" x14ac:dyDescent="0.2">
      <c r="B1145" s="15"/>
      <c r="C1145" s="15"/>
      <c r="D1145" s="15"/>
      <c r="E1145" s="15"/>
    </row>
    <row r="1146" spans="2:5" x14ac:dyDescent="0.2">
      <c r="B1146" s="15"/>
      <c r="C1146" s="15"/>
      <c r="D1146" s="15"/>
      <c r="E1146" s="15"/>
    </row>
    <row r="1147" spans="2:5" x14ac:dyDescent="0.2">
      <c r="B1147" s="15"/>
      <c r="C1147" s="15"/>
      <c r="D1147" s="15"/>
      <c r="E1147" s="15"/>
    </row>
    <row r="1148" spans="2:5" x14ac:dyDescent="0.2">
      <c r="B1148" s="15"/>
      <c r="C1148" s="15"/>
      <c r="D1148" s="15"/>
      <c r="E1148" s="15"/>
    </row>
    <row r="1149" spans="2:5" x14ac:dyDescent="0.2">
      <c r="B1149" s="15"/>
      <c r="C1149" s="15"/>
      <c r="D1149" s="15"/>
      <c r="E1149" s="15"/>
    </row>
    <row r="1150" spans="2:5" x14ac:dyDescent="0.2">
      <c r="B1150" s="15"/>
      <c r="C1150" s="15"/>
      <c r="D1150" s="15"/>
      <c r="E1150" s="15"/>
    </row>
    <row r="1151" spans="2:5" x14ac:dyDescent="0.2">
      <c r="B1151" s="15"/>
      <c r="C1151" s="15"/>
      <c r="D1151" s="15"/>
      <c r="E1151" s="15"/>
    </row>
    <row r="1152" spans="2:5" x14ac:dyDescent="0.2">
      <c r="B1152" s="15"/>
      <c r="C1152" s="15"/>
      <c r="D1152" s="15"/>
      <c r="E1152" s="15"/>
    </row>
    <row r="1153" spans="2:5" x14ac:dyDescent="0.2">
      <c r="B1153" s="15"/>
      <c r="C1153" s="15"/>
      <c r="D1153" s="15"/>
      <c r="E1153" s="15"/>
    </row>
    <row r="1154" spans="2:5" x14ac:dyDescent="0.2">
      <c r="B1154" s="15"/>
      <c r="C1154" s="15"/>
      <c r="D1154" s="15"/>
      <c r="E1154" s="15"/>
    </row>
    <row r="1155" spans="2:5" x14ac:dyDescent="0.2">
      <c r="B1155" s="15"/>
      <c r="C1155" s="15"/>
      <c r="D1155" s="15"/>
      <c r="E1155" s="15"/>
    </row>
    <row r="1156" spans="2:5" x14ac:dyDescent="0.2">
      <c r="B1156" s="15"/>
      <c r="C1156" s="15"/>
      <c r="D1156" s="15"/>
      <c r="E1156" s="15"/>
    </row>
    <row r="1157" spans="2:5" x14ac:dyDescent="0.2">
      <c r="B1157" s="15"/>
      <c r="C1157" s="15"/>
      <c r="D1157" s="15"/>
      <c r="E1157" s="15"/>
    </row>
    <row r="1158" spans="2:5" x14ac:dyDescent="0.2">
      <c r="B1158" s="15"/>
      <c r="C1158" s="15"/>
      <c r="D1158" s="15"/>
      <c r="E1158" s="15"/>
    </row>
    <row r="1159" spans="2:5" x14ac:dyDescent="0.2">
      <c r="B1159" s="15"/>
      <c r="C1159" s="15"/>
      <c r="D1159" s="15"/>
      <c r="E1159" s="15"/>
    </row>
    <row r="1160" spans="2:5" x14ac:dyDescent="0.2">
      <c r="B1160" s="15"/>
      <c r="C1160" s="15"/>
      <c r="D1160" s="15"/>
      <c r="E1160" s="15"/>
    </row>
    <row r="1161" spans="2:5" x14ac:dyDescent="0.2">
      <c r="B1161" s="15"/>
      <c r="C1161" s="15"/>
      <c r="D1161" s="15"/>
      <c r="E1161" s="15"/>
    </row>
    <row r="1162" spans="2:5" x14ac:dyDescent="0.2">
      <c r="B1162" s="15"/>
      <c r="C1162" s="15"/>
      <c r="D1162" s="15"/>
      <c r="E1162" s="15"/>
    </row>
    <row r="1163" spans="2:5" x14ac:dyDescent="0.2">
      <c r="B1163" s="15"/>
      <c r="C1163" s="15"/>
      <c r="D1163" s="15"/>
      <c r="E1163" s="15"/>
    </row>
    <row r="1164" spans="2:5" x14ac:dyDescent="0.2">
      <c r="B1164" s="15"/>
      <c r="C1164" s="15"/>
      <c r="D1164" s="15"/>
      <c r="E1164" s="15"/>
    </row>
    <row r="1165" spans="2:5" x14ac:dyDescent="0.2">
      <c r="B1165" s="15"/>
      <c r="C1165" s="15"/>
      <c r="D1165" s="15"/>
      <c r="E1165" s="15"/>
    </row>
    <row r="1166" spans="2:5" x14ac:dyDescent="0.2">
      <c r="B1166" s="15"/>
      <c r="C1166" s="15"/>
      <c r="D1166" s="15"/>
      <c r="E1166" s="15"/>
    </row>
    <row r="1167" spans="2:5" x14ac:dyDescent="0.2">
      <c r="B1167" s="15"/>
      <c r="C1167" s="15"/>
      <c r="D1167" s="15"/>
      <c r="E1167" s="15"/>
    </row>
    <row r="1168" spans="2:5" x14ac:dyDescent="0.2">
      <c r="B1168" s="15"/>
      <c r="C1168" s="15"/>
      <c r="D1168" s="15"/>
      <c r="E1168" s="15"/>
    </row>
    <row r="1169" spans="2:5" x14ac:dyDescent="0.2">
      <c r="B1169" s="15"/>
      <c r="C1169" s="15"/>
      <c r="D1169" s="15"/>
      <c r="E1169" s="15"/>
    </row>
    <row r="1170" spans="2:5" x14ac:dyDescent="0.2">
      <c r="B1170" s="15"/>
      <c r="C1170" s="15"/>
      <c r="D1170" s="15"/>
      <c r="E1170" s="15"/>
    </row>
    <row r="1171" spans="2:5" x14ac:dyDescent="0.2">
      <c r="B1171" s="15"/>
      <c r="C1171" s="15"/>
      <c r="D1171" s="15"/>
      <c r="E1171" s="15"/>
    </row>
    <row r="1172" spans="2:5" x14ac:dyDescent="0.2">
      <c r="B1172" s="15"/>
      <c r="C1172" s="15"/>
      <c r="D1172" s="15"/>
      <c r="E1172" s="15"/>
    </row>
    <row r="1173" spans="2:5" x14ac:dyDescent="0.2">
      <c r="B1173" s="15"/>
      <c r="C1173" s="15"/>
      <c r="D1173" s="15"/>
      <c r="E1173" s="15"/>
    </row>
    <row r="1174" spans="2:5" x14ac:dyDescent="0.2">
      <c r="B1174" s="15"/>
      <c r="C1174" s="15"/>
      <c r="D1174" s="15"/>
      <c r="E1174" s="15"/>
    </row>
    <row r="1175" spans="2:5" x14ac:dyDescent="0.2">
      <c r="B1175" s="15"/>
      <c r="C1175" s="15"/>
      <c r="D1175" s="15"/>
      <c r="E1175" s="15"/>
    </row>
    <row r="1176" spans="2:5" x14ac:dyDescent="0.2">
      <c r="B1176" s="15"/>
      <c r="C1176" s="15"/>
      <c r="D1176" s="15"/>
      <c r="E1176" s="15"/>
    </row>
    <row r="1177" spans="2:5" x14ac:dyDescent="0.2">
      <c r="B1177" s="15"/>
      <c r="C1177" s="15"/>
      <c r="D1177" s="15"/>
      <c r="E1177" s="15"/>
    </row>
    <row r="1178" spans="2:5" x14ac:dyDescent="0.2">
      <c r="B1178" s="15"/>
      <c r="C1178" s="15"/>
      <c r="D1178" s="15"/>
      <c r="E1178" s="15"/>
    </row>
    <row r="1179" spans="2:5" x14ac:dyDescent="0.2">
      <c r="B1179" s="15"/>
      <c r="C1179" s="15"/>
      <c r="D1179" s="15"/>
      <c r="E1179" s="15"/>
    </row>
    <row r="1180" spans="2:5" x14ac:dyDescent="0.2">
      <c r="B1180" s="15"/>
      <c r="C1180" s="15"/>
      <c r="D1180" s="15"/>
      <c r="E1180" s="15"/>
    </row>
    <row r="1181" spans="2:5" x14ac:dyDescent="0.2">
      <c r="B1181" s="15"/>
      <c r="C1181" s="15"/>
      <c r="D1181" s="15"/>
      <c r="E1181" s="15"/>
    </row>
    <row r="1182" spans="2:5" x14ac:dyDescent="0.2">
      <c r="B1182" s="15"/>
      <c r="C1182" s="15"/>
      <c r="D1182" s="15"/>
      <c r="E1182" s="15"/>
    </row>
    <row r="1183" spans="2:5" x14ac:dyDescent="0.2">
      <c r="B1183" s="15"/>
      <c r="C1183" s="15"/>
      <c r="D1183" s="15"/>
      <c r="E1183" s="15"/>
    </row>
    <row r="1184" spans="2:5" x14ac:dyDescent="0.2">
      <c r="B1184" s="15"/>
      <c r="C1184" s="15"/>
      <c r="D1184" s="15"/>
      <c r="E1184" s="15"/>
    </row>
    <row r="1185" spans="2:5" x14ac:dyDescent="0.2">
      <c r="B1185" s="15"/>
      <c r="C1185" s="15"/>
      <c r="D1185" s="15"/>
      <c r="E1185" s="15"/>
    </row>
    <row r="1186" spans="2:5" x14ac:dyDescent="0.2">
      <c r="B1186" s="15"/>
      <c r="C1186" s="15"/>
      <c r="D1186" s="15"/>
      <c r="E1186" s="15"/>
    </row>
    <row r="1187" spans="2:5" x14ac:dyDescent="0.2">
      <c r="B1187" s="15"/>
      <c r="C1187" s="15"/>
      <c r="D1187" s="15"/>
      <c r="E1187" s="15"/>
    </row>
    <row r="1188" spans="2:5" x14ac:dyDescent="0.2">
      <c r="B1188" s="15"/>
      <c r="C1188" s="15"/>
      <c r="D1188" s="15"/>
      <c r="E1188" s="15"/>
    </row>
    <row r="1189" spans="2:5" x14ac:dyDescent="0.2">
      <c r="B1189" s="15"/>
      <c r="C1189" s="15"/>
      <c r="D1189" s="15"/>
      <c r="E1189" s="15"/>
    </row>
    <row r="1190" spans="2:5" x14ac:dyDescent="0.2">
      <c r="B1190" s="15"/>
      <c r="C1190" s="15"/>
      <c r="D1190" s="15"/>
      <c r="E1190" s="15"/>
    </row>
    <row r="1191" spans="2:5" x14ac:dyDescent="0.2">
      <c r="B1191" s="15"/>
      <c r="C1191" s="15"/>
      <c r="D1191" s="15"/>
      <c r="E1191" s="15"/>
    </row>
    <row r="1192" spans="2:5" x14ac:dyDescent="0.2">
      <c r="B1192" s="15"/>
      <c r="C1192" s="15"/>
      <c r="D1192" s="15"/>
      <c r="E1192" s="15"/>
    </row>
    <row r="1193" spans="2:5" x14ac:dyDescent="0.2">
      <c r="B1193" s="15"/>
      <c r="C1193" s="15"/>
      <c r="D1193" s="15"/>
      <c r="E1193" s="15"/>
    </row>
    <row r="1194" spans="2:5" x14ac:dyDescent="0.2">
      <c r="B1194" s="15"/>
      <c r="C1194" s="15"/>
      <c r="D1194" s="15"/>
      <c r="E1194" s="15"/>
    </row>
    <row r="1195" spans="2:5" x14ac:dyDescent="0.2">
      <c r="B1195" s="15"/>
      <c r="C1195" s="15"/>
      <c r="D1195" s="15"/>
      <c r="E1195" s="15"/>
    </row>
    <row r="1196" spans="2:5" x14ac:dyDescent="0.2">
      <c r="B1196" s="15"/>
      <c r="C1196" s="15"/>
      <c r="D1196" s="15"/>
      <c r="E1196" s="15"/>
    </row>
    <row r="1197" spans="2:5" x14ac:dyDescent="0.2">
      <c r="B1197" s="15"/>
      <c r="C1197" s="15"/>
      <c r="D1197" s="15"/>
      <c r="E1197" s="15"/>
    </row>
    <row r="1198" spans="2:5" x14ac:dyDescent="0.2">
      <c r="B1198" s="15"/>
      <c r="C1198" s="15"/>
      <c r="D1198" s="15"/>
      <c r="E1198" s="15"/>
    </row>
    <row r="1199" spans="2:5" x14ac:dyDescent="0.2">
      <c r="B1199" s="15"/>
      <c r="C1199" s="15"/>
      <c r="D1199" s="15"/>
      <c r="E1199" s="15"/>
    </row>
    <row r="1200" spans="2:5" x14ac:dyDescent="0.2">
      <c r="B1200" s="15"/>
      <c r="C1200" s="15"/>
      <c r="D1200" s="15"/>
      <c r="E1200" s="15"/>
    </row>
    <row r="1201" spans="2:5" x14ac:dyDescent="0.2">
      <c r="B1201" s="15"/>
      <c r="C1201" s="15"/>
      <c r="D1201" s="15"/>
      <c r="E1201" s="15"/>
    </row>
    <row r="1202" spans="2:5" x14ac:dyDescent="0.2">
      <c r="B1202" s="15"/>
      <c r="C1202" s="15"/>
      <c r="D1202" s="15"/>
      <c r="E1202" s="15"/>
    </row>
    <row r="1203" spans="2:5" x14ac:dyDescent="0.2">
      <c r="B1203" s="15"/>
      <c r="C1203" s="15"/>
      <c r="D1203" s="15"/>
      <c r="E1203" s="15"/>
    </row>
    <row r="1204" spans="2:5" x14ac:dyDescent="0.2">
      <c r="B1204" s="15"/>
      <c r="C1204" s="15"/>
      <c r="D1204" s="15"/>
      <c r="E1204" s="15"/>
    </row>
    <row r="1205" spans="2:5" x14ac:dyDescent="0.2">
      <c r="B1205" s="15"/>
      <c r="C1205" s="15"/>
      <c r="D1205" s="15"/>
      <c r="E1205" s="15"/>
    </row>
    <row r="1206" spans="2:5" x14ac:dyDescent="0.2">
      <c r="B1206" s="15"/>
      <c r="C1206" s="15"/>
      <c r="D1206" s="15"/>
      <c r="E1206" s="15"/>
    </row>
    <row r="1207" spans="2:5" x14ac:dyDescent="0.2">
      <c r="B1207" s="15"/>
      <c r="C1207" s="15"/>
      <c r="D1207" s="15"/>
      <c r="E1207" s="15"/>
    </row>
    <row r="1208" spans="2:5" x14ac:dyDescent="0.2">
      <c r="B1208" s="15"/>
      <c r="C1208" s="15"/>
      <c r="D1208" s="15"/>
      <c r="E1208" s="15"/>
    </row>
    <row r="1209" spans="2:5" x14ac:dyDescent="0.2">
      <c r="B1209" s="15"/>
      <c r="C1209" s="15"/>
      <c r="D1209" s="15"/>
      <c r="E1209" s="15"/>
    </row>
    <row r="1210" spans="2:5" x14ac:dyDescent="0.2">
      <c r="B1210" s="15"/>
      <c r="C1210" s="15"/>
      <c r="D1210" s="15"/>
      <c r="E1210" s="15"/>
    </row>
    <row r="1211" spans="2:5" x14ac:dyDescent="0.2">
      <c r="B1211" s="15"/>
      <c r="C1211" s="15"/>
      <c r="D1211" s="15"/>
      <c r="E1211" s="15"/>
    </row>
    <row r="1212" spans="2:5" x14ac:dyDescent="0.2">
      <c r="B1212" s="15"/>
      <c r="C1212" s="15"/>
      <c r="D1212" s="15"/>
      <c r="E1212" s="15"/>
    </row>
    <row r="1213" spans="2:5" x14ac:dyDescent="0.2">
      <c r="B1213" s="15"/>
      <c r="C1213" s="15"/>
      <c r="D1213" s="15"/>
      <c r="E1213" s="15"/>
    </row>
    <row r="1214" spans="2:5" x14ac:dyDescent="0.2">
      <c r="B1214" s="15"/>
      <c r="C1214" s="15"/>
      <c r="D1214" s="15"/>
      <c r="E1214" s="15"/>
    </row>
    <row r="1215" spans="2:5" x14ac:dyDescent="0.2">
      <c r="B1215" s="15"/>
      <c r="C1215" s="15"/>
      <c r="D1215" s="15"/>
      <c r="E1215" s="15"/>
    </row>
    <row r="1216" spans="2:5" x14ac:dyDescent="0.2">
      <c r="B1216" s="15"/>
      <c r="C1216" s="15"/>
      <c r="D1216" s="15"/>
      <c r="E1216" s="15"/>
    </row>
    <row r="1217" spans="2:5" x14ac:dyDescent="0.2">
      <c r="B1217" s="15"/>
      <c r="C1217" s="15"/>
      <c r="D1217" s="15"/>
      <c r="E1217" s="15"/>
    </row>
    <row r="1218" spans="2:5" x14ac:dyDescent="0.2">
      <c r="B1218" s="15"/>
      <c r="C1218" s="15"/>
      <c r="D1218" s="15"/>
      <c r="E1218" s="15"/>
    </row>
    <row r="1219" spans="2:5" x14ac:dyDescent="0.2">
      <c r="B1219" s="15"/>
      <c r="C1219" s="15"/>
      <c r="D1219" s="15"/>
      <c r="E1219" s="15"/>
    </row>
    <row r="1220" spans="2:5" x14ac:dyDescent="0.2">
      <c r="B1220" s="15"/>
      <c r="C1220" s="15"/>
      <c r="D1220" s="15"/>
      <c r="E1220" s="15"/>
    </row>
    <row r="1221" spans="2:5" x14ac:dyDescent="0.2">
      <c r="B1221" s="15"/>
      <c r="C1221" s="15"/>
      <c r="D1221" s="15"/>
      <c r="E1221" s="15"/>
    </row>
    <row r="1222" spans="2:5" x14ac:dyDescent="0.2">
      <c r="B1222" s="15"/>
      <c r="C1222" s="15"/>
      <c r="D1222" s="15"/>
      <c r="E1222" s="15"/>
    </row>
    <row r="1223" spans="2:5" x14ac:dyDescent="0.2">
      <c r="B1223" s="15"/>
      <c r="C1223" s="15"/>
      <c r="D1223" s="15"/>
      <c r="E1223" s="15"/>
    </row>
    <row r="1224" spans="2:5" x14ac:dyDescent="0.2">
      <c r="B1224" s="15"/>
      <c r="C1224" s="15"/>
      <c r="D1224" s="15"/>
      <c r="E1224" s="15"/>
    </row>
    <row r="1225" spans="2:5" x14ac:dyDescent="0.2">
      <c r="B1225" s="15"/>
      <c r="C1225" s="15"/>
      <c r="D1225" s="15"/>
      <c r="E1225" s="15"/>
    </row>
    <row r="1226" spans="2:5" x14ac:dyDescent="0.2">
      <c r="B1226" s="15"/>
      <c r="C1226" s="15"/>
      <c r="D1226" s="15"/>
      <c r="E1226" s="15"/>
    </row>
    <row r="1227" spans="2:5" x14ac:dyDescent="0.2">
      <c r="B1227" s="15"/>
      <c r="C1227" s="15"/>
      <c r="D1227" s="15"/>
      <c r="E1227" s="15"/>
    </row>
    <row r="1228" spans="2:5" x14ac:dyDescent="0.2">
      <c r="B1228" s="15"/>
      <c r="C1228" s="15"/>
      <c r="D1228" s="15"/>
      <c r="E1228" s="15"/>
    </row>
    <row r="1229" spans="2:5" x14ac:dyDescent="0.2">
      <c r="B1229" s="15"/>
      <c r="C1229" s="15"/>
      <c r="D1229" s="15"/>
      <c r="E1229" s="15"/>
    </row>
    <row r="1230" spans="2:5" x14ac:dyDescent="0.2">
      <c r="B1230" s="15"/>
      <c r="C1230" s="15"/>
      <c r="D1230" s="15"/>
      <c r="E1230" s="15"/>
    </row>
    <row r="1231" spans="2:5" x14ac:dyDescent="0.2">
      <c r="B1231" s="15"/>
      <c r="C1231" s="15"/>
      <c r="D1231" s="15"/>
      <c r="E1231" s="15"/>
    </row>
    <row r="1232" spans="2:5" x14ac:dyDescent="0.2">
      <c r="B1232" s="15"/>
      <c r="C1232" s="15"/>
      <c r="D1232" s="15"/>
      <c r="E1232" s="15"/>
    </row>
    <row r="1233" spans="2:5" x14ac:dyDescent="0.2">
      <c r="B1233" s="15"/>
      <c r="C1233" s="15"/>
      <c r="D1233" s="15"/>
      <c r="E1233" s="15"/>
    </row>
    <row r="1234" spans="2:5" x14ac:dyDescent="0.2">
      <c r="B1234" s="15"/>
      <c r="C1234" s="15"/>
      <c r="D1234" s="15"/>
      <c r="E1234" s="15"/>
    </row>
    <row r="1235" spans="2:5" x14ac:dyDescent="0.2">
      <c r="B1235" s="15"/>
      <c r="C1235" s="15"/>
      <c r="D1235" s="15"/>
      <c r="E1235" s="15"/>
    </row>
    <row r="1236" spans="2:5" x14ac:dyDescent="0.2">
      <c r="B1236" s="15"/>
      <c r="C1236" s="15"/>
      <c r="D1236" s="15"/>
      <c r="E1236" s="15"/>
    </row>
    <row r="1237" spans="2:5" x14ac:dyDescent="0.2">
      <c r="B1237" s="15"/>
      <c r="C1237" s="15"/>
      <c r="D1237" s="15"/>
      <c r="E1237" s="15"/>
    </row>
    <row r="1238" spans="2:5" x14ac:dyDescent="0.2">
      <c r="B1238" s="15"/>
      <c r="C1238" s="15"/>
      <c r="D1238" s="15"/>
      <c r="E1238" s="15"/>
    </row>
    <row r="1239" spans="2:5" x14ac:dyDescent="0.2">
      <c r="B1239" s="15"/>
      <c r="C1239" s="15"/>
      <c r="D1239" s="15"/>
      <c r="E1239" s="15"/>
    </row>
    <row r="1240" spans="2:5" x14ac:dyDescent="0.2">
      <c r="B1240" s="15"/>
      <c r="C1240" s="15"/>
      <c r="D1240" s="15"/>
      <c r="E1240" s="15"/>
    </row>
    <row r="1241" spans="2:5" x14ac:dyDescent="0.2">
      <c r="B1241" s="15"/>
      <c r="C1241" s="15"/>
      <c r="D1241" s="15"/>
      <c r="E1241" s="15"/>
    </row>
    <row r="1242" spans="2:5" x14ac:dyDescent="0.2">
      <c r="B1242" s="15"/>
      <c r="C1242" s="15"/>
      <c r="D1242" s="15"/>
      <c r="E1242" s="15"/>
    </row>
    <row r="1243" spans="2:5" x14ac:dyDescent="0.2">
      <c r="B1243" s="15"/>
      <c r="C1243" s="15"/>
      <c r="D1243" s="15"/>
      <c r="E1243" s="15"/>
    </row>
    <row r="1244" spans="2:5" x14ac:dyDescent="0.2">
      <c r="B1244" s="15"/>
      <c r="C1244" s="15"/>
      <c r="D1244" s="15"/>
      <c r="E1244" s="15"/>
    </row>
    <row r="1245" spans="2:5" x14ac:dyDescent="0.2">
      <c r="B1245" s="15"/>
      <c r="C1245" s="15"/>
      <c r="D1245" s="15"/>
      <c r="E1245" s="15"/>
    </row>
    <row r="1246" spans="2:5" x14ac:dyDescent="0.2">
      <c r="B1246" s="15"/>
      <c r="C1246" s="15"/>
      <c r="D1246" s="15"/>
      <c r="E1246" s="15"/>
    </row>
    <row r="1247" spans="2:5" x14ac:dyDescent="0.2">
      <c r="B1247" s="15"/>
      <c r="C1247" s="15"/>
      <c r="D1247" s="15"/>
      <c r="E1247" s="15"/>
    </row>
    <row r="1248" spans="2:5" x14ac:dyDescent="0.2">
      <c r="B1248" s="15"/>
      <c r="C1248" s="15"/>
      <c r="D1248" s="15"/>
      <c r="E1248" s="15"/>
    </row>
    <row r="1249" spans="2:5" x14ac:dyDescent="0.2">
      <c r="B1249" s="15"/>
      <c r="C1249" s="15"/>
      <c r="D1249" s="15"/>
      <c r="E1249" s="15"/>
    </row>
    <row r="1250" spans="2:5" x14ac:dyDescent="0.2">
      <c r="B1250" s="15"/>
      <c r="C1250" s="15"/>
      <c r="D1250" s="15"/>
      <c r="E1250" s="15"/>
    </row>
    <row r="1251" spans="2:5" x14ac:dyDescent="0.2">
      <c r="B1251" s="15"/>
      <c r="C1251" s="15"/>
      <c r="D1251" s="15"/>
      <c r="E1251" s="15"/>
    </row>
    <row r="1252" spans="2:5" x14ac:dyDescent="0.2">
      <c r="B1252" s="15"/>
      <c r="C1252" s="15"/>
      <c r="D1252" s="15"/>
      <c r="E1252" s="15"/>
    </row>
    <row r="1253" spans="2:5" x14ac:dyDescent="0.2">
      <c r="B1253" s="15"/>
      <c r="C1253" s="15"/>
      <c r="D1253" s="15"/>
      <c r="E1253" s="15"/>
    </row>
    <row r="1254" spans="2:5" x14ac:dyDescent="0.2">
      <c r="B1254" s="15"/>
      <c r="C1254" s="15"/>
      <c r="D1254" s="15"/>
      <c r="E1254" s="15"/>
    </row>
    <row r="1255" spans="2:5" x14ac:dyDescent="0.2">
      <c r="B1255" s="15"/>
      <c r="C1255" s="15"/>
      <c r="D1255" s="15"/>
      <c r="E1255" s="15"/>
    </row>
    <row r="1256" spans="2:5" x14ac:dyDescent="0.2">
      <c r="B1256" s="15"/>
      <c r="C1256" s="15"/>
      <c r="D1256" s="15"/>
      <c r="E1256" s="15"/>
    </row>
    <row r="1257" spans="2:5" x14ac:dyDescent="0.2">
      <c r="B1257" s="15"/>
      <c r="C1257" s="15"/>
      <c r="D1257" s="15"/>
      <c r="E1257" s="15"/>
    </row>
    <row r="1258" spans="2:5" x14ac:dyDescent="0.2">
      <c r="B1258" s="15"/>
      <c r="C1258" s="15"/>
      <c r="D1258" s="15"/>
      <c r="E1258" s="15"/>
    </row>
    <row r="1259" spans="2:5" x14ac:dyDescent="0.2">
      <c r="B1259" s="15"/>
      <c r="C1259" s="15"/>
      <c r="D1259" s="15"/>
      <c r="E1259" s="15"/>
    </row>
    <row r="1260" spans="2:5" x14ac:dyDescent="0.2">
      <c r="B1260" s="15"/>
      <c r="C1260" s="15"/>
      <c r="D1260" s="15"/>
      <c r="E1260" s="15"/>
    </row>
    <row r="1261" spans="2:5" x14ac:dyDescent="0.2">
      <c r="B1261" s="15"/>
      <c r="C1261" s="15"/>
      <c r="D1261" s="15"/>
      <c r="E1261" s="15"/>
    </row>
    <row r="1262" spans="2:5" x14ac:dyDescent="0.2">
      <c r="B1262" s="15"/>
      <c r="C1262" s="15"/>
      <c r="D1262" s="15"/>
      <c r="E1262" s="15"/>
    </row>
    <row r="1263" spans="2:5" x14ac:dyDescent="0.2">
      <c r="B1263" s="15"/>
      <c r="C1263" s="15"/>
      <c r="D1263" s="15"/>
      <c r="E1263" s="15"/>
    </row>
    <row r="1264" spans="2:5" x14ac:dyDescent="0.2">
      <c r="B1264" s="15"/>
      <c r="C1264" s="15"/>
      <c r="D1264" s="15"/>
      <c r="E1264" s="15"/>
    </row>
    <row r="1265" spans="2:5" x14ac:dyDescent="0.2">
      <c r="B1265" s="15"/>
      <c r="C1265" s="15"/>
      <c r="D1265" s="15"/>
      <c r="E1265" s="15"/>
    </row>
    <row r="1266" spans="2:5" x14ac:dyDescent="0.2">
      <c r="B1266" s="15"/>
      <c r="C1266" s="15"/>
      <c r="D1266" s="15"/>
      <c r="E1266" s="15"/>
    </row>
    <row r="1267" spans="2:5" x14ac:dyDescent="0.2">
      <c r="B1267" s="15"/>
      <c r="C1267" s="15"/>
      <c r="D1267" s="15"/>
      <c r="E1267" s="15"/>
    </row>
    <row r="1268" spans="2:5" x14ac:dyDescent="0.2">
      <c r="B1268" s="15"/>
      <c r="C1268" s="15"/>
      <c r="D1268" s="15"/>
      <c r="E1268" s="15"/>
    </row>
    <row r="1269" spans="2:5" x14ac:dyDescent="0.2">
      <c r="B1269" s="15"/>
      <c r="C1269" s="15"/>
      <c r="D1269" s="15"/>
      <c r="E1269" s="15"/>
    </row>
    <row r="1270" spans="2:5" x14ac:dyDescent="0.2">
      <c r="B1270" s="15"/>
      <c r="C1270" s="15"/>
      <c r="D1270" s="15"/>
      <c r="E1270" s="15"/>
    </row>
    <row r="1271" spans="2:5" x14ac:dyDescent="0.2">
      <c r="B1271" s="15"/>
      <c r="C1271" s="15"/>
      <c r="D1271" s="15"/>
      <c r="E1271" s="15"/>
    </row>
    <row r="1272" spans="2:5" x14ac:dyDescent="0.2">
      <c r="B1272" s="15"/>
      <c r="C1272" s="15"/>
      <c r="D1272" s="15"/>
      <c r="E1272" s="15"/>
    </row>
    <row r="1273" spans="2:5" x14ac:dyDescent="0.2">
      <c r="B1273" s="15"/>
      <c r="C1273" s="15"/>
      <c r="D1273" s="15"/>
      <c r="E1273" s="15"/>
    </row>
    <row r="1274" spans="2:5" x14ac:dyDescent="0.2">
      <c r="B1274" s="15"/>
      <c r="C1274" s="15"/>
      <c r="D1274" s="15"/>
      <c r="E1274" s="15"/>
    </row>
    <row r="1275" spans="2:5" x14ac:dyDescent="0.2">
      <c r="B1275" s="15"/>
      <c r="C1275" s="15"/>
      <c r="D1275" s="15"/>
      <c r="E1275" s="15"/>
    </row>
    <row r="1276" spans="2:5" x14ac:dyDescent="0.2">
      <c r="B1276" s="15"/>
      <c r="C1276" s="15"/>
      <c r="D1276" s="15"/>
      <c r="E1276" s="15"/>
    </row>
    <row r="1277" spans="2:5" x14ac:dyDescent="0.2">
      <c r="B1277" s="15"/>
      <c r="C1277" s="15"/>
      <c r="D1277" s="15"/>
      <c r="E1277" s="15"/>
    </row>
    <row r="1278" spans="2:5" x14ac:dyDescent="0.2">
      <c r="B1278" s="15"/>
      <c r="C1278" s="15"/>
      <c r="D1278" s="15"/>
      <c r="E1278" s="15"/>
    </row>
    <row r="1279" spans="2:5" x14ac:dyDescent="0.2">
      <c r="B1279" s="15"/>
      <c r="C1279" s="15"/>
      <c r="D1279" s="15"/>
      <c r="E1279" s="15"/>
    </row>
    <row r="1280" spans="2:5" x14ac:dyDescent="0.2">
      <c r="B1280" s="15"/>
      <c r="C1280" s="15"/>
      <c r="D1280" s="15"/>
      <c r="E1280" s="15"/>
    </row>
    <row r="1281" spans="2:5" x14ac:dyDescent="0.2">
      <c r="B1281" s="15"/>
      <c r="C1281" s="15"/>
      <c r="D1281" s="15"/>
      <c r="E1281" s="15"/>
    </row>
    <row r="1282" spans="2:5" x14ac:dyDescent="0.2">
      <c r="B1282" s="15"/>
      <c r="C1282" s="15"/>
      <c r="D1282" s="15"/>
      <c r="E1282" s="15"/>
    </row>
    <row r="1283" spans="2:5" x14ac:dyDescent="0.2">
      <c r="B1283" s="15"/>
      <c r="C1283" s="15"/>
      <c r="D1283" s="15"/>
      <c r="E1283" s="15"/>
    </row>
    <row r="1284" spans="2:5" x14ac:dyDescent="0.2">
      <c r="B1284" s="15"/>
      <c r="C1284" s="15"/>
      <c r="D1284" s="15"/>
      <c r="E1284" s="15"/>
    </row>
    <row r="1285" spans="2:5" x14ac:dyDescent="0.2">
      <c r="B1285" s="15"/>
      <c r="C1285" s="15"/>
      <c r="D1285" s="15"/>
      <c r="E1285" s="15"/>
    </row>
    <row r="1286" spans="2:5" x14ac:dyDescent="0.2">
      <c r="B1286" s="15"/>
      <c r="C1286" s="15"/>
      <c r="D1286" s="15"/>
      <c r="E1286" s="15"/>
    </row>
    <row r="1287" spans="2:5" x14ac:dyDescent="0.2">
      <c r="B1287" s="15"/>
      <c r="C1287" s="15"/>
      <c r="D1287" s="15"/>
      <c r="E1287" s="15"/>
    </row>
    <row r="1288" spans="2:5" x14ac:dyDescent="0.2">
      <c r="B1288" s="15"/>
      <c r="C1288" s="15"/>
      <c r="D1288" s="15"/>
      <c r="E1288" s="15"/>
    </row>
    <row r="1289" spans="2:5" x14ac:dyDescent="0.2">
      <c r="B1289" s="15"/>
      <c r="C1289" s="15"/>
      <c r="D1289" s="15"/>
      <c r="E1289" s="15"/>
    </row>
    <row r="1290" spans="2:5" x14ac:dyDescent="0.2">
      <c r="B1290" s="15"/>
      <c r="C1290" s="15"/>
      <c r="D1290" s="15"/>
      <c r="E1290" s="15"/>
    </row>
    <row r="1291" spans="2:5" x14ac:dyDescent="0.2">
      <c r="B1291" s="15"/>
      <c r="C1291" s="15"/>
      <c r="D1291" s="15"/>
      <c r="E1291" s="15"/>
    </row>
    <row r="1292" spans="2:5" x14ac:dyDescent="0.2">
      <c r="B1292" s="15"/>
      <c r="C1292" s="15"/>
      <c r="D1292" s="15"/>
      <c r="E1292" s="15"/>
    </row>
    <row r="1293" spans="2:5" x14ac:dyDescent="0.2">
      <c r="B1293" s="15"/>
      <c r="C1293" s="15"/>
      <c r="D1293" s="15"/>
      <c r="E1293" s="15"/>
    </row>
    <row r="1294" spans="2:5" x14ac:dyDescent="0.2">
      <c r="B1294" s="15"/>
      <c r="C1294" s="15"/>
      <c r="D1294" s="15"/>
      <c r="E1294" s="15"/>
    </row>
    <row r="1295" spans="2:5" x14ac:dyDescent="0.2">
      <c r="B1295" s="15"/>
      <c r="C1295" s="15"/>
      <c r="D1295" s="15"/>
      <c r="E1295" s="15"/>
    </row>
    <row r="1296" spans="2:5" x14ac:dyDescent="0.2">
      <c r="B1296" s="15"/>
      <c r="C1296" s="15"/>
      <c r="D1296" s="15"/>
      <c r="E1296" s="15"/>
    </row>
    <row r="1297" spans="2:5" x14ac:dyDescent="0.2">
      <c r="B1297" s="15"/>
      <c r="C1297" s="15"/>
      <c r="D1297" s="15"/>
      <c r="E1297" s="15"/>
    </row>
    <row r="1298" spans="2:5" x14ac:dyDescent="0.2">
      <c r="B1298" s="15"/>
      <c r="C1298" s="15"/>
      <c r="D1298" s="15"/>
      <c r="E1298" s="15"/>
    </row>
    <row r="1299" spans="2:5" x14ac:dyDescent="0.2">
      <c r="B1299" s="15"/>
      <c r="C1299" s="15"/>
      <c r="D1299" s="15"/>
      <c r="E1299" s="15"/>
    </row>
    <row r="1300" spans="2:5" x14ac:dyDescent="0.2">
      <c r="B1300" s="15"/>
      <c r="C1300" s="15"/>
      <c r="D1300" s="15"/>
      <c r="E1300" s="15"/>
    </row>
    <row r="1301" spans="2:5" x14ac:dyDescent="0.2">
      <c r="B1301" s="15"/>
      <c r="C1301" s="15"/>
      <c r="D1301" s="15"/>
      <c r="E1301" s="15"/>
    </row>
    <row r="1302" spans="2:5" x14ac:dyDescent="0.2">
      <c r="B1302" s="15"/>
      <c r="C1302" s="15"/>
      <c r="D1302" s="15"/>
      <c r="E1302" s="15"/>
    </row>
    <row r="1303" spans="2:5" x14ac:dyDescent="0.2">
      <c r="B1303" s="15"/>
      <c r="C1303" s="15"/>
      <c r="D1303" s="15"/>
      <c r="E1303" s="15"/>
    </row>
    <row r="1304" spans="2:5" x14ac:dyDescent="0.2">
      <c r="B1304" s="15"/>
      <c r="C1304" s="15"/>
      <c r="D1304" s="15"/>
      <c r="E1304" s="15"/>
    </row>
    <row r="1305" spans="2:5" x14ac:dyDescent="0.2">
      <c r="B1305" s="15"/>
      <c r="C1305" s="15"/>
      <c r="D1305" s="15"/>
      <c r="E1305" s="15"/>
    </row>
    <row r="1306" spans="2:5" x14ac:dyDescent="0.2">
      <c r="B1306" s="15"/>
      <c r="C1306" s="15"/>
      <c r="D1306" s="15"/>
      <c r="E1306" s="15"/>
    </row>
    <row r="1307" spans="2:5" x14ac:dyDescent="0.2">
      <c r="B1307" s="15"/>
      <c r="C1307" s="15"/>
      <c r="D1307" s="15"/>
      <c r="E1307" s="15"/>
    </row>
    <row r="1308" spans="2:5" x14ac:dyDescent="0.2">
      <c r="B1308" s="15"/>
      <c r="C1308" s="15"/>
      <c r="D1308" s="15"/>
      <c r="E1308" s="15"/>
    </row>
    <row r="1309" spans="2:5" x14ac:dyDescent="0.2">
      <c r="B1309" s="15"/>
      <c r="C1309" s="15"/>
      <c r="D1309" s="15"/>
      <c r="E1309" s="15"/>
    </row>
    <row r="1310" spans="2:5" x14ac:dyDescent="0.2">
      <c r="B1310" s="15"/>
      <c r="C1310" s="15"/>
      <c r="D1310" s="15"/>
      <c r="E1310" s="15"/>
    </row>
    <row r="1311" spans="2:5" x14ac:dyDescent="0.2">
      <c r="B1311" s="15"/>
      <c r="C1311" s="15"/>
      <c r="D1311" s="15"/>
      <c r="E1311" s="15"/>
    </row>
    <row r="1312" spans="2:5" x14ac:dyDescent="0.2">
      <c r="B1312" s="15"/>
      <c r="C1312" s="15"/>
      <c r="D1312" s="15"/>
      <c r="E1312" s="15"/>
    </row>
    <row r="1313" spans="2:5" x14ac:dyDescent="0.2">
      <c r="B1313" s="15"/>
      <c r="C1313" s="15"/>
      <c r="D1313" s="15"/>
      <c r="E1313" s="15"/>
    </row>
    <row r="1314" spans="2:5" x14ac:dyDescent="0.2">
      <c r="B1314" s="15"/>
      <c r="C1314" s="15"/>
      <c r="D1314" s="15"/>
      <c r="E1314" s="15"/>
    </row>
    <row r="1315" spans="2:5" x14ac:dyDescent="0.2">
      <c r="B1315" s="15"/>
      <c r="C1315" s="15"/>
      <c r="D1315" s="15"/>
      <c r="E1315" s="15"/>
    </row>
    <row r="1316" spans="2:5" x14ac:dyDescent="0.2">
      <c r="B1316" s="15"/>
      <c r="C1316" s="15"/>
      <c r="D1316" s="15"/>
      <c r="E1316" s="15"/>
    </row>
    <row r="1317" spans="2:5" x14ac:dyDescent="0.2">
      <c r="B1317" s="15"/>
      <c r="C1317" s="15"/>
      <c r="D1317" s="15"/>
      <c r="E1317" s="15"/>
    </row>
    <row r="1318" spans="2:5" x14ac:dyDescent="0.2">
      <c r="B1318" s="15"/>
      <c r="C1318" s="15"/>
      <c r="D1318" s="15"/>
      <c r="E1318" s="15"/>
    </row>
    <row r="1319" spans="2:5" x14ac:dyDescent="0.2">
      <c r="B1319" s="15"/>
      <c r="C1319" s="15"/>
      <c r="D1319" s="15"/>
      <c r="E1319" s="15"/>
    </row>
    <row r="1320" spans="2:5" x14ac:dyDescent="0.2">
      <c r="B1320" s="15"/>
      <c r="C1320" s="15"/>
      <c r="D1320" s="15"/>
      <c r="E1320" s="15"/>
    </row>
    <row r="1321" spans="2:5" x14ac:dyDescent="0.2">
      <c r="B1321" s="15"/>
      <c r="C1321" s="15"/>
      <c r="D1321" s="15"/>
      <c r="E1321" s="15"/>
    </row>
    <row r="1322" spans="2:5" x14ac:dyDescent="0.2">
      <c r="B1322" s="15"/>
      <c r="C1322" s="15"/>
      <c r="D1322" s="15"/>
      <c r="E1322" s="15"/>
    </row>
    <row r="1323" spans="2:5" x14ac:dyDescent="0.2">
      <c r="B1323" s="15"/>
      <c r="C1323" s="15"/>
      <c r="D1323" s="15"/>
      <c r="E1323" s="15"/>
    </row>
    <row r="1324" spans="2:5" x14ac:dyDescent="0.2">
      <c r="B1324" s="15"/>
      <c r="C1324" s="15"/>
      <c r="D1324" s="15"/>
      <c r="E1324" s="15"/>
    </row>
    <row r="1325" spans="2:5" x14ac:dyDescent="0.2">
      <c r="B1325" s="15"/>
      <c r="C1325" s="15"/>
      <c r="D1325" s="15"/>
      <c r="E1325" s="15"/>
    </row>
    <row r="1326" spans="2:5" x14ac:dyDescent="0.2">
      <c r="B1326" s="15"/>
      <c r="C1326" s="15"/>
      <c r="D1326" s="15"/>
      <c r="E1326" s="15"/>
    </row>
    <row r="1327" spans="2:5" x14ac:dyDescent="0.2">
      <c r="B1327" s="15"/>
      <c r="C1327" s="15"/>
      <c r="D1327" s="15"/>
      <c r="E1327" s="15"/>
    </row>
    <row r="1328" spans="2:5" x14ac:dyDescent="0.2">
      <c r="B1328" s="15"/>
      <c r="C1328" s="15"/>
      <c r="D1328" s="15"/>
      <c r="E1328" s="15"/>
    </row>
    <row r="1329" spans="2:5" x14ac:dyDescent="0.2">
      <c r="B1329" s="15"/>
      <c r="C1329" s="15"/>
      <c r="D1329" s="15"/>
      <c r="E1329" s="15"/>
    </row>
    <row r="1330" spans="2:5" x14ac:dyDescent="0.2">
      <c r="B1330" s="15"/>
      <c r="C1330" s="15"/>
      <c r="D1330" s="15"/>
      <c r="E1330" s="15"/>
    </row>
    <row r="1331" spans="2:5" x14ac:dyDescent="0.2">
      <c r="B1331" s="15"/>
      <c r="C1331" s="15"/>
      <c r="D1331" s="15"/>
      <c r="E1331" s="15"/>
    </row>
    <row r="1332" spans="2:5" x14ac:dyDescent="0.2">
      <c r="B1332" s="15"/>
      <c r="C1332" s="15"/>
      <c r="D1332" s="15"/>
      <c r="E1332" s="15"/>
    </row>
    <row r="1333" spans="2:5" x14ac:dyDescent="0.2">
      <c r="B1333" s="15"/>
      <c r="C1333" s="15"/>
      <c r="D1333" s="15"/>
      <c r="E1333" s="15"/>
    </row>
    <row r="1334" spans="2:5" x14ac:dyDescent="0.2">
      <c r="B1334" s="15"/>
      <c r="C1334" s="15"/>
      <c r="D1334" s="15"/>
      <c r="E1334" s="15"/>
    </row>
    <row r="1335" spans="2:5" x14ac:dyDescent="0.2">
      <c r="B1335" s="15"/>
      <c r="C1335" s="15"/>
      <c r="D1335" s="15"/>
      <c r="E1335" s="15"/>
    </row>
    <row r="1336" spans="2:5" x14ac:dyDescent="0.2">
      <c r="B1336" s="15"/>
      <c r="C1336" s="15"/>
      <c r="D1336" s="15"/>
      <c r="E1336" s="15"/>
    </row>
    <row r="1337" spans="2:5" x14ac:dyDescent="0.2">
      <c r="B1337" s="15"/>
      <c r="C1337" s="15"/>
      <c r="D1337" s="15"/>
      <c r="E1337" s="15"/>
    </row>
    <row r="1338" spans="2:5" x14ac:dyDescent="0.2">
      <c r="B1338" s="15"/>
      <c r="C1338" s="15"/>
      <c r="D1338" s="15"/>
      <c r="E1338" s="15"/>
    </row>
    <row r="1339" spans="2:5" x14ac:dyDescent="0.2">
      <c r="B1339" s="15"/>
      <c r="C1339" s="15"/>
      <c r="D1339" s="15"/>
      <c r="E1339" s="15"/>
    </row>
    <row r="1340" spans="2:5" x14ac:dyDescent="0.2">
      <c r="B1340" s="15"/>
      <c r="C1340" s="15"/>
      <c r="D1340" s="15"/>
      <c r="E1340" s="15"/>
    </row>
    <row r="1341" spans="2:5" x14ac:dyDescent="0.2">
      <c r="B1341" s="15"/>
      <c r="C1341" s="15"/>
      <c r="D1341" s="15"/>
      <c r="E1341" s="15"/>
    </row>
    <row r="1342" spans="2:5" x14ac:dyDescent="0.2">
      <c r="B1342" s="15"/>
      <c r="C1342" s="15"/>
      <c r="D1342" s="15"/>
      <c r="E1342" s="15"/>
    </row>
    <row r="1343" spans="2:5" x14ac:dyDescent="0.2">
      <c r="B1343" s="15"/>
      <c r="C1343" s="15"/>
      <c r="D1343" s="15"/>
      <c r="E1343" s="15"/>
    </row>
    <row r="1344" spans="2:5" x14ac:dyDescent="0.2">
      <c r="B1344" s="15"/>
      <c r="C1344" s="15"/>
      <c r="D1344" s="15"/>
      <c r="E1344" s="15"/>
    </row>
    <row r="1345" spans="2:5" x14ac:dyDescent="0.2">
      <c r="B1345" s="15"/>
      <c r="C1345" s="15"/>
      <c r="D1345" s="15"/>
      <c r="E1345" s="15"/>
    </row>
    <row r="1346" spans="2:5" x14ac:dyDescent="0.2">
      <c r="B1346" s="15"/>
      <c r="C1346" s="15"/>
      <c r="D1346" s="15"/>
      <c r="E1346" s="15"/>
    </row>
    <row r="1347" spans="2:5" x14ac:dyDescent="0.2">
      <c r="B1347" s="15"/>
      <c r="C1347" s="15"/>
      <c r="D1347" s="15"/>
      <c r="E1347" s="15"/>
    </row>
    <row r="1348" spans="2:5" x14ac:dyDescent="0.2">
      <c r="B1348" s="15"/>
      <c r="C1348" s="15"/>
      <c r="D1348" s="15"/>
      <c r="E1348" s="15"/>
    </row>
    <row r="1349" spans="2:5" x14ac:dyDescent="0.2">
      <c r="B1349" s="15"/>
      <c r="C1349" s="15"/>
      <c r="D1349" s="15"/>
      <c r="E1349" s="15"/>
    </row>
    <row r="1350" spans="2:5" x14ac:dyDescent="0.2">
      <c r="B1350" s="15"/>
      <c r="C1350" s="15"/>
      <c r="D1350" s="15"/>
      <c r="E1350" s="15"/>
    </row>
    <row r="1351" spans="2:5" x14ac:dyDescent="0.2">
      <c r="B1351" s="15"/>
      <c r="C1351" s="15"/>
      <c r="D1351" s="15"/>
      <c r="E1351" s="15"/>
    </row>
    <row r="1352" spans="2:5" x14ac:dyDescent="0.2">
      <c r="B1352" s="15"/>
      <c r="C1352" s="15"/>
      <c r="D1352" s="15"/>
      <c r="E1352" s="15"/>
    </row>
    <row r="1353" spans="2:5" x14ac:dyDescent="0.2">
      <c r="B1353" s="15"/>
      <c r="C1353" s="15"/>
      <c r="D1353" s="15"/>
      <c r="E1353" s="15"/>
    </row>
    <row r="1354" spans="2:5" x14ac:dyDescent="0.2">
      <c r="B1354" s="15"/>
      <c r="C1354" s="15"/>
      <c r="D1354" s="15"/>
      <c r="E1354" s="15"/>
    </row>
    <row r="1355" spans="2:5" x14ac:dyDescent="0.2">
      <c r="B1355" s="15"/>
      <c r="C1355" s="15"/>
      <c r="D1355" s="15"/>
      <c r="E1355" s="15"/>
    </row>
    <row r="1356" spans="2:5" x14ac:dyDescent="0.2">
      <c r="B1356" s="15"/>
      <c r="C1356" s="15"/>
      <c r="D1356" s="15"/>
      <c r="E1356" s="15"/>
    </row>
    <row r="1357" spans="2:5" x14ac:dyDescent="0.2">
      <c r="B1357" s="15"/>
      <c r="C1357" s="15"/>
      <c r="D1357" s="15"/>
      <c r="E1357" s="15"/>
    </row>
    <row r="1358" spans="2:5" x14ac:dyDescent="0.2">
      <c r="B1358" s="15"/>
      <c r="C1358" s="15"/>
      <c r="D1358" s="15"/>
      <c r="E1358" s="15"/>
    </row>
    <row r="1359" spans="2:5" x14ac:dyDescent="0.2">
      <c r="B1359" s="15"/>
      <c r="C1359" s="15"/>
      <c r="D1359" s="15"/>
      <c r="E1359" s="15"/>
    </row>
    <row r="1360" spans="2:5" x14ac:dyDescent="0.2">
      <c r="B1360" s="15"/>
      <c r="C1360" s="15"/>
      <c r="D1360" s="15"/>
      <c r="E1360" s="15"/>
    </row>
    <row r="1361" spans="2:5" x14ac:dyDescent="0.2">
      <c r="B1361" s="15"/>
      <c r="C1361" s="15"/>
      <c r="D1361" s="15"/>
      <c r="E1361" s="15"/>
    </row>
    <row r="1362" spans="2:5" x14ac:dyDescent="0.2">
      <c r="B1362" s="15"/>
      <c r="C1362" s="15"/>
      <c r="D1362" s="15"/>
      <c r="E1362" s="15"/>
    </row>
    <row r="1363" spans="2:5" x14ac:dyDescent="0.2">
      <c r="B1363" s="15"/>
      <c r="C1363" s="15"/>
      <c r="D1363" s="15"/>
      <c r="E1363" s="15"/>
    </row>
    <row r="1364" spans="2:5" x14ac:dyDescent="0.2">
      <c r="B1364" s="15"/>
      <c r="C1364" s="15"/>
      <c r="D1364" s="15"/>
      <c r="E1364" s="15"/>
    </row>
    <row r="1365" spans="2:5" x14ac:dyDescent="0.2">
      <c r="B1365" s="15"/>
      <c r="C1365" s="15"/>
      <c r="D1365" s="15"/>
      <c r="E1365" s="15"/>
    </row>
    <row r="1366" spans="2:5" x14ac:dyDescent="0.2">
      <c r="B1366" s="15"/>
      <c r="C1366" s="15"/>
      <c r="D1366" s="15"/>
      <c r="E1366" s="15"/>
    </row>
    <row r="1367" spans="2:5" x14ac:dyDescent="0.2">
      <c r="B1367" s="15"/>
      <c r="C1367" s="15"/>
      <c r="D1367" s="15"/>
      <c r="E1367" s="15"/>
    </row>
    <row r="1368" spans="2:5" x14ac:dyDescent="0.2">
      <c r="B1368" s="15"/>
      <c r="C1368" s="15"/>
      <c r="D1368" s="15"/>
      <c r="E1368" s="15"/>
    </row>
    <row r="1369" spans="2:5" x14ac:dyDescent="0.2">
      <c r="B1369" s="15"/>
      <c r="C1369" s="15"/>
      <c r="D1369" s="15"/>
      <c r="E1369" s="15"/>
    </row>
    <row r="1370" spans="2:5" x14ac:dyDescent="0.2">
      <c r="B1370" s="15"/>
      <c r="C1370" s="15"/>
      <c r="D1370" s="15"/>
      <c r="E1370" s="15"/>
    </row>
    <row r="1371" spans="2:5" x14ac:dyDescent="0.2">
      <c r="B1371" s="15"/>
      <c r="C1371" s="15"/>
      <c r="D1371" s="15"/>
      <c r="E1371" s="15"/>
    </row>
    <row r="1372" spans="2:5" x14ac:dyDescent="0.2">
      <c r="B1372" s="15"/>
      <c r="C1372" s="15"/>
      <c r="D1372" s="15"/>
      <c r="E1372" s="15"/>
    </row>
    <row r="1373" spans="2:5" x14ac:dyDescent="0.2">
      <c r="B1373" s="15"/>
      <c r="C1373" s="15"/>
      <c r="D1373" s="15"/>
      <c r="E1373" s="15"/>
    </row>
    <row r="1374" spans="2:5" x14ac:dyDescent="0.2">
      <c r="B1374" s="15"/>
      <c r="C1374" s="15"/>
      <c r="D1374" s="15"/>
      <c r="E1374" s="15"/>
    </row>
    <row r="1375" spans="2:5" x14ac:dyDescent="0.2">
      <c r="B1375" s="15"/>
      <c r="C1375" s="15"/>
      <c r="D1375" s="15"/>
      <c r="E1375" s="15"/>
    </row>
    <row r="1376" spans="2:5" x14ac:dyDescent="0.2">
      <c r="B1376" s="15"/>
      <c r="C1376" s="15"/>
      <c r="D1376" s="15"/>
      <c r="E1376" s="15"/>
    </row>
    <row r="1377" spans="2:5" x14ac:dyDescent="0.2">
      <c r="B1377" s="15"/>
      <c r="C1377" s="15"/>
      <c r="D1377" s="15"/>
      <c r="E1377" s="15"/>
    </row>
    <row r="1378" spans="2:5" x14ac:dyDescent="0.2">
      <c r="B1378" s="15"/>
      <c r="C1378" s="15"/>
      <c r="D1378" s="15"/>
      <c r="E1378" s="15"/>
    </row>
    <row r="1379" spans="2:5" x14ac:dyDescent="0.2">
      <c r="B1379" s="15"/>
      <c r="C1379" s="15"/>
      <c r="D1379" s="15"/>
      <c r="E1379" s="15"/>
    </row>
    <row r="1380" spans="2:5" x14ac:dyDescent="0.2">
      <c r="B1380" s="15"/>
      <c r="C1380" s="15"/>
      <c r="D1380" s="15"/>
      <c r="E1380" s="15"/>
    </row>
    <row r="1381" spans="2:5" x14ac:dyDescent="0.2">
      <c r="B1381" s="15"/>
      <c r="C1381" s="15"/>
      <c r="D1381" s="15"/>
      <c r="E1381" s="15"/>
    </row>
    <row r="1382" spans="2:5" x14ac:dyDescent="0.2">
      <c r="B1382" s="15"/>
      <c r="C1382" s="15"/>
      <c r="D1382" s="15"/>
      <c r="E1382" s="15"/>
    </row>
    <row r="1383" spans="2:5" x14ac:dyDescent="0.2">
      <c r="B1383" s="15"/>
      <c r="C1383" s="15"/>
      <c r="D1383" s="15"/>
      <c r="E1383" s="15"/>
    </row>
    <row r="1384" spans="2:5" x14ac:dyDescent="0.2">
      <c r="B1384" s="15"/>
      <c r="C1384" s="15"/>
      <c r="D1384" s="15"/>
      <c r="E1384" s="15"/>
    </row>
    <row r="1385" spans="2:5" x14ac:dyDescent="0.2">
      <c r="B1385" s="15"/>
      <c r="C1385" s="15"/>
      <c r="D1385" s="15"/>
      <c r="E1385" s="15"/>
    </row>
    <row r="1386" spans="2:5" x14ac:dyDescent="0.2">
      <c r="B1386" s="15"/>
      <c r="C1386" s="15"/>
      <c r="D1386" s="15"/>
      <c r="E1386" s="15"/>
    </row>
    <row r="1387" spans="2:5" x14ac:dyDescent="0.2">
      <c r="B1387" s="15"/>
      <c r="C1387" s="15"/>
      <c r="D1387" s="15"/>
      <c r="E1387" s="15"/>
    </row>
    <row r="1388" spans="2:5" x14ac:dyDescent="0.2">
      <c r="B1388" s="15"/>
      <c r="C1388" s="15"/>
      <c r="D1388" s="15"/>
      <c r="E1388" s="15"/>
    </row>
    <row r="1389" spans="2:5" x14ac:dyDescent="0.2">
      <c r="B1389" s="15"/>
      <c r="C1389" s="15"/>
      <c r="D1389" s="15"/>
      <c r="E1389" s="15"/>
    </row>
    <row r="1390" spans="2:5" x14ac:dyDescent="0.2">
      <c r="B1390" s="15"/>
      <c r="C1390" s="15"/>
      <c r="D1390" s="15"/>
      <c r="E1390" s="15"/>
    </row>
    <row r="1391" spans="2:5" x14ac:dyDescent="0.2">
      <c r="B1391" s="15"/>
      <c r="C1391" s="15"/>
      <c r="D1391" s="15"/>
      <c r="E1391" s="15"/>
    </row>
    <row r="1392" spans="2:5" x14ac:dyDescent="0.2">
      <c r="B1392" s="15"/>
      <c r="C1392" s="15"/>
      <c r="D1392" s="15"/>
      <c r="E1392" s="15"/>
    </row>
    <row r="1393" spans="2:5" x14ac:dyDescent="0.2">
      <c r="B1393" s="15"/>
      <c r="C1393" s="15"/>
      <c r="D1393" s="15"/>
      <c r="E1393" s="15"/>
    </row>
    <row r="1394" spans="2:5" x14ac:dyDescent="0.2">
      <c r="B1394" s="15"/>
      <c r="C1394" s="15"/>
      <c r="D1394" s="15"/>
      <c r="E1394" s="15"/>
    </row>
    <row r="1395" spans="2:5" x14ac:dyDescent="0.2">
      <c r="B1395" s="15"/>
      <c r="C1395" s="15"/>
      <c r="D1395" s="15"/>
      <c r="E1395" s="15"/>
    </row>
    <row r="1396" spans="2:5" x14ac:dyDescent="0.2">
      <c r="B1396" s="15"/>
      <c r="C1396" s="15"/>
      <c r="D1396" s="15"/>
      <c r="E1396" s="15"/>
    </row>
    <row r="1397" spans="2:5" x14ac:dyDescent="0.2">
      <c r="B1397" s="15"/>
      <c r="C1397" s="15"/>
      <c r="D1397" s="15"/>
      <c r="E1397" s="15"/>
    </row>
    <row r="1398" spans="2:5" x14ac:dyDescent="0.2">
      <c r="B1398" s="15"/>
      <c r="C1398" s="15"/>
      <c r="D1398" s="15"/>
      <c r="E1398" s="15"/>
    </row>
    <row r="1399" spans="2:5" x14ac:dyDescent="0.2">
      <c r="B1399" s="15"/>
      <c r="C1399" s="15"/>
      <c r="D1399" s="15"/>
      <c r="E1399" s="15"/>
    </row>
    <row r="1400" spans="2:5" x14ac:dyDescent="0.2">
      <c r="B1400" s="15"/>
      <c r="C1400" s="15"/>
      <c r="D1400" s="15"/>
      <c r="E1400" s="15"/>
    </row>
    <row r="1401" spans="2:5" x14ac:dyDescent="0.2">
      <c r="B1401" s="15"/>
      <c r="C1401" s="15"/>
      <c r="D1401" s="15"/>
      <c r="E1401" s="15"/>
    </row>
    <row r="1402" spans="2:5" x14ac:dyDescent="0.2">
      <c r="B1402" s="15"/>
      <c r="C1402" s="15"/>
      <c r="D1402" s="15"/>
      <c r="E1402" s="15"/>
    </row>
    <row r="1403" spans="2:5" x14ac:dyDescent="0.2">
      <c r="B1403" s="15"/>
      <c r="C1403" s="15"/>
      <c r="D1403" s="15"/>
      <c r="E1403" s="15"/>
    </row>
    <row r="1404" spans="2:5" x14ac:dyDescent="0.2">
      <c r="B1404" s="15"/>
      <c r="C1404" s="15"/>
      <c r="D1404" s="15"/>
      <c r="E1404" s="15"/>
    </row>
    <row r="1405" spans="2:5" x14ac:dyDescent="0.2">
      <c r="B1405" s="15"/>
      <c r="C1405" s="15"/>
      <c r="D1405" s="15"/>
      <c r="E1405" s="15"/>
    </row>
    <row r="1406" spans="2:5" x14ac:dyDescent="0.2">
      <c r="B1406" s="15"/>
      <c r="C1406" s="15"/>
      <c r="D1406" s="15"/>
      <c r="E1406" s="15"/>
    </row>
    <row r="1407" spans="2:5" x14ac:dyDescent="0.2">
      <c r="B1407" s="15"/>
      <c r="C1407" s="15"/>
      <c r="D1407" s="15"/>
      <c r="E1407" s="15"/>
    </row>
    <row r="1408" spans="2:5" x14ac:dyDescent="0.2">
      <c r="B1408" s="15"/>
      <c r="C1408" s="15"/>
      <c r="D1408" s="15"/>
      <c r="E1408" s="15"/>
    </row>
    <row r="1409" spans="2:5" x14ac:dyDescent="0.2">
      <c r="B1409" s="15"/>
      <c r="C1409" s="15"/>
      <c r="D1409" s="15"/>
      <c r="E1409" s="15"/>
    </row>
    <row r="1410" spans="2:5" x14ac:dyDescent="0.2">
      <c r="B1410" s="15"/>
      <c r="C1410" s="15"/>
      <c r="D1410" s="15"/>
      <c r="E1410" s="15"/>
    </row>
    <row r="1411" spans="2:5" x14ac:dyDescent="0.2">
      <c r="B1411" s="15"/>
      <c r="C1411" s="15"/>
      <c r="D1411" s="15"/>
      <c r="E1411" s="15"/>
    </row>
    <row r="1412" spans="2:5" x14ac:dyDescent="0.2">
      <c r="B1412" s="15"/>
      <c r="C1412" s="15"/>
      <c r="D1412" s="15"/>
      <c r="E1412" s="15"/>
    </row>
    <row r="1413" spans="2:5" x14ac:dyDescent="0.2">
      <c r="B1413" s="15"/>
      <c r="C1413" s="15"/>
      <c r="D1413" s="15"/>
      <c r="E1413" s="15"/>
    </row>
    <row r="1414" spans="2:5" x14ac:dyDescent="0.2">
      <c r="B1414" s="15"/>
      <c r="C1414" s="15"/>
      <c r="D1414" s="15"/>
      <c r="E1414" s="15"/>
    </row>
    <row r="1415" spans="2:5" x14ac:dyDescent="0.2">
      <c r="B1415" s="15"/>
      <c r="C1415" s="15"/>
      <c r="D1415" s="15"/>
      <c r="E1415" s="15"/>
    </row>
    <row r="1416" spans="2:5" x14ac:dyDescent="0.2">
      <c r="B1416" s="15"/>
      <c r="C1416" s="15"/>
      <c r="D1416" s="15"/>
      <c r="E1416" s="15"/>
    </row>
    <row r="1417" spans="2:5" x14ac:dyDescent="0.2">
      <c r="B1417" s="15"/>
      <c r="C1417" s="15"/>
      <c r="D1417" s="15"/>
      <c r="E1417" s="15"/>
    </row>
    <row r="1418" spans="2:5" x14ac:dyDescent="0.2">
      <c r="B1418" s="15"/>
      <c r="C1418" s="15"/>
      <c r="D1418" s="15"/>
      <c r="E1418" s="15"/>
    </row>
    <row r="1419" spans="2:5" x14ac:dyDescent="0.2">
      <c r="B1419" s="15"/>
      <c r="C1419" s="15"/>
      <c r="D1419" s="15"/>
      <c r="E1419" s="15"/>
    </row>
    <row r="1420" spans="2:5" x14ac:dyDescent="0.2">
      <c r="B1420" s="15"/>
      <c r="C1420" s="15"/>
      <c r="D1420" s="15"/>
      <c r="E1420" s="15"/>
    </row>
    <row r="1421" spans="2:5" x14ac:dyDescent="0.2">
      <c r="B1421" s="15"/>
      <c r="C1421" s="15"/>
      <c r="D1421" s="15"/>
      <c r="E1421" s="15"/>
    </row>
    <row r="1422" spans="2:5" x14ac:dyDescent="0.2">
      <c r="B1422" s="15"/>
      <c r="C1422" s="15"/>
      <c r="D1422" s="15"/>
      <c r="E1422" s="15"/>
    </row>
    <row r="1423" spans="2:5" x14ac:dyDescent="0.2">
      <c r="B1423" s="15"/>
      <c r="C1423" s="15"/>
      <c r="D1423" s="15"/>
      <c r="E1423" s="15"/>
    </row>
    <row r="1424" spans="2:5" x14ac:dyDescent="0.2">
      <c r="B1424" s="15"/>
      <c r="C1424" s="15"/>
      <c r="D1424" s="15"/>
      <c r="E1424" s="15"/>
    </row>
    <row r="1425" spans="2:5" x14ac:dyDescent="0.2">
      <c r="B1425" s="15"/>
      <c r="C1425" s="15"/>
      <c r="D1425" s="15"/>
      <c r="E1425" s="15"/>
    </row>
    <row r="1426" spans="2:5" x14ac:dyDescent="0.2">
      <c r="B1426" s="15"/>
      <c r="C1426" s="15"/>
      <c r="D1426" s="15"/>
      <c r="E1426" s="15"/>
    </row>
    <row r="1427" spans="2:5" x14ac:dyDescent="0.2">
      <c r="B1427" s="15"/>
      <c r="C1427" s="15"/>
      <c r="D1427" s="15"/>
      <c r="E1427" s="15"/>
    </row>
    <row r="1428" spans="2:5" x14ac:dyDescent="0.2">
      <c r="B1428" s="15"/>
      <c r="C1428" s="15"/>
      <c r="D1428" s="15"/>
      <c r="E1428" s="15"/>
    </row>
    <row r="1429" spans="2:5" x14ac:dyDescent="0.2">
      <c r="B1429" s="15"/>
      <c r="C1429" s="15"/>
      <c r="D1429" s="15"/>
      <c r="E1429" s="15"/>
    </row>
    <row r="1430" spans="2:5" x14ac:dyDescent="0.2">
      <c r="B1430" s="15"/>
      <c r="C1430" s="15"/>
      <c r="D1430" s="15"/>
      <c r="E1430" s="15"/>
    </row>
    <row r="1431" spans="2:5" x14ac:dyDescent="0.2">
      <c r="B1431" s="15"/>
      <c r="C1431" s="15"/>
      <c r="D1431" s="15"/>
      <c r="E1431" s="15"/>
    </row>
    <row r="1432" spans="2:5" x14ac:dyDescent="0.2">
      <c r="B1432" s="15"/>
      <c r="C1432" s="15"/>
      <c r="D1432" s="15"/>
      <c r="E1432" s="15"/>
    </row>
    <row r="1433" spans="2:5" x14ac:dyDescent="0.2">
      <c r="B1433" s="15"/>
      <c r="C1433" s="15"/>
      <c r="D1433" s="15"/>
      <c r="E1433" s="15"/>
    </row>
    <row r="1434" spans="2:5" x14ac:dyDescent="0.2">
      <c r="B1434" s="15"/>
      <c r="C1434" s="15"/>
      <c r="D1434" s="15"/>
      <c r="E1434" s="15"/>
    </row>
    <row r="1435" spans="2:5" x14ac:dyDescent="0.2">
      <c r="B1435" s="15"/>
      <c r="C1435" s="15"/>
      <c r="D1435" s="15"/>
      <c r="E1435" s="15"/>
    </row>
    <row r="1436" spans="2:5" x14ac:dyDescent="0.2">
      <c r="B1436" s="15"/>
      <c r="C1436" s="15"/>
      <c r="D1436" s="15"/>
      <c r="E1436" s="15"/>
    </row>
    <row r="1437" spans="2:5" x14ac:dyDescent="0.2">
      <c r="B1437" s="15"/>
      <c r="C1437" s="15"/>
      <c r="D1437" s="15"/>
      <c r="E1437" s="15"/>
    </row>
    <row r="1438" spans="2:5" x14ac:dyDescent="0.2">
      <c r="B1438" s="15"/>
      <c r="C1438" s="15"/>
      <c r="D1438" s="15"/>
      <c r="E1438" s="15"/>
    </row>
    <row r="1439" spans="2:5" x14ac:dyDescent="0.2">
      <c r="B1439" s="15"/>
      <c r="C1439" s="15"/>
      <c r="D1439" s="15"/>
      <c r="E1439" s="15"/>
    </row>
    <row r="1440" spans="2:5" x14ac:dyDescent="0.2">
      <c r="B1440" s="15"/>
      <c r="C1440" s="15"/>
      <c r="D1440" s="15"/>
      <c r="E1440" s="15"/>
    </row>
    <row r="1441" spans="2:5" x14ac:dyDescent="0.2">
      <c r="B1441" s="15"/>
      <c r="C1441" s="15"/>
      <c r="D1441" s="15"/>
      <c r="E1441" s="15"/>
    </row>
    <row r="1442" spans="2:5" x14ac:dyDescent="0.2">
      <c r="B1442" s="15"/>
      <c r="C1442" s="15"/>
      <c r="D1442" s="15"/>
      <c r="E1442" s="15"/>
    </row>
    <row r="1443" spans="2:5" x14ac:dyDescent="0.2">
      <c r="B1443" s="15"/>
      <c r="C1443" s="15"/>
      <c r="D1443" s="15"/>
      <c r="E1443" s="15"/>
    </row>
    <row r="1444" spans="2:5" x14ac:dyDescent="0.2">
      <c r="B1444" s="15"/>
      <c r="C1444" s="15"/>
      <c r="D1444" s="15"/>
      <c r="E1444" s="15"/>
    </row>
    <row r="1445" spans="2:5" x14ac:dyDescent="0.2">
      <c r="B1445" s="15"/>
      <c r="C1445" s="15"/>
      <c r="D1445" s="15"/>
      <c r="E1445" s="15"/>
    </row>
    <row r="1446" spans="2:5" x14ac:dyDescent="0.2">
      <c r="B1446" s="15"/>
      <c r="C1446" s="15"/>
      <c r="D1446" s="15"/>
      <c r="E1446" s="15"/>
    </row>
    <row r="1447" spans="2:5" x14ac:dyDescent="0.2">
      <c r="B1447" s="15"/>
      <c r="C1447" s="15"/>
      <c r="D1447" s="15"/>
      <c r="E1447" s="15"/>
    </row>
    <row r="1448" spans="2:5" x14ac:dyDescent="0.2">
      <c r="B1448" s="15"/>
      <c r="C1448" s="15"/>
      <c r="D1448" s="15"/>
      <c r="E1448" s="15"/>
    </row>
    <row r="1449" spans="2:5" x14ac:dyDescent="0.2">
      <c r="B1449" s="15"/>
      <c r="C1449" s="15"/>
      <c r="D1449" s="15"/>
      <c r="E1449" s="15"/>
    </row>
    <row r="1450" spans="2:5" x14ac:dyDescent="0.2">
      <c r="B1450" s="15"/>
      <c r="C1450" s="15"/>
      <c r="D1450" s="15"/>
      <c r="E1450" s="15"/>
    </row>
    <row r="1451" spans="2:5" x14ac:dyDescent="0.2">
      <c r="B1451" s="15"/>
      <c r="C1451" s="15"/>
      <c r="D1451" s="15"/>
      <c r="E1451" s="15"/>
    </row>
    <row r="1452" spans="2:5" x14ac:dyDescent="0.2">
      <c r="B1452" s="15"/>
      <c r="C1452" s="15"/>
      <c r="D1452" s="15"/>
      <c r="E1452" s="15"/>
    </row>
    <row r="1453" spans="2:5" x14ac:dyDescent="0.2">
      <c r="B1453" s="15"/>
      <c r="C1453" s="15"/>
      <c r="D1453" s="15"/>
      <c r="E1453" s="15"/>
    </row>
    <row r="1454" spans="2:5" x14ac:dyDescent="0.2">
      <c r="B1454" s="15"/>
      <c r="C1454" s="15"/>
      <c r="D1454" s="15"/>
      <c r="E1454" s="15"/>
    </row>
    <row r="1455" spans="2:5" x14ac:dyDescent="0.2">
      <c r="B1455" s="15"/>
      <c r="C1455" s="15"/>
      <c r="D1455" s="15"/>
      <c r="E1455" s="15"/>
    </row>
    <row r="1456" spans="2:5" x14ac:dyDescent="0.2">
      <c r="B1456" s="15"/>
      <c r="C1456" s="15"/>
      <c r="D1456" s="15"/>
      <c r="E1456" s="15"/>
    </row>
    <row r="1457" spans="2:5" x14ac:dyDescent="0.2">
      <c r="B1457" s="15"/>
      <c r="C1457" s="15"/>
      <c r="D1457" s="15"/>
      <c r="E1457" s="15"/>
    </row>
    <row r="1458" spans="2:5" x14ac:dyDescent="0.2">
      <c r="B1458" s="15"/>
      <c r="C1458" s="15"/>
      <c r="D1458" s="15"/>
      <c r="E1458" s="15"/>
    </row>
    <row r="1459" spans="2:5" x14ac:dyDescent="0.2">
      <c r="B1459" s="15"/>
      <c r="C1459" s="15"/>
      <c r="D1459" s="15"/>
      <c r="E1459" s="15"/>
    </row>
    <row r="1460" spans="2:5" x14ac:dyDescent="0.2">
      <c r="B1460" s="15"/>
      <c r="C1460" s="15"/>
      <c r="D1460" s="15"/>
      <c r="E1460" s="15"/>
    </row>
    <row r="1461" spans="2:5" x14ac:dyDescent="0.2">
      <c r="B1461" s="15"/>
      <c r="C1461" s="15"/>
      <c r="D1461" s="15"/>
      <c r="E1461" s="15"/>
    </row>
    <row r="1462" spans="2:5" x14ac:dyDescent="0.2">
      <c r="B1462" s="15"/>
      <c r="C1462" s="15"/>
      <c r="D1462" s="15"/>
      <c r="E1462" s="15"/>
    </row>
    <row r="1463" spans="2:5" x14ac:dyDescent="0.2">
      <c r="B1463" s="15"/>
      <c r="C1463" s="15"/>
      <c r="D1463" s="15"/>
      <c r="E1463" s="15"/>
    </row>
    <row r="1464" spans="2:5" x14ac:dyDescent="0.2">
      <c r="B1464" s="15"/>
      <c r="C1464" s="15"/>
      <c r="D1464" s="15"/>
      <c r="E1464" s="15"/>
    </row>
    <row r="1465" spans="2:5" x14ac:dyDescent="0.2">
      <c r="B1465" s="15"/>
      <c r="C1465" s="15"/>
      <c r="D1465" s="15"/>
      <c r="E1465" s="15"/>
    </row>
    <row r="1466" spans="2:5" x14ac:dyDescent="0.2">
      <c r="B1466" s="15"/>
      <c r="C1466" s="15"/>
      <c r="D1466" s="15"/>
      <c r="E1466" s="15"/>
    </row>
    <row r="1467" spans="2:5" x14ac:dyDescent="0.2">
      <c r="B1467" s="15"/>
      <c r="C1467" s="15"/>
      <c r="D1467" s="15"/>
      <c r="E1467" s="15"/>
    </row>
    <row r="1468" spans="2:5" x14ac:dyDescent="0.2">
      <c r="B1468" s="15"/>
      <c r="C1468" s="15"/>
      <c r="D1468" s="15"/>
      <c r="E1468" s="15"/>
    </row>
    <row r="1469" spans="2:5" x14ac:dyDescent="0.2">
      <c r="B1469" s="15"/>
      <c r="C1469" s="15"/>
      <c r="D1469" s="15"/>
      <c r="E1469" s="15"/>
    </row>
    <row r="1470" spans="2:5" x14ac:dyDescent="0.2">
      <c r="B1470" s="15"/>
      <c r="C1470" s="15"/>
      <c r="D1470" s="15"/>
      <c r="E1470" s="15"/>
    </row>
    <row r="1471" spans="2:5" x14ac:dyDescent="0.2">
      <c r="B1471" s="15"/>
      <c r="C1471" s="15"/>
      <c r="D1471" s="15"/>
      <c r="E1471" s="15"/>
    </row>
    <row r="1472" spans="2:5" x14ac:dyDescent="0.2">
      <c r="B1472" s="15"/>
      <c r="C1472" s="15"/>
      <c r="D1472" s="15"/>
      <c r="E1472" s="15"/>
    </row>
    <row r="1473" spans="2:5" x14ac:dyDescent="0.2">
      <c r="B1473" s="15"/>
      <c r="C1473" s="15"/>
      <c r="D1473" s="15"/>
      <c r="E1473" s="15"/>
    </row>
    <row r="1474" spans="2:5" x14ac:dyDescent="0.2">
      <c r="B1474" s="15"/>
      <c r="C1474" s="15"/>
      <c r="D1474" s="15"/>
      <c r="E1474" s="15"/>
    </row>
    <row r="1475" spans="2:5" x14ac:dyDescent="0.2">
      <c r="B1475" s="15"/>
      <c r="C1475" s="15"/>
      <c r="D1475" s="15"/>
      <c r="E1475" s="15"/>
    </row>
    <row r="1476" spans="2:5" x14ac:dyDescent="0.2">
      <c r="B1476" s="15"/>
      <c r="C1476" s="15"/>
      <c r="D1476" s="15"/>
      <c r="E1476" s="15"/>
    </row>
    <row r="1477" spans="2:5" x14ac:dyDescent="0.2">
      <c r="B1477" s="15"/>
      <c r="C1477" s="15"/>
      <c r="D1477" s="15"/>
      <c r="E1477" s="15"/>
    </row>
    <row r="1478" spans="2:5" x14ac:dyDescent="0.2">
      <c r="B1478" s="15"/>
      <c r="C1478" s="15"/>
      <c r="D1478" s="15"/>
      <c r="E1478" s="15"/>
    </row>
    <row r="1479" spans="2:5" x14ac:dyDescent="0.2">
      <c r="B1479" s="15"/>
      <c r="C1479" s="15"/>
      <c r="D1479" s="15"/>
      <c r="E1479" s="15"/>
    </row>
    <row r="1480" spans="2:5" x14ac:dyDescent="0.2">
      <c r="B1480" s="15"/>
      <c r="C1480" s="15"/>
      <c r="D1480" s="15"/>
      <c r="E1480" s="15"/>
    </row>
    <row r="1481" spans="2:5" x14ac:dyDescent="0.2">
      <c r="B1481" s="15"/>
      <c r="C1481" s="15"/>
      <c r="D1481" s="15"/>
      <c r="E1481" s="15"/>
    </row>
    <row r="1482" spans="2:5" x14ac:dyDescent="0.2">
      <c r="B1482" s="15"/>
      <c r="C1482" s="15"/>
      <c r="D1482" s="15"/>
      <c r="E1482" s="15"/>
    </row>
    <row r="1483" spans="2:5" x14ac:dyDescent="0.2">
      <c r="B1483" s="15"/>
      <c r="C1483" s="15"/>
      <c r="D1483" s="15"/>
      <c r="E1483" s="15"/>
    </row>
    <row r="1484" spans="2:5" x14ac:dyDescent="0.2">
      <c r="B1484" s="15"/>
      <c r="C1484" s="15"/>
      <c r="D1484" s="15"/>
      <c r="E1484" s="15"/>
    </row>
    <row r="1485" spans="2:5" x14ac:dyDescent="0.2">
      <c r="B1485" s="15"/>
      <c r="C1485" s="15"/>
      <c r="D1485" s="15"/>
      <c r="E1485" s="15"/>
    </row>
    <row r="1486" spans="2:5" x14ac:dyDescent="0.2">
      <c r="B1486" s="15"/>
      <c r="C1486" s="15"/>
      <c r="D1486" s="15"/>
      <c r="E1486" s="15"/>
    </row>
    <row r="1487" spans="2:5" x14ac:dyDescent="0.2">
      <c r="B1487" s="15"/>
      <c r="C1487" s="15"/>
      <c r="D1487" s="15"/>
      <c r="E1487" s="15"/>
    </row>
    <row r="1488" spans="2:5" x14ac:dyDescent="0.2">
      <c r="B1488" s="15"/>
      <c r="C1488" s="15"/>
      <c r="D1488" s="15"/>
      <c r="E1488" s="15"/>
    </row>
    <row r="1489" spans="2:5" x14ac:dyDescent="0.2">
      <c r="B1489" s="15"/>
      <c r="C1489" s="15"/>
      <c r="D1489" s="15"/>
      <c r="E1489" s="15"/>
    </row>
    <row r="1490" spans="2:5" x14ac:dyDescent="0.2">
      <c r="B1490" s="15"/>
      <c r="C1490" s="15"/>
      <c r="D1490" s="15"/>
      <c r="E1490" s="15"/>
    </row>
    <row r="1491" spans="2:5" x14ac:dyDescent="0.2">
      <c r="B1491" s="15"/>
      <c r="C1491" s="15"/>
      <c r="D1491" s="15"/>
      <c r="E1491" s="15"/>
    </row>
    <row r="1492" spans="2:5" x14ac:dyDescent="0.2">
      <c r="B1492" s="15"/>
      <c r="C1492" s="15"/>
      <c r="D1492" s="15"/>
      <c r="E1492" s="15"/>
    </row>
    <row r="1493" spans="2:5" x14ac:dyDescent="0.2">
      <c r="B1493" s="15"/>
      <c r="C1493" s="15"/>
      <c r="D1493" s="15"/>
      <c r="E1493" s="15"/>
    </row>
    <row r="1494" spans="2:5" x14ac:dyDescent="0.2">
      <c r="B1494" s="15"/>
      <c r="C1494" s="15"/>
      <c r="D1494" s="15"/>
      <c r="E1494" s="15"/>
    </row>
    <row r="1495" spans="2:5" x14ac:dyDescent="0.2">
      <c r="B1495" s="15"/>
      <c r="C1495" s="15"/>
      <c r="D1495" s="15"/>
      <c r="E1495" s="15"/>
    </row>
    <row r="1496" spans="2:5" x14ac:dyDescent="0.2">
      <c r="B1496" s="15"/>
      <c r="C1496" s="15"/>
      <c r="D1496" s="15"/>
      <c r="E1496" s="15"/>
    </row>
    <row r="1497" spans="2:5" x14ac:dyDescent="0.2">
      <c r="B1497" s="15"/>
      <c r="C1497" s="15"/>
      <c r="D1497" s="15"/>
      <c r="E1497" s="15"/>
    </row>
    <row r="1498" spans="2:5" x14ac:dyDescent="0.2">
      <c r="B1498" s="15"/>
      <c r="C1498" s="15"/>
      <c r="D1498" s="15"/>
      <c r="E1498" s="15"/>
    </row>
    <row r="1499" spans="2:5" x14ac:dyDescent="0.2">
      <c r="B1499" s="15"/>
      <c r="C1499" s="15"/>
      <c r="D1499" s="15"/>
      <c r="E1499" s="15"/>
    </row>
    <row r="1500" spans="2:5" x14ac:dyDescent="0.2">
      <c r="B1500" s="15"/>
      <c r="C1500" s="15"/>
      <c r="D1500" s="15"/>
      <c r="E1500" s="15"/>
    </row>
    <row r="1501" spans="2:5" x14ac:dyDescent="0.2">
      <c r="B1501" s="15"/>
      <c r="C1501" s="15"/>
      <c r="D1501" s="15"/>
      <c r="E1501" s="15"/>
    </row>
    <row r="1502" spans="2:5" x14ac:dyDescent="0.2">
      <c r="B1502" s="15"/>
      <c r="C1502" s="15"/>
      <c r="D1502" s="15"/>
      <c r="E1502" s="15"/>
    </row>
    <row r="1503" spans="2:5" x14ac:dyDescent="0.2">
      <c r="B1503" s="15"/>
      <c r="C1503" s="15"/>
      <c r="D1503" s="15"/>
      <c r="E1503" s="15"/>
    </row>
    <row r="1504" spans="2:5" x14ac:dyDescent="0.2">
      <c r="B1504" s="15"/>
      <c r="C1504" s="15"/>
      <c r="D1504" s="15"/>
      <c r="E1504" s="15"/>
    </row>
    <row r="1505" spans="2:5" x14ac:dyDescent="0.2">
      <c r="B1505" s="15"/>
      <c r="C1505" s="15"/>
      <c r="D1505" s="15"/>
      <c r="E1505" s="15"/>
    </row>
    <row r="1506" spans="2:5" x14ac:dyDescent="0.2">
      <c r="B1506" s="15"/>
      <c r="C1506" s="15"/>
      <c r="D1506" s="15"/>
      <c r="E1506" s="15"/>
    </row>
    <row r="1507" spans="2:5" x14ac:dyDescent="0.2">
      <c r="B1507" s="15"/>
      <c r="C1507" s="15"/>
      <c r="D1507" s="15"/>
      <c r="E1507" s="15"/>
    </row>
    <row r="1508" spans="2:5" x14ac:dyDescent="0.2">
      <c r="B1508" s="15"/>
      <c r="C1508" s="15"/>
      <c r="D1508" s="15"/>
      <c r="E1508" s="15"/>
    </row>
    <row r="1509" spans="2:5" x14ac:dyDescent="0.2">
      <c r="B1509" s="15"/>
      <c r="C1509" s="15"/>
      <c r="D1509" s="15"/>
      <c r="E1509" s="15"/>
    </row>
    <row r="1510" spans="2:5" x14ac:dyDescent="0.2">
      <c r="B1510" s="15"/>
      <c r="C1510" s="15"/>
      <c r="D1510" s="15"/>
      <c r="E1510" s="15"/>
    </row>
    <row r="1511" spans="2:5" x14ac:dyDescent="0.2">
      <c r="B1511" s="15"/>
      <c r="C1511" s="15"/>
      <c r="D1511" s="15"/>
      <c r="E1511" s="15"/>
    </row>
    <row r="1512" spans="2:5" x14ac:dyDescent="0.2">
      <c r="B1512" s="15"/>
      <c r="C1512" s="15"/>
      <c r="D1512" s="15"/>
      <c r="E1512" s="15"/>
    </row>
    <row r="1513" spans="2:5" x14ac:dyDescent="0.2">
      <c r="B1513" s="15"/>
      <c r="C1513" s="15"/>
      <c r="D1513" s="15"/>
      <c r="E1513" s="15"/>
    </row>
    <row r="1514" spans="2:5" x14ac:dyDescent="0.2">
      <c r="B1514" s="15"/>
      <c r="C1514" s="15"/>
      <c r="D1514" s="15"/>
      <c r="E1514" s="15"/>
    </row>
    <row r="1515" spans="2:5" x14ac:dyDescent="0.2">
      <c r="B1515" s="15"/>
      <c r="C1515" s="15"/>
      <c r="D1515" s="15"/>
      <c r="E1515" s="15"/>
    </row>
    <row r="1516" spans="2:5" x14ac:dyDescent="0.2">
      <c r="B1516" s="15"/>
      <c r="C1516" s="15"/>
      <c r="D1516" s="15"/>
      <c r="E1516" s="15"/>
    </row>
    <row r="1517" spans="2:5" x14ac:dyDescent="0.2">
      <c r="B1517" s="15"/>
      <c r="C1517" s="15"/>
      <c r="D1517" s="15"/>
      <c r="E1517" s="15"/>
    </row>
    <row r="1518" spans="2:5" x14ac:dyDescent="0.2">
      <c r="B1518" s="15"/>
      <c r="C1518" s="15"/>
      <c r="D1518" s="15"/>
      <c r="E1518" s="15"/>
    </row>
    <row r="1519" spans="2:5" x14ac:dyDescent="0.2">
      <c r="B1519" s="15"/>
      <c r="C1519" s="15"/>
      <c r="D1519" s="15"/>
      <c r="E1519" s="15"/>
    </row>
    <row r="1520" spans="2:5" x14ac:dyDescent="0.2">
      <c r="B1520" s="15"/>
      <c r="C1520" s="15"/>
      <c r="D1520" s="15"/>
      <c r="E1520" s="15"/>
    </row>
    <row r="1521" spans="2:5" x14ac:dyDescent="0.2">
      <c r="B1521" s="15"/>
      <c r="C1521" s="15"/>
      <c r="D1521" s="15"/>
      <c r="E1521" s="15"/>
    </row>
    <row r="1522" spans="2:5" x14ac:dyDescent="0.2">
      <c r="B1522" s="15"/>
      <c r="C1522" s="15"/>
      <c r="D1522" s="15"/>
      <c r="E1522" s="15"/>
    </row>
    <row r="1523" spans="2:5" x14ac:dyDescent="0.2">
      <c r="B1523" s="15"/>
      <c r="C1523" s="15"/>
      <c r="D1523" s="15"/>
      <c r="E1523" s="15"/>
    </row>
    <row r="1524" spans="2:5" x14ac:dyDescent="0.2">
      <c r="B1524" s="15"/>
      <c r="C1524" s="15"/>
      <c r="D1524" s="15"/>
      <c r="E1524" s="15"/>
    </row>
    <row r="1525" spans="2:5" x14ac:dyDescent="0.2">
      <c r="B1525" s="15"/>
      <c r="C1525" s="15"/>
      <c r="D1525" s="15"/>
      <c r="E1525" s="15"/>
    </row>
    <row r="1526" spans="2:5" x14ac:dyDescent="0.2">
      <c r="B1526" s="15"/>
      <c r="C1526" s="15"/>
      <c r="D1526" s="15"/>
      <c r="E1526" s="15"/>
    </row>
    <row r="1527" spans="2:5" x14ac:dyDescent="0.2">
      <c r="B1527" s="15"/>
      <c r="C1527" s="15"/>
      <c r="D1527" s="15"/>
      <c r="E1527" s="15"/>
    </row>
    <row r="1528" spans="2:5" x14ac:dyDescent="0.2">
      <c r="B1528" s="15"/>
      <c r="C1528" s="15"/>
      <c r="D1528" s="15"/>
      <c r="E1528" s="15"/>
    </row>
    <row r="1529" spans="2:5" x14ac:dyDescent="0.2">
      <c r="B1529" s="15"/>
      <c r="C1529" s="15"/>
      <c r="D1529" s="15"/>
      <c r="E1529" s="15"/>
    </row>
    <row r="1530" spans="2:5" x14ac:dyDescent="0.2">
      <c r="B1530" s="15"/>
      <c r="C1530" s="15"/>
      <c r="D1530" s="15"/>
      <c r="E1530" s="15"/>
    </row>
    <row r="1531" spans="2:5" x14ac:dyDescent="0.2">
      <c r="B1531" s="15"/>
      <c r="C1531" s="15"/>
      <c r="D1531" s="15"/>
      <c r="E1531" s="15"/>
    </row>
    <row r="1532" spans="2:5" x14ac:dyDescent="0.2">
      <c r="B1532" s="15"/>
      <c r="C1532" s="15"/>
      <c r="D1532" s="15"/>
      <c r="E1532" s="15"/>
    </row>
    <row r="1533" spans="2:5" x14ac:dyDescent="0.2">
      <c r="B1533" s="15"/>
      <c r="C1533" s="15"/>
      <c r="D1533" s="15"/>
      <c r="E1533" s="15"/>
    </row>
    <row r="1534" spans="2:5" x14ac:dyDescent="0.2">
      <c r="B1534" s="15"/>
      <c r="C1534" s="15"/>
      <c r="D1534" s="15"/>
      <c r="E1534" s="15"/>
    </row>
    <row r="1535" spans="2:5" x14ac:dyDescent="0.2">
      <c r="B1535" s="15"/>
      <c r="C1535" s="15"/>
      <c r="D1535" s="15"/>
      <c r="E1535" s="15"/>
    </row>
    <row r="1536" spans="2:5" x14ac:dyDescent="0.2">
      <c r="B1536" s="15"/>
      <c r="C1536" s="15"/>
      <c r="D1536" s="15"/>
      <c r="E1536" s="15"/>
    </row>
    <row r="1537" spans="2:5" x14ac:dyDescent="0.2">
      <c r="B1537" s="15"/>
      <c r="C1537" s="15"/>
      <c r="D1537" s="15"/>
      <c r="E1537" s="15"/>
    </row>
    <row r="1538" spans="2:5" x14ac:dyDescent="0.2">
      <c r="B1538" s="15"/>
      <c r="C1538" s="15"/>
      <c r="D1538" s="15"/>
      <c r="E1538" s="15"/>
    </row>
    <row r="1539" spans="2:5" x14ac:dyDescent="0.2">
      <c r="B1539" s="15"/>
      <c r="C1539" s="15"/>
      <c r="D1539" s="15"/>
      <c r="E1539" s="15"/>
    </row>
    <row r="1540" spans="2:5" x14ac:dyDescent="0.2">
      <c r="B1540" s="15"/>
      <c r="C1540" s="15"/>
      <c r="D1540" s="15"/>
      <c r="E1540" s="15"/>
    </row>
    <row r="1541" spans="2:5" x14ac:dyDescent="0.2">
      <c r="B1541" s="15"/>
      <c r="C1541" s="15"/>
      <c r="D1541" s="15"/>
      <c r="E1541" s="15"/>
    </row>
    <row r="1542" spans="2:5" x14ac:dyDescent="0.2">
      <c r="B1542" s="15"/>
      <c r="C1542" s="15"/>
      <c r="D1542" s="15"/>
      <c r="E1542" s="15"/>
    </row>
    <row r="1543" spans="2:5" x14ac:dyDescent="0.2">
      <c r="B1543" s="15"/>
      <c r="C1543" s="15"/>
      <c r="D1543" s="15"/>
      <c r="E1543" s="15"/>
    </row>
    <row r="1544" spans="2:5" x14ac:dyDescent="0.2">
      <c r="B1544" s="15"/>
      <c r="C1544" s="15"/>
      <c r="D1544" s="15"/>
      <c r="E1544" s="15"/>
    </row>
    <row r="1545" spans="2:5" x14ac:dyDescent="0.2">
      <c r="B1545" s="15"/>
      <c r="C1545" s="15"/>
      <c r="D1545" s="15"/>
      <c r="E1545" s="15"/>
    </row>
    <row r="1546" spans="2:5" x14ac:dyDescent="0.2">
      <c r="B1546" s="15"/>
      <c r="C1546" s="15"/>
      <c r="D1546" s="15"/>
      <c r="E1546" s="15"/>
    </row>
    <row r="1547" spans="2:5" x14ac:dyDescent="0.2">
      <c r="B1547" s="15"/>
      <c r="C1547" s="15"/>
      <c r="D1547" s="15"/>
      <c r="E1547" s="15"/>
    </row>
    <row r="1548" spans="2:5" x14ac:dyDescent="0.2">
      <c r="B1548" s="15"/>
      <c r="C1548" s="15"/>
      <c r="D1548" s="15"/>
      <c r="E1548" s="15"/>
    </row>
    <row r="1549" spans="2:5" x14ac:dyDescent="0.2">
      <c r="B1549" s="15"/>
      <c r="C1549" s="15"/>
      <c r="D1549" s="15"/>
      <c r="E1549" s="15"/>
    </row>
    <row r="1550" spans="2:5" x14ac:dyDescent="0.2">
      <c r="B1550" s="15"/>
      <c r="C1550" s="15"/>
      <c r="D1550" s="15"/>
      <c r="E1550" s="15"/>
    </row>
    <row r="1551" spans="2:5" x14ac:dyDescent="0.2">
      <c r="B1551" s="15"/>
      <c r="C1551" s="15"/>
      <c r="D1551" s="15"/>
      <c r="E1551" s="15"/>
    </row>
    <row r="1552" spans="2:5" x14ac:dyDescent="0.2">
      <c r="B1552" s="15"/>
      <c r="C1552" s="15"/>
      <c r="D1552" s="15"/>
      <c r="E1552" s="15"/>
    </row>
    <row r="1553" spans="2:5" x14ac:dyDescent="0.2">
      <c r="B1553" s="15"/>
      <c r="C1553" s="15"/>
      <c r="D1553" s="15"/>
      <c r="E1553" s="15"/>
    </row>
    <row r="1554" spans="2:5" x14ac:dyDescent="0.2">
      <c r="B1554" s="15"/>
      <c r="C1554" s="15"/>
      <c r="D1554" s="15"/>
      <c r="E1554" s="15"/>
    </row>
    <row r="1555" spans="2:5" x14ac:dyDescent="0.2">
      <c r="B1555" s="15"/>
      <c r="C1555" s="15"/>
      <c r="D1555" s="15"/>
      <c r="E1555" s="15"/>
    </row>
    <row r="1556" spans="2:5" x14ac:dyDescent="0.2">
      <c r="B1556" s="15"/>
      <c r="C1556" s="15"/>
      <c r="D1556" s="15"/>
      <c r="E1556" s="15"/>
    </row>
    <row r="1557" spans="2:5" x14ac:dyDescent="0.2">
      <c r="B1557" s="15"/>
      <c r="C1557" s="15"/>
      <c r="D1557" s="15"/>
      <c r="E1557" s="15"/>
    </row>
    <row r="1558" spans="2:5" x14ac:dyDescent="0.2">
      <c r="B1558" s="15"/>
      <c r="C1558" s="15"/>
      <c r="D1558" s="15"/>
      <c r="E1558" s="15"/>
    </row>
    <row r="1559" spans="2:5" x14ac:dyDescent="0.2">
      <c r="B1559" s="15"/>
      <c r="C1559" s="15"/>
      <c r="D1559" s="15"/>
      <c r="E1559" s="15"/>
    </row>
    <row r="1560" spans="2:5" x14ac:dyDescent="0.2">
      <c r="B1560" s="15"/>
      <c r="C1560" s="15"/>
      <c r="D1560" s="15"/>
      <c r="E1560" s="15"/>
    </row>
    <row r="1561" spans="2:5" x14ac:dyDescent="0.2">
      <c r="B1561" s="15"/>
      <c r="C1561" s="15"/>
      <c r="D1561" s="15"/>
      <c r="E1561" s="15"/>
    </row>
    <row r="1562" spans="2:5" x14ac:dyDescent="0.2">
      <c r="B1562" s="15"/>
      <c r="C1562" s="15"/>
      <c r="D1562" s="15"/>
      <c r="E1562" s="15"/>
    </row>
    <row r="1563" spans="2:5" x14ac:dyDescent="0.2">
      <c r="B1563" s="15"/>
      <c r="C1563" s="15"/>
      <c r="D1563" s="15"/>
      <c r="E1563" s="15"/>
    </row>
    <row r="1564" spans="2:5" x14ac:dyDescent="0.2">
      <c r="B1564" s="15"/>
      <c r="C1564" s="15"/>
      <c r="D1564" s="15"/>
      <c r="E1564" s="15"/>
    </row>
    <row r="1565" spans="2:5" x14ac:dyDescent="0.2">
      <c r="B1565" s="15"/>
      <c r="C1565" s="15"/>
      <c r="D1565" s="15"/>
      <c r="E1565" s="15"/>
    </row>
    <row r="1566" spans="2:5" x14ac:dyDescent="0.2">
      <c r="B1566" s="15"/>
      <c r="C1566" s="15"/>
      <c r="D1566" s="15"/>
      <c r="E1566" s="15"/>
    </row>
    <row r="1567" spans="2:5" x14ac:dyDescent="0.2">
      <c r="B1567" s="15"/>
      <c r="C1567" s="15"/>
      <c r="D1567" s="15"/>
      <c r="E1567" s="15"/>
    </row>
    <row r="1568" spans="2:5" x14ac:dyDescent="0.2">
      <c r="B1568" s="15"/>
      <c r="C1568" s="15"/>
      <c r="D1568" s="15"/>
      <c r="E1568" s="15"/>
    </row>
    <row r="1569" spans="2:5" x14ac:dyDescent="0.2">
      <c r="B1569" s="15"/>
      <c r="C1569" s="15"/>
      <c r="D1569" s="15"/>
      <c r="E1569" s="15"/>
    </row>
    <row r="1570" spans="2:5" x14ac:dyDescent="0.2">
      <c r="B1570" s="15"/>
      <c r="C1570" s="15"/>
      <c r="D1570" s="15"/>
      <c r="E1570" s="15"/>
    </row>
    <row r="1571" spans="2:5" x14ac:dyDescent="0.2">
      <c r="B1571" s="15"/>
      <c r="C1571" s="15"/>
      <c r="D1571" s="15"/>
      <c r="E1571" s="15"/>
    </row>
    <row r="1572" spans="2:5" x14ac:dyDescent="0.2">
      <c r="B1572" s="15"/>
      <c r="C1572" s="15"/>
      <c r="D1572" s="15"/>
      <c r="E1572" s="15"/>
    </row>
    <row r="1573" spans="2:5" x14ac:dyDescent="0.2">
      <c r="B1573" s="15"/>
      <c r="C1573" s="15"/>
      <c r="D1573" s="15"/>
      <c r="E1573" s="15"/>
    </row>
    <row r="1574" spans="2:5" x14ac:dyDescent="0.2">
      <c r="B1574" s="15"/>
      <c r="C1574" s="15"/>
      <c r="D1574" s="15"/>
      <c r="E1574" s="15"/>
    </row>
    <row r="1575" spans="2:5" x14ac:dyDescent="0.2">
      <c r="B1575" s="15"/>
      <c r="C1575" s="15"/>
      <c r="D1575" s="15"/>
      <c r="E1575" s="15"/>
    </row>
    <row r="1576" spans="2:5" x14ac:dyDescent="0.2">
      <c r="B1576" s="15"/>
      <c r="C1576" s="15"/>
      <c r="D1576" s="15"/>
      <c r="E1576" s="15"/>
    </row>
    <row r="1577" spans="2:5" x14ac:dyDescent="0.2">
      <c r="B1577" s="15"/>
      <c r="C1577" s="15"/>
      <c r="D1577" s="15"/>
      <c r="E1577" s="15"/>
    </row>
    <row r="1578" spans="2:5" x14ac:dyDescent="0.2">
      <c r="B1578" s="15"/>
      <c r="C1578" s="15"/>
      <c r="D1578" s="15"/>
      <c r="E1578" s="15"/>
    </row>
    <row r="1579" spans="2:5" x14ac:dyDescent="0.2">
      <c r="B1579" s="15"/>
      <c r="C1579" s="15"/>
      <c r="D1579" s="15"/>
      <c r="E1579" s="15"/>
    </row>
    <row r="1580" spans="2:5" x14ac:dyDescent="0.2">
      <c r="B1580" s="15"/>
      <c r="C1580" s="15"/>
      <c r="D1580" s="15"/>
      <c r="E1580" s="15"/>
    </row>
    <row r="1581" spans="2:5" x14ac:dyDescent="0.2">
      <c r="B1581" s="15"/>
      <c r="C1581" s="15"/>
      <c r="D1581" s="15"/>
      <c r="E1581" s="15"/>
    </row>
    <row r="1582" spans="2:5" x14ac:dyDescent="0.2">
      <c r="B1582" s="15"/>
      <c r="C1582" s="15"/>
      <c r="D1582" s="15"/>
      <c r="E1582" s="15"/>
    </row>
    <row r="1583" spans="2:5" x14ac:dyDescent="0.2">
      <c r="B1583" s="15"/>
      <c r="C1583" s="15"/>
      <c r="D1583" s="15"/>
      <c r="E1583" s="15"/>
    </row>
    <row r="1584" spans="2:5" x14ac:dyDescent="0.2">
      <c r="B1584" s="15"/>
      <c r="C1584" s="15"/>
      <c r="D1584" s="15"/>
      <c r="E1584" s="15"/>
    </row>
    <row r="1585" spans="2:5" x14ac:dyDescent="0.2">
      <c r="B1585" s="15"/>
      <c r="C1585" s="15"/>
      <c r="D1585" s="15"/>
      <c r="E1585" s="15"/>
    </row>
    <row r="1586" spans="2:5" x14ac:dyDescent="0.2">
      <c r="B1586" s="15"/>
      <c r="C1586" s="15"/>
      <c r="D1586" s="15"/>
      <c r="E1586" s="15"/>
    </row>
    <row r="1587" spans="2:5" x14ac:dyDescent="0.2">
      <c r="B1587" s="15"/>
      <c r="C1587" s="15"/>
      <c r="D1587" s="15"/>
      <c r="E1587" s="15"/>
    </row>
    <row r="1588" spans="2:5" x14ac:dyDescent="0.2">
      <c r="B1588" s="15"/>
      <c r="C1588" s="15"/>
      <c r="D1588" s="15"/>
      <c r="E1588" s="15"/>
    </row>
    <row r="1589" spans="2:5" x14ac:dyDescent="0.2">
      <c r="B1589" s="15"/>
      <c r="C1589" s="15"/>
      <c r="D1589" s="15"/>
      <c r="E1589" s="15"/>
    </row>
    <row r="1590" spans="2:5" x14ac:dyDescent="0.2">
      <c r="B1590" s="15"/>
      <c r="C1590" s="15"/>
      <c r="D1590" s="15"/>
      <c r="E1590" s="15"/>
    </row>
    <row r="1591" spans="2:5" x14ac:dyDescent="0.2">
      <c r="B1591" s="15"/>
      <c r="C1591" s="15"/>
      <c r="D1591" s="15"/>
      <c r="E1591" s="15"/>
    </row>
    <row r="1592" spans="2:5" x14ac:dyDescent="0.2">
      <c r="B1592" s="15"/>
      <c r="C1592" s="15"/>
      <c r="D1592" s="15"/>
      <c r="E1592" s="15"/>
    </row>
    <row r="1593" spans="2:5" x14ac:dyDescent="0.2">
      <c r="B1593" s="15"/>
      <c r="C1593" s="15"/>
      <c r="D1593" s="15"/>
      <c r="E1593" s="15"/>
    </row>
    <row r="1594" spans="2:5" x14ac:dyDescent="0.2">
      <c r="B1594" s="15"/>
      <c r="C1594" s="15"/>
      <c r="D1594" s="15"/>
      <c r="E1594" s="15"/>
    </row>
    <row r="1595" spans="2:5" x14ac:dyDescent="0.2">
      <c r="B1595" s="15"/>
      <c r="C1595" s="15"/>
      <c r="D1595" s="15"/>
      <c r="E1595" s="15"/>
    </row>
    <row r="1596" spans="2:5" x14ac:dyDescent="0.2">
      <c r="B1596" s="15"/>
      <c r="C1596" s="15"/>
      <c r="D1596" s="15"/>
      <c r="E1596" s="15"/>
    </row>
    <row r="1597" spans="2:5" x14ac:dyDescent="0.2">
      <c r="B1597" s="15"/>
      <c r="C1597" s="15"/>
      <c r="D1597" s="15"/>
      <c r="E1597" s="15"/>
    </row>
    <row r="1598" spans="2:5" x14ac:dyDescent="0.2">
      <c r="B1598" s="15"/>
      <c r="C1598" s="15"/>
      <c r="D1598" s="15"/>
      <c r="E1598" s="15"/>
    </row>
    <row r="1599" spans="2:5" x14ac:dyDescent="0.2">
      <c r="B1599" s="15"/>
      <c r="C1599" s="15"/>
      <c r="D1599" s="15"/>
      <c r="E1599" s="15"/>
    </row>
    <row r="1600" spans="2:5" x14ac:dyDescent="0.2">
      <c r="B1600" s="15"/>
      <c r="C1600" s="15"/>
      <c r="D1600" s="15"/>
      <c r="E1600" s="15"/>
    </row>
    <row r="1601" spans="2:5" x14ac:dyDescent="0.2">
      <c r="B1601" s="15"/>
      <c r="C1601" s="15"/>
      <c r="D1601" s="15"/>
      <c r="E1601" s="15"/>
    </row>
    <row r="1602" spans="2:5" x14ac:dyDescent="0.2">
      <c r="B1602" s="15"/>
      <c r="C1602" s="15"/>
      <c r="D1602" s="15"/>
      <c r="E1602" s="15"/>
    </row>
    <row r="1603" spans="2:5" x14ac:dyDescent="0.2">
      <c r="B1603" s="15"/>
      <c r="C1603" s="15"/>
      <c r="D1603" s="15"/>
      <c r="E1603" s="15"/>
    </row>
    <row r="1604" spans="2:5" x14ac:dyDescent="0.2">
      <c r="B1604" s="15"/>
      <c r="C1604" s="15"/>
      <c r="D1604" s="15"/>
      <c r="E1604" s="15"/>
    </row>
    <row r="1605" spans="2:5" x14ac:dyDescent="0.2">
      <c r="B1605" s="15"/>
      <c r="C1605" s="15"/>
      <c r="D1605" s="15"/>
      <c r="E1605" s="15"/>
    </row>
    <row r="1606" spans="2:5" x14ac:dyDescent="0.2">
      <c r="B1606" s="15"/>
      <c r="C1606" s="15"/>
      <c r="D1606" s="15"/>
      <c r="E1606" s="15"/>
    </row>
    <row r="1607" spans="2:5" x14ac:dyDescent="0.2">
      <c r="B1607" s="15"/>
      <c r="C1607" s="15"/>
      <c r="D1607" s="15"/>
      <c r="E1607" s="15"/>
    </row>
    <row r="1608" spans="2:5" x14ac:dyDescent="0.2">
      <c r="B1608" s="15"/>
      <c r="C1608" s="15"/>
      <c r="D1608" s="15"/>
      <c r="E1608" s="15"/>
    </row>
    <row r="1609" spans="2:5" x14ac:dyDescent="0.2">
      <c r="B1609" s="15"/>
      <c r="C1609" s="15"/>
      <c r="D1609" s="15"/>
      <c r="E1609" s="15"/>
    </row>
    <row r="1610" spans="2:5" x14ac:dyDescent="0.2">
      <c r="B1610" s="15"/>
      <c r="C1610" s="15"/>
      <c r="D1610" s="15"/>
      <c r="E1610" s="15"/>
    </row>
    <row r="1611" spans="2:5" x14ac:dyDescent="0.2">
      <c r="B1611" s="15"/>
      <c r="C1611" s="15"/>
      <c r="D1611" s="15"/>
      <c r="E1611" s="15"/>
    </row>
    <row r="1612" spans="2:5" x14ac:dyDescent="0.2">
      <c r="B1612" s="15"/>
      <c r="C1612" s="15"/>
      <c r="D1612" s="15"/>
      <c r="E1612" s="15"/>
    </row>
    <row r="1613" spans="2:5" x14ac:dyDescent="0.2">
      <c r="B1613" s="15"/>
      <c r="C1613" s="15"/>
      <c r="D1613" s="15"/>
      <c r="E1613" s="15"/>
    </row>
    <row r="1614" spans="2:5" x14ac:dyDescent="0.2">
      <c r="B1614" s="15"/>
      <c r="C1614" s="15"/>
      <c r="D1614" s="15"/>
      <c r="E1614" s="15"/>
    </row>
    <row r="1615" spans="2:5" x14ac:dyDescent="0.2">
      <c r="B1615" s="15"/>
      <c r="C1615" s="15"/>
      <c r="D1615" s="15"/>
      <c r="E1615" s="15"/>
    </row>
    <row r="1616" spans="2:5" x14ac:dyDescent="0.2">
      <c r="B1616" s="15"/>
      <c r="C1616" s="15"/>
      <c r="D1616" s="15"/>
      <c r="E1616" s="15"/>
    </row>
    <row r="1617" spans="2:5" x14ac:dyDescent="0.2">
      <c r="B1617" s="15"/>
      <c r="C1617" s="15"/>
      <c r="D1617" s="15"/>
      <c r="E1617" s="15"/>
    </row>
    <row r="1618" spans="2:5" x14ac:dyDescent="0.2">
      <c r="B1618" s="15"/>
      <c r="C1618" s="15"/>
      <c r="D1618" s="15"/>
      <c r="E1618" s="15"/>
    </row>
    <row r="1619" spans="2:5" x14ac:dyDescent="0.2">
      <c r="B1619" s="15"/>
      <c r="C1619" s="15"/>
      <c r="D1619" s="15"/>
      <c r="E1619" s="15"/>
    </row>
    <row r="1620" spans="2:5" x14ac:dyDescent="0.2">
      <c r="B1620" s="15"/>
      <c r="C1620" s="15"/>
      <c r="D1620" s="15"/>
      <c r="E1620" s="15"/>
    </row>
    <row r="1621" spans="2:5" x14ac:dyDescent="0.2">
      <c r="B1621" s="15"/>
      <c r="C1621" s="15"/>
      <c r="D1621" s="15"/>
      <c r="E1621" s="15"/>
    </row>
    <row r="1622" spans="2:5" x14ac:dyDescent="0.2">
      <c r="B1622" s="15"/>
      <c r="C1622" s="15"/>
      <c r="D1622" s="15"/>
      <c r="E1622" s="15"/>
    </row>
    <row r="1623" spans="2:5" x14ac:dyDescent="0.2">
      <c r="B1623" s="15"/>
      <c r="C1623" s="15"/>
      <c r="D1623" s="15"/>
      <c r="E1623" s="15"/>
    </row>
    <row r="1624" spans="2:5" x14ac:dyDescent="0.2">
      <c r="B1624" s="15"/>
      <c r="C1624" s="15"/>
      <c r="D1624" s="15"/>
      <c r="E1624" s="15"/>
    </row>
    <row r="1625" spans="2:5" x14ac:dyDescent="0.2">
      <c r="B1625" s="15"/>
      <c r="C1625" s="15"/>
      <c r="D1625" s="15"/>
      <c r="E1625" s="15"/>
    </row>
    <row r="1626" spans="2:5" x14ac:dyDescent="0.2">
      <c r="B1626" s="15"/>
      <c r="C1626" s="15"/>
      <c r="D1626" s="15"/>
      <c r="E1626" s="15"/>
    </row>
    <row r="1627" spans="2:5" x14ac:dyDescent="0.2">
      <c r="B1627" s="15"/>
      <c r="C1627" s="15"/>
      <c r="D1627" s="15"/>
      <c r="E1627" s="15"/>
    </row>
    <row r="1628" spans="2:5" x14ac:dyDescent="0.2">
      <c r="B1628" s="15"/>
      <c r="C1628" s="15"/>
      <c r="D1628" s="15"/>
      <c r="E1628" s="15"/>
    </row>
    <row r="1629" spans="2:5" x14ac:dyDescent="0.2">
      <c r="B1629" s="15"/>
      <c r="C1629" s="15"/>
      <c r="D1629" s="15"/>
      <c r="E1629" s="15"/>
    </row>
    <row r="1630" spans="2:5" x14ac:dyDescent="0.2">
      <c r="B1630" s="15"/>
      <c r="C1630" s="15"/>
      <c r="D1630" s="15"/>
      <c r="E1630" s="15"/>
    </row>
    <row r="1631" spans="2:5" x14ac:dyDescent="0.2">
      <c r="B1631" s="15"/>
      <c r="C1631" s="15"/>
      <c r="D1631" s="15"/>
      <c r="E1631" s="15"/>
    </row>
    <row r="1632" spans="2:5" x14ac:dyDescent="0.2">
      <c r="B1632" s="15"/>
      <c r="C1632" s="15"/>
      <c r="D1632" s="15"/>
      <c r="E1632" s="15"/>
    </row>
    <row r="1633" spans="2:5" x14ac:dyDescent="0.2">
      <c r="B1633" s="15"/>
      <c r="C1633" s="15"/>
      <c r="D1633" s="15"/>
      <c r="E1633" s="15"/>
    </row>
    <row r="1634" spans="2:5" x14ac:dyDescent="0.2">
      <c r="B1634" s="15"/>
      <c r="C1634" s="15"/>
      <c r="D1634" s="15"/>
      <c r="E1634" s="15"/>
    </row>
    <row r="1635" spans="2:5" x14ac:dyDescent="0.2">
      <c r="B1635" s="15"/>
      <c r="C1635" s="15"/>
      <c r="D1635" s="15"/>
      <c r="E1635" s="15"/>
    </row>
    <row r="1636" spans="2:5" x14ac:dyDescent="0.2">
      <c r="B1636" s="15"/>
      <c r="C1636" s="15"/>
      <c r="D1636" s="15"/>
      <c r="E1636" s="15"/>
    </row>
    <row r="1637" spans="2:5" x14ac:dyDescent="0.2">
      <c r="B1637" s="15"/>
      <c r="C1637" s="15"/>
      <c r="D1637" s="15"/>
      <c r="E1637" s="15"/>
    </row>
    <row r="1638" spans="2:5" x14ac:dyDescent="0.2">
      <c r="B1638" s="15"/>
      <c r="C1638" s="15"/>
      <c r="D1638" s="15"/>
      <c r="E1638" s="15"/>
    </row>
    <row r="1639" spans="2:5" x14ac:dyDescent="0.2">
      <c r="B1639" s="15"/>
      <c r="C1639" s="15"/>
      <c r="D1639" s="15"/>
      <c r="E1639" s="15"/>
    </row>
    <row r="1640" spans="2:5" x14ac:dyDescent="0.2">
      <c r="B1640" s="15"/>
      <c r="C1640" s="15"/>
      <c r="D1640" s="15"/>
      <c r="E1640" s="15"/>
    </row>
    <row r="1641" spans="2:5" x14ac:dyDescent="0.2">
      <c r="B1641" s="15"/>
      <c r="C1641" s="15"/>
      <c r="D1641" s="15"/>
      <c r="E1641" s="15"/>
    </row>
    <row r="1642" spans="2:5" x14ac:dyDescent="0.2">
      <c r="B1642" s="15"/>
      <c r="C1642" s="15"/>
      <c r="D1642" s="15"/>
      <c r="E1642" s="15"/>
    </row>
    <row r="1643" spans="2:5" x14ac:dyDescent="0.2">
      <c r="B1643" s="15"/>
      <c r="C1643" s="15"/>
      <c r="D1643" s="15"/>
      <c r="E1643" s="15"/>
    </row>
    <row r="1644" spans="2:5" x14ac:dyDescent="0.2">
      <c r="B1644" s="15"/>
      <c r="C1644" s="15"/>
      <c r="D1644" s="15"/>
      <c r="E1644" s="15"/>
    </row>
    <row r="1645" spans="2:5" x14ac:dyDescent="0.2">
      <c r="B1645" s="15"/>
      <c r="C1645" s="15"/>
      <c r="D1645" s="15"/>
      <c r="E1645" s="15"/>
    </row>
    <row r="1646" spans="2:5" x14ac:dyDescent="0.2">
      <c r="B1646" s="15"/>
      <c r="C1646" s="15"/>
      <c r="D1646" s="15"/>
      <c r="E1646" s="15"/>
    </row>
    <row r="1647" spans="2:5" x14ac:dyDescent="0.2">
      <c r="B1647" s="15"/>
      <c r="C1647" s="15"/>
      <c r="D1647" s="15"/>
      <c r="E1647" s="15"/>
    </row>
    <row r="1648" spans="2:5" x14ac:dyDescent="0.2">
      <c r="B1648" s="15"/>
      <c r="C1648" s="15"/>
      <c r="D1648" s="15"/>
      <c r="E1648" s="15"/>
    </row>
    <row r="1649" spans="2:5" x14ac:dyDescent="0.2">
      <c r="B1649" s="15"/>
      <c r="C1649" s="15"/>
      <c r="D1649" s="15"/>
      <c r="E1649" s="15"/>
    </row>
    <row r="1650" spans="2:5" x14ac:dyDescent="0.2">
      <c r="B1650" s="15"/>
      <c r="C1650" s="15"/>
      <c r="D1650" s="15"/>
      <c r="E1650" s="15"/>
    </row>
    <row r="1651" spans="2:5" x14ac:dyDescent="0.2">
      <c r="B1651" s="15"/>
      <c r="C1651" s="15"/>
      <c r="D1651" s="15"/>
      <c r="E1651" s="15"/>
    </row>
    <row r="1652" spans="2:5" x14ac:dyDescent="0.2">
      <c r="B1652" s="15"/>
      <c r="C1652" s="15"/>
      <c r="D1652" s="15"/>
      <c r="E1652" s="15"/>
    </row>
    <row r="1653" spans="2:5" x14ac:dyDescent="0.2">
      <c r="B1653" s="15"/>
      <c r="C1653" s="15"/>
      <c r="D1653" s="15"/>
      <c r="E1653" s="15"/>
    </row>
    <row r="1654" spans="2:5" x14ac:dyDescent="0.2">
      <c r="B1654" s="15"/>
      <c r="C1654" s="15"/>
      <c r="D1654" s="15"/>
      <c r="E1654" s="15"/>
    </row>
    <row r="1655" spans="2:5" x14ac:dyDescent="0.2">
      <c r="B1655" s="15"/>
      <c r="C1655" s="15"/>
      <c r="D1655" s="15"/>
      <c r="E1655" s="15"/>
    </row>
    <row r="1656" spans="2:5" x14ac:dyDescent="0.2">
      <c r="B1656" s="15"/>
      <c r="C1656" s="15"/>
      <c r="D1656" s="15"/>
      <c r="E1656" s="15"/>
    </row>
    <row r="1657" spans="2:5" x14ac:dyDescent="0.2">
      <c r="B1657" s="15"/>
      <c r="C1657" s="15"/>
      <c r="D1657" s="15"/>
      <c r="E1657" s="15"/>
    </row>
    <row r="1658" spans="2:5" x14ac:dyDescent="0.2">
      <c r="B1658" s="15"/>
      <c r="C1658" s="15"/>
      <c r="D1658" s="15"/>
      <c r="E1658" s="15"/>
    </row>
    <row r="1659" spans="2:5" x14ac:dyDescent="0.2">
      <c r="B1659" s="15"/>
      <c r="C1659" s="15"/>
      <c r="D1659" s="15"/>
      <c r="E1659" s="15"/>
    </row>
    <row r="1660" spans="2:5" x14ac:dyDescent="0.2">
      <c r="B1660" s="15"/>
      <c r="C1660" s="15"/>
      <c r="D1660" s="15"/>
      <c r="E1660" s="15"/>
    </row>
    <row r="1661" spans="2:5" x14ac:dyDescent="0.2">
      <c r="B1661" s="15"/>
      <c r="C1661" s="15"/>
      <c r="D1661" s="15"/>
      <c r="E1661" s="15"/>
    </row>
    <row r="1662" spans="2:5" x14ac:dyDescent="0.2">
      <c r="B1662" s="15"/>
      <c r="C1662" s="15"/>
      <c r="D1662" s="15"/>
      <c r="E1662" s="15"/>
    </row>
    <row r="1663" spans="2:5" x14ac:dyDescent="0.2">
      <c r="B1663" s="15"/>
      <c r="C1663" s="15"/>
      <c r="D1663" s="15"/>
      <c r="E1663" s="15"/>
    </row>
    <row r="1664" spans="2:5" x14ac:dyDescent="0.2">
      <c r="B1664" s="15"/>
      <c r="C1664" s="15"/>
      <c r="D1664" s="15"/>
      <c r="E1664" s="15"/>
    </row>
    <row r="1665" spans="2:5" x14ac:dyDescent="0.2">
      <c r="B1665" s="15"/>
      <c r="C1665" s="15"/>
      <c r="D1665" s="15"/>
      <c r="E1665" s="15"/>
    </row>
    <row r="1666" spans="2:5" x14ac:dyDescent="0.2">
      <c r="B1666" s="15"/>
      <c r="C1666" s="15"/>
      <c r="D1666" s="15"/>
      <c r="E1666" s="15"/>
    </row>
    <row r="1667" spans="2:5" x14ac:dyDescent="0.2">
      <c r="B1667" s="15"/>
      <c r="C1667" s="15"/>
      <c r="D1667" s="15"/>
      <c r="E1667" s="15"/>
    </row>
    <row r="1668" spans="2:5" x14ac:dyDescent="0.2">
      <c r="B1668" s="15"/>
      <c r="C1668" s="15"/>
      <c r="D1668" s="15"/>
      <c r="E1668" s="15"/>
    </row>
    <row r="1669" spans="2:5" x14ac:dyDescent="0.2">
      <c r="B1669" s="15"/>
      <c r="C1669" s="15"/>
      <c r="D1669" s="15"/>
      <c r="E1669" s="15"/>
    </row>
    <row r="1670" spans="2:5" x14ac:dyDescent="0.2">
      <c r="B1670" s="15"/>
      <c r="C1670" s="15"/>
      <c r="D1670" s="15"/>
      <c r="E1670" s="15"/>
    </row>
    <row r="1671" spans="2:5" x14ac:dyDescent="0.2">
      <c r="B1671" s="15"/>
      <c r="C1671" s="15"/>
      <c r="D1671" s="15"/>
      <c r="E1671" s="15"/>
    </row>
    <row r="1672" spans="2:5" x14ac:dyDescent="0.2">
      <c r="B1672" s="15"/>
      <c r="C1672" s="15"/>
      <c r="D1672" s="15"/>
      <c r="E1672" s="15"/>
    </row>
    <row r="1673" spans="2:5" x14ac:dyDescent="0.2">
      <c r="B1673" s="15"/>
      <c r="C1673" s="15"/>
      <c r="D1673" s="15"/>
      <c r="E1673" s="15"/>
    </row>
    <row r="1674" spans="2:5" x14ac:dyDescent="0.2">
      <c r="B1674" s="15"/>
      <c r="C1674" s="15"/>
      <c r="D1674" s="15"/>
      <c r="E1674" s="15"/>
    </row>
    <row r="1675" spans="2:5" x14ac:dyDescent="0.2">
      <c r="B1675" s="15"/>
      <c r="C1675" s="15"/>
      <c r="D1675" s="15"/>
      <c r="E1675" s="15"/>
    </row>
    <row r="1676" spans="2:5" x14ac:dyDescent="0.2">
      <c r="B1676" s="15"/>
      <c r="C1676" s="15"/>
      <c r="D1676" s="15"/>
      <c r="E1676" s="15"/>
    </row>
    <row r="1677" spans="2:5" x14ac:dyDescent="0.2">
      <c r="B1677" s="15"/>
      <c r="C1677" s="15"/>
      <c r="D1677" s="15"/>
      <c r="E1677" s="15"/>
    </row>
    <row r="1678" spans="2:5" x14ac:dyDescent="0.2">
      <c r="B1678" s="15"/>
      <c r="C1678" s="15"/>
      <c r="D1678" s="15"/>
      <c r="E1678" s="15"/>
    </row>
    <row r="1679" spans="2:5" x14ac:dyDescent="0.2">
      <c r="B1679" s="15"/>
      <c r="C1679" s="15"/>
      <c r="D1679" s="15"/>
      <c r="E1679" s="15"/>
    </row>
    <row r="1680" spans="2:5" x14ac:dyDescent="0.2">
      <c r="B1680" s="15"/>
      <c r="C1680" s="15"/>
      <c r="D1680" s="15"/>
      <c r="E1680" s="15"/>
    </row>
    <row r="1681" spans="2:5" x14ac:dyDescent="0.2">
      <c r="B1681" s="15"/>
      <c r="C1681" s="15"/>
      <c r="D1681" s="15"/>
      <c r="E1681" s="15"/>
    </row>
    <row r="1682" spans="2:5" x14ac:dyDescent="0.2">
      <c r="B1682" s="15"/>
      <c r="C1682" s="15"/>
      <c r="D1682" s="15"/>
      <c r="E1682" s="15"/>
    </row>
    <row r="1683" spans="2:5" x14ac:dyDescent="0.2">
      <c r="B1683" s="15"/>
      <c r="C1683" s="15"/>
      <c r="D1683" s="15"/>
      <c r="E1683" s="15"/>
    </row>
    <row r="1684" spans="2:5" x14ac:dyDescent="0.2">
      <c r="B1684" s="15"/>
      <c r="C1684" s="15"/>
      <c r="D1684" s="15"/>
      <c r="E1684" s="15"/>
    </row>
    <row r="1685" spans="2:5" x14ac:dyDescent="0.2">
      <c r="B1685" s="15"/>
      <c r="C1685" s="15"/>
      <c r="D1685" s="15"/>
      <c r="E1685" s="15"/>
    </row>
    <row r="1686" spans="2:5" x14ac:dyDescent="0.2">
      <c r="B1686" s="15"/>
      <c r="C1686" s="15"/>
      <c r="D1686" s="15"/>
      <c r="E1686" s="15"/>
    </row>
    <row r="1687" spans="2:5" x14ac:dyDescent="0.2">
      <c r="B1687" s="15"/>
      <c r="C1687" s="15"/>
      <c r="D1687" s="15"/>
      <c r="E1687" s="15"/>
    </row>
    <row r="1688" spans="2:5" x14ac:dyDescent="0.2">
      <c r="B1688" s="15"/>
      <c r="C1688" s="15"/>
      <c r="D1688" s="15"/>
      <c r="E1688" s="15"/>
    </row>
    <row r="1689" spans="2:5" x14ac:dyDescent="0.2">
      <c r="B1689" s="15"/>
      <c r="C1689" s="15"/>
      <c r="D1689" s="15"/>
      <c r="E1689" s="15"/>
    </row>
    <row r="1690" spans="2:5" x14ac:dyDescent="0.2">
      <c r="B1690" s="15"/>
      <c r="C1690" s="15"/>
      <c r="D1690" s="15"/>
      <c r="E1690" s="15"/>
    </row>
    <row r="1691" spans="2:5" x14ac:dyDescent="0.2">
      <c r="B1691" s="15"/>
      <c r="C1691" s="15"/>
      <c r="D1691" s="15"/>
      <c r="E1691" s="15"/>
    </row>
    <row r="1692" spans="2:5" x14ac:dyDescent="0.2">
      <c r="B1692" s="15"/>
      <c r="C1692" s="15"/>
      <c r="D1692" s="15"/>
      <c r="E1692" s="15"/>
    </row>
    <row r="1693" spans="2:5" x14ac:dyDescent="0.2">
      <c r="B1693" s="15"/>
      <c r="C1693" s="15"/>
      <c r="D1693" s="15"/>
      <c r="E1693" s="15"/>
    </row>
    <row r="1694" spans="2:5" x14ac:dyDescent="0.2">
      <c r="B1694" s="15"/>
      <c r="C1694" s="15"/>
      <c r="D1694" s="15"/>
      <c r="E1694" s="15"/>
    </row>
    <row r="1695" spans="2:5" x14ac:dyDescent="0.2">
      <c r="B1695" s="15"/>
      <c r="C1695" s="15"/>
      <c r="D1695" s="15"/>
      <c r="E1695" s="15"/>
    </row>
    <row r="1696" spans="2:5" x14ac:dyDescent="0.2">
      <c r="B1696" s="15"/>
      <c r="C1696" s="15"/>
      <c r="D1696" s="15"/>
      <c r="E1696" s="15"/>
    </row>
    <row r="1697" spans="2:5" x14ac:dyDescent="0.2">
      <c r="B1697" s="15"/>
      <c r="C1697" s="15"/>
      <c r="D1697" s="15"/>
      <c r="E1697" s="15"/>
    </row>
    <row r="1698" spans="2:5" x14ac:dyDescent="0.2">
      <c r="B1698" s="15"/>
      <c r="C1698" s="15"/>
      <c r="D1698" s="15"/>
      <c r="E1698" s="15"/>
    </row>
    <row r="1699" spans="2:5" x14ac:dyDescent="0.2">
      <c r="B1699" s="15"/>
      <c r="C1699" s="15"/>
      <c r="D1699" s="15"/>
      <c r="E1699" s="15"/>
    </row>
    <row r="1700" spans="2:5" x14ac:dyDescent="0.2">
      <c r="B1700" s="15"/>
      <c r="C1700" s="15"/>
      <c r="D1700" s="15"/>
      <c r="E1700" s="15"/>
    </row>
    <row r="1701" spans="2:5" x14ac:dyDescent="0.2">
      <c r="B1701" s="15"/>
      <c r="C1701" s="15"/>
      <c r="D1701" s="15"/>
      <c r="E1701" s="15"/>
    </row>
    <row r="1702" spans="2:5" x14ac:dyDescent="0.2">
      <c r="B1702" s="15"/>
      <c r="C1702" s="15"/>
      <c r="D1702" s="15"/>
      <c r="E1702" s="15"/>
    </row>
    <row r="1703" spans="2:5" x14ac:dyDescent="0.2">
      <c r="B1703" s="15"/>
      <c r="C1703" s="15"/>
      <c r="D1703" s="15"/>
      <c r="E1703" s="15"/>
    </row>
    <row r="1704" spans="2:5" x14ac:dyDescent="0.2">
      <c r="B1704" s="15"/>
      <c r="C1704" s="15"/>
      <c r="D1704" s="15"/>
      <c r="E1704" s="15"/>
    </row>
    <row r="1705" spans="2:5" x14ac:dyDescent="0.2">
      <c r="B1705" s="15"/>
      <c r="C1705" s="15"/>
      <c r="D1705" s="15"/>
      <c r="E1705" s="15"/>
    </row>
    <row r="1706" spans="2:5" x14ac:dyDescent="0.2">
      <c r="B1706" s="15"/>
      <c r="C1706" s="15"/>
      <c r="D1706" s="15"/>
      <c r="E1706" s="15"/>
    </row>
    <row r="1707" spans="2:5" x14ac:dyDescent="0.2">
      <c r="B1707" s="15"/>
      <c r="C1707" s="15"/>
      <c r="D1707" s="15"/>
      <c r="E1707" s="15"/>
    </row>
    <row r="1708" spans="2:5" x14ac:dyDescent="0.2">
      <c r="B1708" s="15"/>
      <c r="C1708" s="15"/>
      <c r="D1708" s="15"/>
      <c r="E1708" s="15"/>
    </row>
    <row r="1709" spans="2:5" x14ac:dyDescent="0.2">
      <c r="B1709" s="15"/>
      <c r="C1709" s="15"/>
      <c r="D1709" s="15"/>
      <c r="E1709" s="15"/>
    </row>
    <row r="1710" spans="2:5" x14ac:dyDescent="0.2">
      <c r="B1710" s="15"/>
      <c r="C1710" s="15"/>
      <c r="D1710" s="15"/>
      <c r="E1710" s="15"/>
    </row>
    <row r="1711" spans="2:5" x14ac:dyDescent="0.2">
      <c r="B1711" s="15"/>
      <c r="C1711" s="15"/>
      <c r="D1711" s="15"/>
      <c r="E1711" s="15"/>
    </row>
    <row r="1712" spans="2:5" x14ac:dyDescent="0.2">
      <c r="B1712" s="15"/>
      <c r="C1712" s="15"/>
      <c r="D1712" s="15"/>
      <c r="E1712" s="15"/>
    </row>
    <row r="1713" spans="2:5" x14ac:dyDescent="0.2">
      <c r="B1713" s="15"/>
      <c r="C1713" s="15"/>
      <c r="D1713" s="15"/>
      <c r="E1713" s="15"/>
    </row>
    <row r="1714" spans="2:5" x14ac:dyDescent="0.2">
      <c r="B1714" s="15"/>
      <c r="C1714" s="15"/>
      <c r="D1714" s="15"/>
      <c r="E1714" s="15"/>
    </row>
    <row r="1715" spans="2:5" x14ac:dyDescent="0.2">
      <c r="B1715" s="15"/>
      <c r="C1715" s="15"/>
      <c r="D1715" s="15"/>
      <c r="E1715" s="15"/>
    </row>
    <row r="1716" spans="2:5" x14ac:dyDescent="0.2">
      <c r="B1716" s="15"/>
      <c r="C1716" s="15"/>
      <c r="D1716" s="15"/>
      <c r="E1716" s="15"/>
    </row>
    <row r="1717" spans="2:5" x14ac:dyDescent="0.2">
      <c r="B1717" s="15"/>
      <c r="C1717" s="15"/>
      <c r="D1717" s="15"/>
      <c r="E1717" s="15"/>
    </row>
    <row r="1718" spans="2:5" x14ac:dyDescent="0.2">
      <c r="B1718" s="15"/>
      <c r="C1718" s="15"/>
      <c r="D1718" s="15"/>
      <c r="E1718" s="15"/>
    </row>
    <row r="1719" spans="2:5" x14ac:dyDescent="0.2">
      <c r="B1719" s="15"/>
      <c r="C1719" s="15"/>
      <c r="D1719" s="15"/>
      <c r="E1719" s="15"/>
    </row>
    <row r="1720" spans="2:5" x14ac:dyDescent="0.2">
      <c r="B1720" s="15"/>
      <c r="C1720" s="15"/>
      <c r="D1720" s="15"/>
      <c r="E1720" s="15"/>
    </row>
    <row r="1721" spans="2:5" x14ac:dyDescent="0.2">
      <c r="B1721" s="15"/>
      <c r="C1721" s="15"/>
      <c r="D1721" s="15"/>
      <c r="E1721" s="15"/>
    </row>
    <row r="1722" spans="2:5" x14ac:dyDescent="0.2">
      <c r="B1722" s="15"/>
      <c r="C1722" s="15"/>
      <c r="D1722" s="15"/>
      <c r="E1722" s="15"/>
    </row>
    <row r="1723" spans="2:5" x14ac:dyDescent="0.2">
      <c r="B1723" s="15"/>
      <c r="C1723" s="15"/>
      <c r="D1723" s="15"/>
      <c r="E1723" s="15"/>
    </row>
    <row r="1724" spans="2:5" x14ac:dyDescent="0.2">
      <c r="B1724" s="15"/>
      <c r="C1724" s="15"/>
      <c r="D1724" s="15"/>
      <c r="E1724" s="15"/>
    </row>
    <row r="1725" spans="2:5" x14ac:dyDescent="0.2">
      <c r="B1725" s="15"/>
      <c r="C1725" s="15"/>
      <c r="D1725" s="15"/>
      <c r="E1725" s="15"/>
    </row>
    <row r="1726" spans="2:5" x14ac:dyDescent="0.2">
      <c r="B1726" s="15"/>
      <c r="C1726" s="15"/>
      <c r="D1726" s="15"/>
      <c r="E1726" s="15"/>
    </row>
    <row r="1727" spans="2:5" x14ac:dyDescent="0.2">
      <c r="B1727" s="15"/>
      <c r="C1727" s="15"/>
      <c r="D1727" s="15"/>
      <c r="E1727" s="15"/>
    </row>
    <row r="1728" spans="2:5" x14ac:dyDescent="0.2">
      <c r="B1728" s="15"/>
      <c r="C1728" s="15"/>
      <c r="D1728" s="15"/>
      <c r="E1728" s="15"/>
    </row>
    <row r="1729" spans="2:5" x14ac:dyDescent="0.2">
      <c r="B1729" s="15"/>
      <c r="C1729" s="15"/>
      <c r="D1729" s="15"/>
      <c r="E1729" s="15"/>
    </row>
    <row r="1730" spans="2:5" x14ac:dyDescent="0.2">
      <c r="B1730" s="15"/>
      <c r="C1730" s="15"/>
      <c r="D1730" s="15"/>
      <c r="E1730" s="15"/>
    </row>
    <row r="1731" spans="2:5" x14ac:dyDescent="0.2">
      <c r="B1731" s="15"/>
      <c r="C1731" s="15"/>
      <c r="D1731" s="15"/>
      <c r="E1731" s="15"/>
    </row>
    <row r="1732" spans="2:5" x14ac:dyDescent="0.2">
      <c r="B1732" s="15"/>
      <c r="C1732" s="15"/>
      <c r="D1732" s="15"/>
      <c r="E1732" s="15"/>
    </row>
    <row r="1733" spans="2:5" x14ac:dyDescent="0.2">
      <c r="B1733" s="15"/>
      <c r="C1733" s="15"/>
      <c r="D1733" s="15"/>
      <c r="E1733" s="15"/>
    </row>
    <row r="1734" spans="2:5" x14ac:dyDescent="0.2">
      <c r="B1734" s="15"/>
      <c r="C1734" s="15"/>
      <c r="D1734" s="15"/>
      <c r="E1734" s="15"/>
    </row>
    <row r="1735" spans="2:5" x14ac:dyDescent="0.2">
      <c r="B1735" s="15"/>
      <c r="C1735" s="15"/>
      <c r="D1735" s="15"/>
      <c r="E1735" s="15"/>
    </row>
    <row r="1736" spans="2:5" x14ac:dyDescent="0.2">
      <c r="B1736" s="15"/>
      <c r="C1736" s="15"/>
      <c r="D1736" s="15"/>
      <c r="E1736" s="15"/>
    </row>
    <row r="1737" spans="2:5" x14ac:dyDescent="0.2">
      <c r="B1737" s="15"/>
      <c r="C1737" s="15"/>
      <c r="D1737" s="15"/>
      <c r="E1737" s="15"/>
    </row>
    <row r="1738" spans="2:5" x14ac:dyDescent="0.2">
      <c r="B1738" s="15"/>
      <c r="C1738" s="15"/>
      <c r="D1738" s="15"/>
      <c r="E1738" s="15"/>
    </row>
    <row r="1739" spans="2:5" x14ac:dyDescent="0.2">
      <c r="B1739" s="15"/>
      <c r="C1739" s="15"/>
      <c r="D1739" s="15"/>
      <c r="E1739" s="15"/>
    </row>
    <row r="1740" spans="2:5" x14ac:dyDescent="0.2">
      <c r="B1740" s="15"/>
      <c r="C1740" s="15"/>
      <c r="D1740" s="15"/>
      <c r="E1740" s="15"/>
    </row>
    <row r="1741" spans="2:5" x14ac:dyDescent="0.2">
      <c r="B1741" s="15"/>
      <c r="C1741" s="15"/>
      <c r="D1741" s="15"/>
      <c r="E1741" s="15"/>
    </row>
    <row r="1742" spans="2:5" x14ac:dyDescent="0.2">
      <c r="B1742" s="15"/>
      <c r="C1742" s="15"/>
      <c r="D1742" s="15"/>
      <c r="E1742" s="15"/>
    </row>
    <row r="1743" spans="2:5" x14ac:dyDescent="0.2">
      <c r="B1743" s="15"/>
      <c r="C1743" s="15"/>
      <c r="D1743" s="15"/>
      <c r="E1743" s="15"/>
    </row>
    <row r="1744" spans="2:5" x14ac:dyDescent="0.2">
      <c r="B1744" s="15"/>
      <c r="C1744" s="15"/>
      <c r="D1744" s="15"/>
      <c r="E1744" s="15"/>
    </row>
    <row r="1745" spans="2:5" x14ac:dyDescent="0.2">
      <c r="B1745" s="15"/>
      <c r="C1745" s="15"/>
      <c r="D1745" s="15"/>
      <c r="E1745" s="15"/>
    </row>
    <row r="1746" spans="2:5" x14ac:dyDescent="0.2">
      <c r="B1746" s="15"/>
      <c r="C1746" s="15"/>
      <c r="D1746" s="15"/>
      <c r="E1746" s="15"/>
    </row>
    <row r="1747" spans="2:5" x14ac:dyDescent="0.2">
      <c r="B1747" s="15"/>
      <c r="C1747" s="15"/>
      <c r="D1747" s="15"/>
      <c r="E1747" s="15"/>
    </row>
    <row r="1748" spans="2:5" x14ac:dyDescent="0.2">
      <c r="B1748" s="15"/>
      <c r="C1748" s="15"/>
      <c r="D1748" s="15"/>
      <c r="E1748" s="15"/>
    </row>
    <row r="1749" spans="2:5" x14ac:dyDescent="0.2">
      <c r="B1749" s="15"/>
      <c r="C1749" s="15"/>
      <c r="D1749" s="15"/>
      <c r="E1749" s="15"/>
    </row>
    <row r="1750" spans="2:5" x14ac:dyDescent="0.2">
      <c r="B1750" s="15"/>
      <c r="C1750" s="15"/>
      <c r="D1750" s="15"/>
      <c r="E1750" s="15"/>
    </row>
    <row r="1751" spans="2:5" x14ac:dyDescent="0.2">
      <c r="B1751" s="15"/>
      <c r="C1751" s="15"/>
      <c r="D1751" s="15"/>
      <c r="E1751" s="15"/>
    </row>
    <row r="1752" spans="2:5" x14ac:dyDescent="0.2">
      <c r="B1752" s="15"/>
      <c r="C1752" s="15"/>
      <c r="D1752" s="15"/>
      <c r="E1752" s="15"/>
    </row>
    <row r="1753" spans="2:5" x14ac:dyDescent="0.2">
      <c r="B1753" s="15"/>
      <c r="C1753" s="15"/>
      <c r="D1753" s="15"/>
      <c r="E1753" s="15"/>
    </row>
    <row r="1754" spans="2:5" x14ac:dyDescent="0.2">
      <c r="B1754" s="15"/>
      <c r="C1754" s="15"/>
      <c r="D1754" s="15"/>
      <c r="E1754" s="15"/>
    </row>
    <row r="1755" spans="2:5" x14ac:dyDescent="0.2">
      <c r="B1755" s="15"/>
      <c r="C1755" s="15"/>
      <c r="D1755" s="15"/>
      <c r="E1755" s="15"/>
    </row>
    <row r="1756" spans="2:5" x14ac:dyDescent="0.2">
      <c r="B1756" s="15"/>
      <c r="C1756" s="15"/>
      <c r="D1756" s="15"/>
      <c r="E1756" s="15"/>
    </row>
    <row r="1757" spans="2:5" x14ac:dyDescent="0.2">
      <c r="B1757" s="15"/>
      <c r="C1757" s="15"/>
      <c r="D1757" s="15"/>
      <c r="E1757" s="15"/>
    </row>
    <row r="1758" spans="2:5" x14ac:dyDescent="0.2">
      <c r="B1758" s="15"/>
      <c r="C1758" s="15"/>
      <c r="D1758" s="15"/>
      <c r="E1758" s="15"/>
    </row>
    <row r="1759" spans="2:5" x14ac:dyDescent="0.2">
      <c r="B1759" s="15"/>
      <c r="C1759" s="15"/>
      <c r="D1759" s="15"/>
      <c r="E1759" s="15"/>
    </row>
    <row r="1760" spans="2:5" x14ac:dyDescent="0.2">
      <c r="B1760" s="15"/>
      <c r="C1760" s="15"/>
      <c r="D1760" s="15"/>
      <c r="E1760" s="15"/>
    </row>
    <row r="1761" spans="2:5" x14ac:dyDescent="0.2">
      <c r="B1761" s="15"/>
      <c r="C1761" s="15"/>
      <c r="D1761" s="15"/>
      <c r="E1761" s="15"/>
    </row>
    <row r="1762" spans="2:5" x14ac:dyDescent="0.2">
      <c r="B1762" s="15"/>
      <c r="C1762" s="15"/>
      <c r="D1762" s="15"/>
      <c r="E1762" s="15"/>
    </row>
    <row r="1763" spans="2:5" x14ac:dyDescent="0.2">
      <c r="B1763" s="15"/>
      <c r="C1763" s="15"/>
      <c r="D1763" s="15"/>
      <c r="E1763" s="15"/>
    </row>
    <row r="1764" spans="2:5" x14ac:dyDescent="0.2">
      <c r="B1764" s="15"/>
      <c r="C1764" s="15"/>
      <c r="D1764" s="15"/>
      <c r="E1764" s="15"/>
    </row>
    <row r="1765" spans="2:5" x14ac:dyDescent="0.2">
      <c r="B1765" s="15"/>
      <c r="C1765" s="15"/>
      <c r="D1765" s="15"/>
      <c r="E1765" s="15"/>
    </row>
    <row r="1766" spans="2:5" x14ac:dyDescent="0.2">
      <c r="B1766" s="15"/>
      <c r="C1766" s="15"/>
      <c r="D1766" s="15"/>
      <c r="E1766" s="15"/>
    </row>
    <row r="1767" spans="2:5" x14ac:dyDescent="0.2">
      <c r="B1767" s="15"/>
      <c r="C1767" s="15"/>
      <c r="D1767" s="15"/>
      <c r="E1767" s="15"/>
    </row>
    <row r="1768" spans="2:5" x14ac:dyDescent="0.2">
      <c r="B1768" s="15"/>
      <c r="C1768" s="15"/>
      <c r="D1768" s="15"/>
      <c r="E1768" s="15"/>
    </row>
    <row r="1769" spans="2:5" x14ac:dyDescent="0.2">
      <c r="B1769" s="15"/>
      <c r="C1769" s="15"/>
      <c r="D1769" s="15"/>
      <c r="E1769" s="15"/>
    </row>
    <row r="1770" spans="2:5" x14ac:dyDescent="0.2">
      <c r="B1770" s="15"/>
      <c r="C1770" s="15"/>
      <c r="D1770" s="15"/>
      <c r="E1770" s="15"/>
    </row>
    <row r="1771" spans="2:5" x14ac:dyDescent="0.2">
      <c r="B1771" s="15"/>
      <c r="C1771" s="15"/>
      <c r="D1771" s="15"/>
      <c r="E1771" s="15"/>
    </row>
    <row r="1772" spans="2:5" x14ac:dyDescent="0.2">
      <c r="B1772" s="15"/>
      <c r="C1772" s="15"/>
      <c r="D1772" s="15"/>
      <c r="E1772" s="15"/>
    </row>
    <row r="1773" spans="2:5" x14ac:dyDescent="0.2">
      <c r="B1773" s="15"/>
      <c r="C1773" s="15"/>
      <c r="D1773" s="15"/>
      <c r="E1773" s="15"/>
    </row>
    <row r="1774" spans="2:5" x14ac:dyDescent="0.2">
      <c r="B1774" s="15"/>
      <c r="C1774" s="15"/>
      <c r="D1774" s="15"/>
      <c r="E1774" s="15"/>
    </row>
    <row r="1775" spans="2:5" x14ac:dyDescent="0.2">
      <c r="B1775" s="15"/>
      <c r="C1775" s="15"/>
      <c r="D1775" s="15"/>
      <c r="E1775" s="15"/>
    </row>
    <row r="1776" spans="2:5" x14ac:dyDescent="0.2">
      <c r="B1776" s="15"/>
      <c r="C1776" s="15"/>
      <c r="D1776" s="15"/>
      <c r="E1776" s="15"/>
    </row>
    <row r="1777" spans="2:5" x14ac:dyDescent="0.2">
      <c r="B1777" s="15"/>
      <c r="C1777" s="15"/>
      <c r="D1777" s="15"/>
      <c r="E1777" s="15"/>
    </row>
    <row r="1778" spans="2:5" x14ac:dyDescent="0.2">
      <c r="B1778" s="15"/>
      <c r="C1778" s="15"/>
      <c r="D1778" s="15"/>
      <c r="E1778" s="15"/>
    </row>
    <row r="1779" spans="2:5" x14ac:dyDescent="0.2">
      <c r="B1779" s="15"/>
      <c r="C1779" s="15"/>
      <c r="D1779" s="15"/>
      <c r="E1779" s="15"/>
    </row>
    <row r="1780" spans="2:5" x14ac:dyDescent="0.2">
      <c r="B1780" s="15"/>
      <c r="C1780" s="15"/>
      <c r="D1780" s="15"/>
      <c r="E1780" s="15"/>
    </row>
    <row r="1781" spans="2:5" x14ac:dyDescent="0.2">
      <c r="B1781" s="15"/>
      <c r="C1781" s="15"/>
      <c r="D1781" s="15"/>
      <c r="E1781" s="15"/>
    </row>
    <row r="1782" spans="2:5" x14ac:dyDescent="0.2">
      <c r="B1782" s="15"/>
      <c r="C1782" s="15"/>
      <c r="D1782" s="15"/>
      <c r="E1782" s="15"/>
    </row>
    <row r="1783" spans="2:5" x14ac:dyDescent="0.2">
      <c r="B1783" s="15"/>
      <c r="C1783" s="15"/>
      <c r="D1783" s="15"/>
      <c r="E1783" s="15"/>
    </row>
    <row r="1784" spans="2:5" x14ac:dyDescent="0.2">
      <c r="B1784" s="15"/>
      <c r="C1784" s="15"/>
      <c r="D1784" s="15"/>
      <c r="E1784" s="15"/>
    </row>
    <row r="1785" spans="2:5" x14ac:dyDescent="0.2">
      <c r="B1785" s="15"/>
      <c r="C1785" s="15"/>
      <c r="D1785" s="15"/>
      <c r="E1785" s="15"/>
    </row>
    <row r="1786" spans="2:5" x14ac:dyDescent="0.2">
      <c r="B1786" s="15"/>
      <c r="C1786" s="15"/>
      <c r="D1786" s="15"/>
      <c r="E1786" s="15"/>
    </row>
    <row r="1787" spans="2:5" x14ac:dyDescent="0.2">
      <c r="B1787" s="15"/>
      <c r="C1787" s="15"/>
      <c r="D1787" s="15"/>
      <c r="E1787" s="15"/>
    </row>
    <row r="1788" spans="2:5" x14ac:dyDescent="0.2">
      <c r="B1788" s="15"/>
      <c r="C1788" s="15"/>
      <c r="D1788" s="15"/>
      <c r="E1788" s="15"/>
    </row>
    <row r="1789" spans="2:5" x14ac:dyDescent="0.2">
      <c r="B1789" s="15"/>
      <c r="C1789" s="15"/>
      <c r="D1789" s="15"/>
      <c r="E1789" s="15"/>
    </row>
    <row r="1790" spans="2:5" x14ac:dyDescent="0.2">
      <c r="B1790" s="15"/>
      <c r="C1790" s="15"/>
      <c r="D1790" s="15"/>
      <c r="E1790" s="15"/>
    </row>
    <row r="1791" spans="2:5" x14ac:dyDescent="0.2">
      <c r="B1791" s="15"/>
      <c r="C1791" s="15"/>
      <c r="D1791" s="15"/>
      <c r="E1791" s="15"/>
    </row>
    <row r="1792" spans="2:5" x14ac:dyDescent="0.2">
      <c r="B1792" s="15"/>
      <c r="C1792" s="15"/>
      <c r="D1792" s="15"/>
      <c r="E1792" s="15"/>
    </row>
    <row r="1793" spans="2:5" x14ac:dyDescent="0.2">
      <c r="B1793" s="15"/>
      <c r="C1793" s="15"/>
      <c r="D1793" s="15"/>
      <c r="E1793" s="15"/>
    </row>
    <row r="1794" spans="2:5" x14ac:dyDescent="0.2">
      <c r="B1794" s="15"/>
      <c r="C1794" s="15"/>
      <c r="D1794" s="15"/>
      <c r="E1794" s="15"/>
    </row>
    <row r="1795" spans="2:5" x14ac:dyDescent="0.2">
      <c r="B1795" s="15"/>
      <c r="C1795" s="15"/>
      <c r="D1795" s="15"/>
      <c r="E1795" s="15"/>
    </row>
    <row r="1796" spans="2:5" x14ac:dyDescent="0.2">
      <c r="B1796" s="15"/>
      <c r="C1796" s="15"/>
      <c r="D1796" s="15"/>
      <c r="E1796" s="15"/>
    </row>
    <row r="1797" spans="2:5" x14ac:dyDescent="0.2">
      <c r="B1797" s="15"/>
      <c r="C1797" s="15"/>
      <c r="D1797" s="15"/>
      <c r="E1797" s="15"/>
    </row>
    <row r="1798" spans="2:5" x14ac:dyDescent="0.2">
      <c r="B1798" s="15"/>
      <c r="C1798" s="15"/>
      <c r="D1798" s="15"/>
      <c r="E1798" s="15"/>
    </row>
    <row r="1799" spans="2:5" x14ac:dyDescent="0.2">
      <c r="B1799" s="15"/>
      <c r="C1799" s="15"/>
      <c r="D1799" s="15"/>
      <c r="E1799" s="15"/>
    </row>
    <row r="1800" spans="2:5" x14ac:dyDescent="0.2">
      <c r="B1800" s="15"/>
      <c r="C1800" s="15"/>
      <c r="D1800" s="15"/>
      <c r="E1800" s="15"/>
    </row>
    <row r="1801" spans="2:5" x14ac:dyDescent="0.2">
      <c r="B1801" s="15"/>
      <c r="C1801" s="15"/>
      <c r="D1801" s="15"/>
      <c r="E1801" s="15"/>
    </row>
    <row r="1802" spans="2:5" x14ac:dyDescent="0.2">
      <c r="B1802" s="15"/>
      <c r="C1802" s="15"/>
      <c r="D1802" s="15"/>
      <c r="E1802" s="15"/>
    </row>
    <row r="1803" spans="2:5" x14ac:dyDescent="0.2">
      <c r="B1803" s="15"/>
      <c r="C1803" s="15"/>
      <c r="D1803" s="15"/>
      <c r="E1803" s="15"/>
    </row>
    <row r="1804" spans="2:5" x14ac:dyDescent="0.2">
      <c r="B1804" s="15"/>
      <c r="C1804" s="15"/>
      <c r="D1804" s="15"/>
      <c r="E1804" s="15"/>
    </row>
    <row r="1805" spans="2:5" x14ac:dyDescent="0.2">
      <c r="B1805" s="15"/>
      <c r="C1805" s="15"/>
      <c r="D1805" s="15"/>
      <c r="E1805" s="15"/>
    </row>
    <row r="1806" spans="2:5" x14ac:dyDescent="0.2">
      <c r="B1806" s="15"/>
      <c r="C1806" s="15"/>
      <c r="D1806" s="15"/>
      <c r="E1806" s="15"/>
    </row>
    <row r="1807" spans="2:5" x14ac:dyDescent="0.2">
      <c r="B1807" s="15"/>
      <c r="C1807" s="15"/>
      <c r="D1807" s="15"/>
      <c r="E1807" s="15"/>
    </row>
    <row r="1808" spans="2:5" x14ac:dyDescent="0.2">
      <c r="B1808" s="15"/>
      <c r="C1808" s="15"/>
      <c r="D1808" s="15"/>
      <c r="E1808" s="15"/>
    </row>
    <row r="1809" spans="2:5" x14ac:dyDescent="0.2">
      <c r="B1809" s="15"/>
      <c r="C1809" s="15"/>
      <c r="D1809" s="15"/>
      <c r="E1809" s="15"/>
    </row>
    <row r="1810" spans="2:5" x14ac:dyDescent="0.2">
      <c r="B1810" s="15"/>
      <c r="C1810" s="15"/>
      <c r="D1810" s="15"/>
      <c r="E1810" s="15"/>
    </row>
    <row r="1811" spans="2:5" x14ac:dyDescent="0.2">
      <c r="B1811" s="15"/>
      <c r="C1811" s="15"/>
      <c r="D1811" s="15"/>
      <c r="E1811" s="15"/>
    </row>
    <row r="1812" spans="2:5" x14ac:dyDescent="0.2">
      <c r="B1812" s="15"/>
      <c r="C1812" s="15"/>
      <c r="D1812" s="15"/>
      <c r="E1812" s="15"/>
    </row>
    <row r="1813" spans="2:5" x14ac:dyDescent="0.2">
      <c r="B1813" s="15"/>
      <c r="C1813" s="15"/>
      <c r="D1813" s="15"/>
      <c r="E1813" s="15"/>
    </row>
    <row r="1814" spans="2:5" x14ac:dyDescent="0.2">
      <c r="B1814" s="15"/>
      <c r="C1814" s="15"/>
      <c r="D1814" s="15"/>
      <c r="E1814" s="15"/>
    </row>
    <row r="1815" spans="2:5" x14ac:dyDescent="0.2">
      <c r="B1815" s="15"/>
      <c r="C1815" s="15"/>
      <c r="D1815" s="15"/>
      <c r="E1815" s="15"/>
    </row>
    <row r="1816" spans="2:5" x14ac:dyDescent="0.2">
      <c r="B1816" s="15"/>
      <c r="C1816" s="15"/>
      <c r="D1816" s="15"/>
      <c r="E1816" s="15"/>
    </row>
    <row r="1817" spans="2:5" x14ac:dyDescent="0.2">
      <c r="B1817" s="15"/>
      <c r="C1817" s="15"/>
      <c r="D1817" s="15"/>
      <c r="E1817" s="15"/>
    </row>
    <row r="1818" spans="2:5" x14ac:dyDescent="0.2">
      <c r="B1818" s="15"/>
      <c r="C1818" s="15"/>
      <c r="D1818" s="15"/>
      <c r="E1818" s="15"/>
    </row>
    <row r="1819" spans="2:5" x14ac:dyDescent="0.2">
      <c r="B1819" s="15"/>
      <c r="C1819" s="15"/>
      <c r="D1819" s="15"/>
      <c r="E1819" s="15"/>
    </row>
    <row r="1820" spans="2:5" x14ac:dyDescent="0.2">
      <c r="B1820" s="15"/>
      <c r="C1820" s="15"/>
      <c r="D1820" s="15"/>
      <c r="E1820" s="15"/>
    </row>
    <row r="1821" spans="2:5" x14ac:dyDescent="0.2">
      <c r="B1821" s="15"/>
      <c r="C1821" s="15"/>
      <c r="D1821" s="15"/>
      <c r="E1821" s="15"/>
    </row>
    <row r="1822" spans="2:5" x14ac:dyDescent="0.2">
      <c r="B1822" s="15"/>
      <c r="C1822" s="15"/>
      <c r="D1822" s="15"/>
      <c r="E1822" s="15"/>
    </row>
    <row r="1823" spans="2:5" x14ac:dyDescent="0.2">
      <c r="B1823" s="15"/>
      <c r="C1823" s="15"/>
      <c r="D1823" s="15"/>
      <c r="E1823" s="15"/>
    </row>
    <row r="1824" spans="2:5" x14ac:dyDescent="0.2">
      <c r="B1824" s="15"/>
      <c r="C1824" s="15"/>
      <c r="D1824" s="15"/>
      <c r="E1824" s="15"/>
    </row>
    <row r="1825" spans="2:5" x14ac:dyDescent="0.2">
      <c r="B1825" s="15"/>
      <c r="C1825" s="15"/>
      <c r="D1825" s="15"/>
      <c r="E1825" s="15"/>
    </row>
    <row r="1826" spans="2:5" x14ac:dyDescent="0.2">
      <c r="B1826" s="15"/>
      <c r="C1826" s="15"/>
      <c r="D1826" s="15"/>
      <c r="E1826" s="15"/>
    </row>
    <row r="1827" spans="2:5" x14ac:dyDescent="0.2">
      <c r="B1827" s="15"/>
      <c r="C1827" s="15"/>
      <c r="D1827" s="15"/>
      <c r="E1827" s="15"/>
    </row>
    <row r="1828" spans="2:5" x14ac:dyDescent="0.2">
      <c r="B1828" s="15"/>
      <c r="C1828" s="15"/>
      <c r="D1828" s="15"/>
      <c r="E1828" s="15"/>
    </row>
    <row r="1829" spans="2:5" x14ac:dyDescent="0.2">
      <c r="B1829" s="15"/>
      <c r="C1829" s="15"/>
      <c r="D1829" s="15"/>
      <c r="E1829" s="15"/>
    </row>
    <row r="1830" spans="2:5" x14ac:dyDescent="0.2">
      <c r="B1830" s="15"/>
      <c r="C1830" s="15"/>
      <c r="D1830" s="15"/>
      <c r="E1830" s="15"/>
    </row>
    <row r="1831" spans="2:5" x14ac:dyDescent="0.2">
      <c r="B1831" s="15"/>
      <c r="C1831" s="15"/>
      <c r="D1831" s="15"/>
      <c r="E1831" s="15"/>
    </row>
    <row r="1832" spans="2:5" x14ac:dyDescent="0.2">
      <c r="B1832" s="15"/>
      <c r="C1832" s="15"/>
      <c r="D1832" s="15"/>
      <c r="E1832" s="15"/>
    </row>
    <row r="1833" spans="2:5" x14ac:dyDescent="0.2">
      <c r="B1833" s="15"/>
      <c r="C1833" s="15"/>
      <c r="D1833" s="15"/>
      <c r="E1833" s="15"/>
    </row>
    <row r="1834" spans="2:5" x14ac:dyDescent="0.2">
      <c r="B1834" s="15"/>
      <c r="C1834" s="15"/>
      <c r="D1834" s="15"/>
      <c r="E1834" s="15"/>
    </row>
    <row r="1835" spans="2:5" x14ac:dyDescent="0.2">
      <c r="B1835" s="15"/>
      <c r="C1835" s="15"/>
      <c r="D1835" s="15"/>
      <c r="E1835" s="15"/>
    </row>
    <row r="1836" spans="2:5" x14ac:dyDescent="0.2">
      <c r="B1836" s="15"/>
      <c r="C1836" s="15"/>
      <c r="D1836" s="15"/>
      <c r="E1836" s="15"/>
    </row>
    <row r="1837" spans="2:5" x14ac:dyDescent="0.2">
      <c r="B1837" s="15"/>
      <c r="C1837" s="15"/>
      <c r="D1837" s="15"/>
      <c r="E1837" s="15"/>
    </row>
    <row r="1838" spans="2:5" x14ac:dyDescent="0.2">
      <c r="B1838" s="15"/>
      <c r="C1838" s="15"/>
      <c r="D1838" s="15"/>
      <c r="E1838" s="15"/>
    </row>
    <row r="1839" spans="2:5" x14ac:dyDescent="0.2">
      <c r="B1839" s="15"/>
      <c r="C1839" s="15"/>
      <c r="D1839" s="15"/>
      <c r="E1839" s="15"/>
    </row>
    <row r="1840" spans="2:5" x14ac:dyDescent="0.2">
      <c r="B1840" s="15"/>
      <c r="C1840" s="15"/>
      <c r="D1840" s="15"/>
      <c r="E1840" s="15"/>
    </row>
    <row r="1841" spans="2:5" x14ac:dyDescent="0.2">
      <c r="B1841" s="15"/>
      <c r="C1841" s="15"/>
      <c r="D1841" s="15"/>
      <c r="E1841" s="15"/>
    </row>
    <row r="1842" spans="2:5" x14ac:dyDescent="0.2">
      <c r="B1842" s="15"/>
      <c r="C1842" s="15"/>
      <c r="D1842" s="15"/>
      <c r="E1842" s="15"/>
    </row>
    <row r="1843" spans="2:5" x14ac:dyDescent="0.2">
      <c r="B1843" s="15"/>
      <c r="C1843" s="15"/>
      <c r="D1843" s="15"/>
      <c r="E1843" s="15"/>
    </row>
    <row r="1844" spans="2:5" x14ac:dyDescent="0.2">
      <c r="B1844" s="15"/>
      <c r="C1844" s="15"/>
      <c r="D1844" s="15"/>
      <c r="E1844" s="15"/>
    </row>
    <row r="1845" spans="2:5" x14ac:dyDescent="0.2">
      <c r="B1845" s="15"/>
      <c r="C1845" s="15"/>
      <c r="D1845" s="15"/>
      <c r="E1845" s="15"/>
    </row>
    <row r="1846" spans="2:5" x14ac:dyDescent="0.2">
      <c r="B1846" s="15"/>
      <c r="C1846" s="15"/>
      <c r="D1846" s="15"/>
      <c r="E1846" s="15"/>
    </row>
    <row r="1847" spans="2:5" x14ac:dyDescent="0.2">
      <c r="B1847" s="15"/>
      <c r="C1847" s="15"/>
      <c r="D1847" s="15"/>
      <c r="E1847" s="15"/>
    </row>
    <row r="1848" spans="2:5" x14ac:dyDescent="0.2">
      <c r="B1848" s="15"/>
      <c r="C1848" s="15"/>
      <c r="D1848" s="15"/>
      <c r="E1848" s="15"/>
    </row>
    <row r="1849" spans="2:5" x14ac:dyDescent="0.2">
      <c r="B1849" s="15"/>
      <c r="C1849" s="15"/>
      <c r="D1849" s="15"/>
      <c r="E1849" s="15"/>
    </row>
    <row r="1850" spans="2:5" x14ac:dyDescent="0.2">
      <c r="B1850" s="15"/>
      <c r="C1850" s="15"/>
      <c r="D1850" s="15"/>
      <c r="E1850" s="15"/>
    </row>
    <row r="1851" spans="2:5" x14ac:dyDescent="0.2">
      <c r="B1851" s="15"/>
      <c r="C1851" s="15"/>
      <c r="D1851" s="15"/>
      <c r="E1851" s="15"/>
    </row>
    <row r="1852" spans="2:5" x14ac:dyDescent="0.2">
      <c r="B1852" s="15"/>
      <c r="C1852" s="15"/>
      <c r="D1852" s="15"/>
      <c r="E1852" s="15"/>
    </row>
    <row r="1853" spans="2:5" x14ac:dyDescent="0.2">
      <c r="B1853" s="15"/>
      <c r="C1853" s="15"/>
      <c r="D1853" s="15"/>
      <c r="E1853" s="15"/>
    </row>
    <row r="1854" spans="2:5" x14ac:dyDescent="0.2">
      <c r="B1854" s="15"/>
      <c r="C1854" s="15"/>
      <c r="D1854" s="15"/>
      <c r="E1854" s="15"/>
    </row>
    <row r="1855" spans="2:5" x14ac:dyDescent="0.2">
      <c r="B1855" s="15"/>
      <c r="C1855" s="15"/>
      <c r="D1855" s="15"/>
      <c r="E1855" s="15"/>
    </row>
    <row r="1856" spans="2:5" x14ac:dyDescent="0.2">
      <c r="B1856" s="15"/>
      <c r="C1856" s="15"/>
      <c r="D1856" s="15"/>
      <c r="E1856" s="15"/>
    </row>
    <row r="1857" spans="2:5" x14ac:dyDescent="0.2">
      <c r="B1857" s="15"/>
      <c r="C1857" s="15"/>
      <c r="D1857" s="15"/>
      <c r="E1857" s="15"/>
    </row>
    <row r="1858" spans="2:5" x14ac:dyDescent="0.2">
      <c r="B1858" s="15"/>
      <c r="C1858" s="15"/>
      <c r="D1858" s="15"/>
      <c r="E1858" s="15"/>
    </row>
    <row r="1859" spans="2:5" x14ac:dyDescent="0.2">
      <c r="B1859" s="15"/>
      <c r="C1859" s="15"/>
      <c r="D1859" s="15"/>
      <c r="E1859" s="15"/>
    </row>
    <row r="1860" spans="2:5" x14ac:dyDescent="0.2">
      <c r="B1860" s="15"/>
      <c r="C1860" s="15"/>
      <c r="D1860" s="15"/>
      <c r="E1860" s="15"/>
    </row>
    <row r="1861" spans="2:5" x14ac:dyDescent="0.2">
      <c r="B1861" s="15"/>
      <c r="C1861" s="15"/>
      <c r="D1861" s="15"/>
      <c r="E1861" s="15"/>
    </row>
    <row r="1862" spans="2:5" x14ac:dyDescent="0.2">
      <c r="B1862" s="15"/>
      <c r="C1862" s="15"/>
      <c r="D1862" s="15"/>
      <c r="E1862" s="15"/>
    </row>
    <row r="1863" spans="2:5" x14ac:dyDescent="0.2">
      <c r="B1863" s="15"/>
      <c r="C1863" s="15"/>
      <c r="D1863" s="15"/>
      <c r="E1863" s="15"/>
    </row>
    <row r="1864" spans="2:5" x14ac:dyDescent="0.2">
      <c r="B1864" s="15"/>
      <c r="C1864" s="15"/>
      <c r="D1864" s="15"/>
      <c r="E1864" s="15"/>
    </row>
    <row r="1865" spans="2:5" x14ac:dyDescent="0.2">
      <c r="B1865" s="15"/>
      <c r="C1865" s="15"/>
      <c r="D1865" s="15"/>
      <c r="E1865" s="15"/>
    </row>
    <row r="1866" spans="2:5" x14ac:dyDescent="0.2">
      <c r="B1866" s="15"/>
      <c r="C1866" s="15"/>
      <c r="D1866" s="15"/>
      <c r="E1866" s="15"/>
    </row>
    <row r="1867" spans="2:5" x14ac:dyDescent="0.2">
      <c r="B1867" s="15"/>
      <c r="C1867" s="15"/>
      <c r="D1867" s="15"/>
      <c r="E1867" s="15"/>
    </row>
    <row r="1868" spans="2:5" x14ac:dyDescent="0.2">
      <c r="B1868" s="15"/>
      <c r="C1868" s="15"/>
      <c r="D1868" s="15"/>
      <c r="E1868" s="15"/>
    </row>
    <row r="1869" spans="2:5" x14ac:dyDescent="0.2">
      <c r="B1869" s="15"/>
      <c r="C1869" s="15"/>
      <c r="D1869" s="15"/>
      <c r="E1869" s="15"/>
    </row>
    <row r="1870" spans="2:5" x14ac:dyDescent="0.2">
      <c r="B1870" s="15"/>
      <c r="C1870" s="15"/>
      <c r="D1870" s="15"/>
      <c r="E1870" s="15"/>
    </row>
    <row r="1871" spans="2:5" x14ac:dyDescent="0.2">
      <c r="B1871" s="15"/>
      <c r="C1871" s="15"/>
      <c r="D1871" s="15"/>
      <c r="E1871" s="15"/>
    </row>
    <row r="1872" spans="2:5" x14ac:dyDescent="0.2">
      <c r="B1872" s="15"/>
      <c r="C1872" s="15"/>
      <c r="D1872" s="15"/>
      <c r="E1872" s="15"/>
    </row>
    <row r="1873" spans="2:5" x14ac:dyDescent="0.2">
      <c r="B1873" s="15"/>
      <c r="C1873" s="15"/>
      <c r="D1873" s="15"/>
      <c r="E1873" s="15"/>
    </row>
    <row r="1874" spans="2:5" x14ac:dyDescent="0.2">
      <c r="B1874" s="15"/>
      <c r="C1874" s="15"/>
      <c r="D1874" s="15"/>
      <c r="E1874" s="15"/>
    </row>
    <row r="1875" spans="2:5" x14ac:dyDescent="0.2">
      <c r="B1875" s="15"/>
      <c r="C1875" s="15"/>
      <c r="D1875" s="15"/>
      <c r="E1875" s="15"/>
    </row>
    <row r="1876" spans="2:5" x14ac:dyDescent="0.2">
      <c r="B1876" s="15"/>
      <c r="C1876" s="15"/>
      <c r="D1876" s="15"/>
      <c r="E1876" s="15"/>
    </row>
    <row r="1877" spans="2:5" x14ac:dyDescent="0.2">
      <c r="B1877" s="15"/>
      <c r="C1877" s="15"/>
      <c r="D1877" s="15"/>
      <c r="E1877" s="15"/>
    </row>
    <row r="1878" spans="2:5" x14ac:dyDescent="0.2">
      <c r="B1878" s="15"/>
      <c r="C1878" s="15"/>
      <c r="D1878" s="15"/>
      <c r="E1878" s="15"/>
    </row>
    <row r="1879" spans="2:5" x14ac:dyDescent="0.2">
      <c r="B1879" s="15"/>
      <c r="C1879" s="15"/>
      <c r="D1879" s="15"/>
      <c r="E1879" s="15"/>
    </row>
    <row r="1880" spans="2:5" x14ac:dyDescent="0.2">
      <c r="B1880" s="15"/>
      <c r="C1880" s="15"/>
      <c r="D1880" s="15"/>
      <c r="E1880" s="15"/>
    </row>
    <row r="1881" spans="2:5" x14ac:dyDescent="0.2">
      <c r="B1881" s="15"/>
      <c r="C1881" s="15"/>
      <c r="D1881" s="15"/>
      <c r="E1881" s="15"/>
    </row>
    <row r="1882" spans="2:5" x14ac:dyDescent="0.2">
      <c r="B1882" s="15"/>
      <c r="C1882" s="15"/>
      <c r="D1882" s="15"/>
      <c r="E1882" s="15"/>
    </row>
    <row r="1883" spans="2:5" x14ac:dyDescent="0.2">
      <c r="B1883" s="15"/>
      <c r="C1883" s="15"/>
      <c r="D1883" s="15"/>
      <c r="E1883" s="15"/>
    </row>
    <row r="1884" spans="2:5" x14ac:dyDescent="0.2">
      <c r="B1884" s="15"/>
      <c r="C1884" s="15"/>
      <c r="D1884" s="15"/>
      <c r="E1884" s="15"/>
    </row>
    <row r="1885" spans="2:5" x14ac:dyDescent="0.2">
      <c r="B1885" s="15"/>
      <c r="C1885" s="15"/>
      <c r="D1885" s="15"/>
      <c r="E1885" s="15"/>
    </row>
    <row r="1886" spans="2:5" x14ac:dyDescent="0.2">
      <c r="B1886" s="15"/>
      <c r="C1886" s="15"/>
      <c r="D1886" s="15"/>
      <c r="E1886" s="15"/>
    </row>
    <row r="1887" spans="2:5" x14ac:dyDescent="0.2">
      <c r="B1887" s="15"/>
      <c r="C1887" s="15"/>
      <c r="D1887" s="15"/>
      <c r="E1887" s="15"/>
    </row>
    <row r="1888" spans="2:5" x14ac:dyDescent="0.2">
      <c r="B1888" s="15"/>
      <c r="C1888" s="15"/>
      <c r="D1888" s="15"/>
      <c r="E1888" s="15"/>
    </row>
    <row r="1889" spans="2:5" x14ac:dyDescent="0.2">
      <c r="B1889" s="15"/>
      <c r="C1889" s="15"/>
      <c r="D1889" s="15"/>
      <c r="E1889" s="15"/>
    </row>
    <row r="1890" spans="2:5" x14ac:dyDescent="0.2">
      <c r="B1890" s="15"/>
      <c r="C1890" s="15"/>
      <c r="D1890" s="15"/>
      <c r="E1890" s="15"/>
    </row>
    <row r="1891" spans="2:5" x14ac:dyDescent="0.2">
      <c r="B1891" s="15"/>
      <c r="C1891" s="15"/>
      <c r="D1891" s="15"/>
      <c r="E1891" s="15"/>
    </row>
    <row r="1892" spans="2:5" x14ac:dyDescent="0.2">
      <c r="B1892" s="15"/>
      <c r="C1892" s="15"/>
      <c r="D1892" s="15"/>
      <c r="E1892" s="15"/>
    </row>
    <row r="1893" spans="2:5" x14ac:dyDescent="0.2">
      <c r="B1893" s="15"/>
      <c r="C1893" s="15"/>
      <c r="D1893" s="15"/>
      <c r="E1893" s="15"/>
    </row>
    <row r="1894" spans="2:5" x14ac:dyDescent="0.2">
      <c r="B1894" s="15"/>
      <c r="C1894" s="15"/>
      <c r="D1894" s="15"/>
      <c r="E1894" s="15"/>
    </row>
    <row r="1895" spans="2:5" x14ac:dyDescent="0.2">
      <c r="B1895" s="15"/>
      <c r="C1895" s="15"/>
      <c r="D1895" s="15"/>
      <c r="E1895" s="15"/>
    </row>
    <row r="1896" spans="2:5" x14ac:dyDescent="0.2">
      <c r="B1896" s="15"/>
      <c r="C1896" s="15"/>
      <c r="D1896" s="15"/>
      <c r="E1896" s="15"/>
    </row>
    <row r="1897" spans="2:5" x14ac:dyDescent="0.2">
      <c r="B1897" s="15"/>
      <c r="C1897" s="15"/>
      <c r="D1897" s="15"/>
      <c r="E1897" s="15"/>
    </row>
    <row r="1898" spans="2:5" x14ac:dyDescent="0.2">
      <c r="B1898" s="15"/>
      <c r="C1898" s="15"/>
      <c r="D1898" s="15"/>
      <c r="E1898" s="15"/>
    </row>
    <row r="1899" spans="2:5" x14ac:dyDescent="0.2">
      <c r="B1899" s="15"/>
      <c r="C1899" s="15"/>
      <c r="D1899" s="15"/>
      <c r="E1899" s="15"/>
    </row>
    <row r="1900" spans="2:5" x14ac:dyDescent="0.2">
      <c r="B1900" s="15"/>
      <c r="C1900" s="15"/>
      <c r="D1900" s="15"/>
      <c r="E1900" s="15"/>
    </row>
    <row r="1901" spans="2:5" x14ac:dyDescent="0.2">
      <c r="B1901" s="15"/>
      <c r="C1901" s="15"/>
      <c r="D1901" s="15"/>
      <c r="E1901" s="15"/>
    </row>
    <row r="1902" spans="2:5" x14ac:dyDescent="0.2">
      <c r="B1902" s="15"/>
      <c r="C1902" s="15"/>
      <c r="D1902" s="15"/>
      <c r="E1902" s="15"/>
    </row>
    <row r="1903" spans="2:5" x14ac:dyDescent="0.2">
      <c r="B1903" s="15"/>
      <c r="C1903" s="15"/>
      <c r="D1903" s="15"/>
      <c r="E1903" s="15"/>
    </row>
    <row r="1904" spans="2:5" x14ac:dyDescent="0.2">
      <c r="B1904" s="15"/>
      <c r="C1904" s="15"/>
      <c r="D1904" s="15"/>
      <c r="E1904" s="15"/>
    </row>
    <row r="1905" spans="2:5" x14ac:dyDescent="0.2">
      <c r="B1905" s="15"/>
      <c r="C1905" s="15"/>
      <c r="D1905" s="15"/>
      <c r="E1905" s="15"/>
    </row>
    <row r="1906" spans="2:5" x14ac:dyDescent="0.2">
      <c r="B1906" s="15"/>
      <c r="C1906" s="15"/>
      <c r="D1906" s="15"/>
      <c r="E1906" s="15"/>
    </row>
    <row r="1907" spans="2:5" x14ac:dyDescent="0.2">
      <c r="B1907" s="15"/>
      <c r="C1907" s="15"/>
      <c r="D1907" s="15"/>
      <c r="E1907" s="15"/>
    </row>
    <row r="1908" spans="2:5" x14ac:dyDescent="0.2">
      <c r="B1908" s="15"/>
      <c r="C1908" s="15"/>
      <c r="D1908" s="15"/>
      <c r="E1908" s="15"/>
    </row>
    <row r="1909" spans="2:5" x14ac:dyDescent="0.2">
      <c r="B1909" s="15"/>
      <c r="C1909" s="15"/>
      <c r="D1909" s="15"/>
      <c r="E1909" s="15"/>
    </row>
    <row r="1910" spans="2:5" x14ac:dyDescent="0.2">
      <c r="B1910" s="15"/>
      <c r="C1910" s="15"/>
      <c r="D1910" s="15"/>
      <c r="E1910" s="15"/>
    </row>
    <row r="1911" spans="2:5" x14ac:dyDescent="0.2">
      <c r="B1911" s="15"/>
      <c r="C1911" s="15"/>
      <c r="D1911" s="15"/>
      <c r="E1911" s="15"/>
    </row>
    <row r="1912" spans="2:5" x14ac:dyDescent="0.2">
      <c r="B1912" s="15"/>
      <c r="C1912" s="15"/>
      <c r="D1912" s="15"/>
      <c r="E1912" s="15"/>
    </row>
    <row r="1913" spans="2:5" x14ac:dyDescent="0.2">
      <c r="B1913" s="15"/>
      <c r="C1913" s="15"/>
      <c r="D1913" s="15"/>
      <c r="E1913" s="15"/>
    </row>
    <row r="1914" spans="2:5" x14ac:dyDescent="0.2">
      <c r="B1914" s="15"/>
      <c r="C1914" s="15"/>
      <c r="D1914" s="15"/>
      <c r="E1914" s="15"/>
    </row>
    <row r="1915" spans="2:5" x14ac:dyDescent="0.2">
      <c r="B1915" s="15"/>
      <c r="C1915" s="15"/>
      <c r="D1915" s="15"/>
      <c r="E1915" s="15"/>
    </row>
    <row r="1916" spans="2:5" x14ac:dyDescent="0.2">
      <c r="B1916" s="15"/>
      <c r="C1916" s="15"/>
      <c r="D1916" s="15"/>
      <c r="E1916" s="15"/>
    </row>
    <row r="1917" spans="2:5" x14ac:dyDescent="0.2">
      <c r="B1917" s="15"/>
      <c r="C1917" s="15"/>
      <c r="D1917" s="15"/>
      <c r="E1917" s="15"/>
    </row>
    <row r="1918" spans="2:5" x14ac:dyDescent="0.2">
      <c r="B1918" s="15"/>
      <c r="C1918" s="15"/>
      <c r="D1918" s="15"/>
      <c r="E1918" s="15"/>
    </row>
    <row r="1919" spans="2:5" x14ac:dyDescent="0.2">
      <c r="B1919" s="15"/>
      <c r="C1919" s="15"/>
      <c r="D1919" s="15"/>
      <c r="E1919" s="15"/>
    </row>
    <row r="1920" spans="2:5" x14ac:dyDescent="0.2">
      <c r="B1920" s="15"/>
      <c r="C1920" s="15"/>
      <c r="D1920" s="15"/>
      <c r="E1920" s="15"/>
    </row>
    <row r="1921" spans="2:5" x14ac:dyDescent="0.2">
      <c r="B1921" s="15"/>
      <c r="C1921" s="15"/>
      <c r="D1921" s="15"/>
      <c r="E1921" s="15"/>
    </row>
    <row r="1922" spans="2:5" x14ac:dyDescent="0.2">
      <c r="B1922" s="15"/>
      <c r="C1922" s="15"/>
      <c r="D1922" s="15"/>
      <c r="E1922" s="15"/>
    </row>
    <row r="1923" spans="2:5" x14ac:dyDescent="0.2">
      <c r="B1923" s="15"/>
      <c r="C1923" s="15"/>
      <c r="D1923" s="15"/>
      <c r="E1923" s="15"/>
    </row>
    <row r="1924" spans="2:5" x14ac:dyDescent="0.2">
      <c r="B1924" s="15"/>
      <c r="C1924" s="15"/>
      <c r="D1924" s="15"/>
      <c r="E1924" s="15"/>
    </row>
    <row r="1925" spans="2:5" x14ac:dyDescent="0.2">
      <c r="B1925" s="15"/>
      <c r="C1925" s="15"/>
      <c r="D1925" s="15"/>
      <c r="E1925" s="15"/>
    </row>
    <row r="1926" spans="2:5" x14ac:dyDescent="0.2">
      <c r="B1926" s="15"/>
      <c r="C1926" s="15"/>
      <c r="D1926" s="15"/>
      <c r="E1926" s="15"/>
    </row>
    <row r="1927" spans="2:5" x14ac:dyDescent="0.2">
      <c r="B1927" s="15"/>
      <c r="C1927" s="15"/>
      <c r="D1927" s="15"/>
      <c r="E1927" s="15"/>
    </row>
    <row r="1928" spans="2:5" x14ac:dyDescent="0.2">
      <c r="B1928" s="15"/>
      <c r="C1928" s="15"/>
      <c r="D1928" s="15"/>
      <c r="E1928" s="15"/>
    </row>
    <row r="1929" spans="2:5" x14ac:dyDescent="0.2">
      <c r="B1929" s="15"/>
      <c r="C1929" s="15"/>
      <c r="D1929" s="15"/>
      <c r="E1929" s="15"/>
    </row>
    <row r="1930" spans="2:5" x14ac:dyDescent="0.2">
      <c r="B1930" s="15"/>
      <c r="C1930" s="15"/>
      <c r="D1930" s="15"/>
      <c r="E1930" s="15"/>
    </row>
    <row r="1931" spans="2:5" x14ac:dyDescent="0.2">
      <c r="B1931" s="15"/>
      <c r="C1931" s="15"/>
      <c r="D1931" s="15"/>
      <c r="E1931" s="15"/>
    </row>
    <row r="1932" spans="2:5" x14ac:dyDescent="0.2">
      <c r="B1932" s="15"/>
      <c r="C1932" s="15"/>
      <c r="D1932" s="15"/>
      <c r="E1932" s="15"/>
    </row>
    <row r="1933" spans="2:5" x14ac:dyDescent="0.2">
      <c r="B1933" s="15"/>
      <c r="C1933" s="15"/>
      <c r="D1933" s="15"/>
      <c r="E1933" s="15"/>
    </row>
    <row r="1934" spans="2:5" x14ac:dyDescent="0.2">
      <c r="B1934" s="15"/>
      <c r="C1934" s="15"/>
      <c r="D1934" s="15"/>
      <c r="E1934" s="15"/>
    </row>
    <row r="1935" spans="2:5" x14ac:dyDescent="0.2">
      <c r="B1935" s="15"/>
      <c r="C1935" s="15"/>
      <c r="D1935" s="15"/>
      <c r="E1935" s="15"/>
    </row>
    <row r="1936" spans="2:5" x14ac:dyDescent="0.2">
      <c r="B1936" s="15"/>
      <c r="C1936" s="15"/>
      <c r="D1936" s="15"/>
      <c r="E1936" s="15"/>
    </row>
    <row r="1937" spans="2:5" x14ac:dyDescent="0.2">
      <c r="B1937" s="15"/>
      <c r="C1937" s="15"/>
      <c r="D1937" s="15"/>
      <c r="E1937" s="15"/>
    </row>
    <row r="1938" spans="2:5" x14ac:dyDescent="0.2">
      <c r="B1938" s="15"/>
      <c r="C1938" s="15"/>
      <c r="D1938" s="15"/>
      <c r="E1938" s="15"/>
    </row>
    <row r="1939" spans="2:5" x14ac:dyDescent="0.2">
      <c r="B1939" s="15"/>
      <c r="C1939" s="15"/>
      <c r="D1939" s="15"/>
      <c r="E1939" s="15"/>
    </row>
    <row r="1940" spans="2:5" x14ac:dyDescent="0.2">
      <c r="B1940" s="15"/>
      <c r="C1940" s="15"/>
      <c r="D1940" s="15"/>
      <c r="E1940" s="15"/>
    </row>
    <row r="1941" spans="2:5" x14ac:dyDescent="0.2">
      <c r="B1941" s="15"/>
      <c r="C1941" s="15"/>
      <c r="D1941" s="15"/>
      <c r="E1941" s="15"/>
    </row>
    <row r="1942" spans="2:5" x14ac:dyDescent="0.2">
      <c r="B1942" s="15"/>
      <c r="C1942" s="15"/>
      <c r="D1942" s="15"/>
      <c r="E1942" s="15"/>
    </row>
    <row r="1943" spans="2:5" x14ac:dyDescent="0.2">
      <c r="B1943" s="15"/>
      <c r="C1943" s="15"/>
      <c r="D1943" s="15"/>
      <c r="E1943" s="15"/>
    </row>
    <row r="1944" spans="2:5" x14ac:dyDescent="0.2">
      <c r="B1944" s="15"/>
      <c r="C1944" s="15"/>
      <c r="D1944" s="15"/>
      <c r="E1944" s="15"/>
    </row>
    <row r="1945" spans="2:5" x14ac:dyDescent="0.2">
      <c r="B1945" s="15"/>
      <c r="C1945" s="15"/>
      <c r="D1945" s="15"/>
      <c r="E1945" s="15"/>
    </row>
    <row r="1946" spans="2:5" x14ac:dyDescent="0.2">
      <c r="B1946" s="15"/>
      <c r="C1946" s="15"/>
      <c r="D1946" s="15"/>
      <c r="E1946" s="15"/>
    </row>
    <row r="1947" spans="2:5" x14ac:dyDescent="0.2">
      <c r="B1947" s="15"/>
      <c r="C1947" s="15"/>
      <c r="D1947" s="15"/>
      <c r="E1947" s="15"/>
    </row>
    <row r="1948" spans="2:5" x14ac:dyDescent="0.2">
      <c r="B1948" s="15"/>
      <c r="C1948" s="15"/>
      <c r="D1948" s="15"/>
      <c r="E1948" s="15"/>
    </row>
    <row r="1949" spans="2:5" x14ac:dyDescent="0.2">
      <c r="B1949" s="15"/>
      <c r="C1949" s="15"/>
      <c r="D1949" s="15"/>
      <c r="E1949" s="15"/>
    </row>
    <row r="1950" spans="2:5" x14ac:dyDescent="0.2">
      <c r="B1950" s="15"/>
      <c r="C1950" s="15"/>
      <c r="D1950" s="15"/>
      <c r="E1950" s="15"/>
    </row>
    <row r="1951" spans="2:5" x14ac:dyDescent="0.2">
      <c r="B1951" s="15"/>
      <c r="C1951" s="15"/>
      <c r="D1951" s="15"/>
      <c r="E1951" s="15"/>
    </row>
    <row r="1952" spans="2:5" x14ac:dyDescent="0.2">
      <c r="B1952" s="15"/>
      <c r="C1952" s="15"/>
      <c r="D1952" s="15"/>
      <c r="E1952" s="15"/>
    </row>
    <row r="1953" spans="2:5" x14ac:dyDescent="0.2">
      <c r="B1953" s="15"/>
      <c r="C1953" s="15"/>
      <c r="D1953" s="15"/>
      <c r="E1953" s="15"/>
    </row>
    <row r="1954" spans="2:5" x14ac:dyDescent="0.2">
      <c r="B1954" s="15"/>
      <c r="C1954" s="15"/>
      <c r="D1954" s="15"/>
      <c r="E1954" s="15"/>
    </row>
    <row r="1955" spans="2:5" x14ac:dyDescent="0.2">
      <c r="B1955" s="15"/>
      <c r="C1955" s="15"/>
      <c r="D1955" s="15"/>
      <c r="E1955" s="15"/>
    </row>
    <row r="1956" spans="2:5" x14ac:dyDescent="0.2">
      <c r="B1956" s="15"/>
      <c r="C1956" s="15"/>
      <c r="D1956" s="15"/>
      <c r="E1956" s="15"/>
    </row>
    <row r="1957" spans="2:5" x14ac:dyDescent="0.2">
      <c r="B1957" s="15"/>
      <c r="C1957" s="15"/>
      <c r="D1957" s="15"/>
      <c r="E1957" s="15"/>
    </row>
    <row r="1958" spans="2:5" x14ac:dyDescent="0.2">
      <c r="B1958" s="15"/>
      <c r="C1958" s="15"/>
      <c r="D1958" s="15"/>
      <c r="E1958" s="15"/>
    </row>
    <row r="1959" spans="2:5" x14ac:dyDescent="0.2">
      <c r="B1959" s="15"/>
      <c r="C1959" s="15"/>
      <c r="D1959" s="15"/>
      <c r="E1959" s="15"/>
    </row>
    <row r="1960" spans="2:5" x14ac:dyDescent="0.2">
      <c r="B1960" s="15"/>
      <c r="C1960" s="15"/>
      <c r="D1960" s="15"/>
      <c r="E1960" s="15"/>
    </row>
    <row r="1961" spans="2:5" x14ac:dyDescent="0.2">
      <c r="B1961" s="15"/>
      <c r="C1961" s="15"/>
      <c r="D1961" s="15"/>
      <c r="E1961" s="15"/>
    </row>
    <row r="1962" spans="2:5" x14ac:dyDescent="0.2">
      <c r="B1962" s="15"/>
      <c r="C1962" s="15"/>
      <c r="D1962" s="15"/>
      <c r="E1962" s="15"/>
    </row>
    <row r="1963" spans="2:5" x14ac:dyDescent="0.2">
      <c r="B1963" s="15"/>
      <c r="C1963" s="15"/>
      <c r="D1963" s="15"/>
      <c r="E1963" s="15"/>
    </row>
    <row r="1964" spans="2:5" x14ac:dyDescent="0.2">
      <c r="B1964" s="15"/>
      <c r="C1964" s="15"/>
      <c r="D1964" s="15"/>
      <c r="E1964" s="15"/>
    </row>
    <row r="1965" spans="2:5" x14ac:dyDescent="0.2">
      <c r="B1965" s="15"/>
      <c r="C1965" s="15"/>
      <c r="D1965" s="15"/>
      <c r="E1965" s="15"/>
    </row>
    <row r="1966" spans="2:5" x14ac:dyDescent="0.2">
      <c r="B1966" s="15"/>
      <c r="C1966" s="15"/>
      <c r="D1966" s="15"/>
      <c r="E1966" s="15"/>
    </row>
    <row r="1967" spans="2:5" x14ac:dyDescent="0.2">
      <c r="B1967" s="15"/>
      <c r="C1967" s="15"/>
      <c r="D1967" s="15"/>
      <c r="E1967" s="15"/>
    </row>
    <row r="1968" spans="2:5" x14ac:dyDescent="0.2">
      <c r="B1968" s="15"/>
      <c r="C1968" s="15"/>
      <c r="D1968" s="15"/>
      <c r="E1968" s="15"/>
    </row>
    <row r="1969" spans="2:5" x14ac:dyDescent="0.2">
      <c r="B1969" s="15"/>
      <c r="C1969" s="15"/>
      <c r="D1969" s="15"/>
      <c r="E1969" s="15"/>
    </row>
    <row r="1970" spans="2:5" x14ac:dyDescent="0.2">
      <c r="B1970" s="15"/>
      <c r="C1970" s="15"/>
      <c r="D1970" s="15"/>
      <c r="E1970" s="15"/>
    </row>
    <row r="1971" spans="2:5" x14ac:dyDescent="0.2">
      <c r="B1971" s="15"/>
      <c r="C1971" s="15"/>
      <c r="D1971" s="15"/>
      <c r="E1971" s="15"/>
    </row>
    <row r="1972" spans="2:5" x14ac:dyDescent="0.2">
      <c r="B1972" s="15"/>
      <c r="C1972" s="15"/>
      <c r="D1972" s="15"/>
      <c r="E1972" s="15"/>
    </row>
    <row r="1973" spans="2:5" x14ac:dyDescent="0.2">
      <c r="B1973" s="15"/>
      <c r="C1973" s="15"/>
      <c r="D1973" s="15"/>
      <c r="E1973" s="15"/>
    </row>
    <row r="1974" spans="2:5" x14ac:dyDescent="0.2">
      <c r="B1974" s="15"/>
      <c r="C1974" s="15"/>
      <c r="D1974" s="15"/>
      <c r="E1974" s="15"/>
    </row>
    <row r="1975" spans="2:5" x14ac:dyDescent="0.2">
      <c r="B1975" s="15"/>
      <c r="C1975" s="15"/>
      <c r="D1975" s="15"/>
      <c r="E1975" s="15"/>
    </row>
    <row r="1976" spans="2:5" x14ac:dyDescent="0.2">
      <c r="B1976" s="15"/>
      <c r="C1976" s="15"/>
      <c r="D1976" s="15"/>
      <c r="E1976" s="15"/>
    </row>
    <row r="1977" spans="2:5" x14ac:dyDescent="0.2">
      <c r="B1977" s="15"/>
      <c r="C1977" s="15"/>
      <c r="D1977" s="15"/>
      <c r="E1977" s="15"/>
    </row>
    <row r="1978" spans="2:5" x14ac:dyDescent="0.2">
      <c r="B1978" s="15"/>
      <c r="C1978" s="15"/>
      <c r="D1978" s="15"/>
      <c r="E1978" s="15"/>
    </row>
    <row r="1979" spans="2:5" x14ac:dyDescent="0.2">
      <c r="B1979" s="15"/>
      <c r="C1979" s="15"/>
      <c r="D1979" s="15"/>
      <c r="E1979" s="15"/>
    </row>
    <row r="1980" spans="2:5" x14ac:dyDescent="0.2">
      <c r="B1980" s="15"/>
      <c r="C1980" s="15"/>
      <c r="D1980" s="15"/>
      <c r="E1980" s="15"/>
    </row>
    <row r="1981" spans="2:5" x14ac:dyDescent="0.2">
      <c r="B1981" s="15"/>
      <c r="C1981" s="15"/>
      <c r="D1981" s="15"/>
      <c r="E1981" s="15"/>
    </row>
    <row r="1982" spans="2:5" x14ac:dyDescent="0.2">
      <c r="B1982" s="15"/>
      <c r="C1982" s="15"/>
      <c r="D1982" s="15"/>
      <c r="E1982" s="15"/>
    </row>
    <row r="1983" spans="2:5" x14ac:dyDescent="0.2">
      <c r="B1983" s="15"/>
      <c r="C1983" s="15"/>
      <c r="D1983" s="15"/>
      <c r="E1983" s="15"/>
    </row>
    <row r="1984" spans="2:5" x14ac:dyDescent="0.2">
      <c r="B1984" s="15"/>
      <c r="C1984" s="15"/>
      <c r="D1984" s="15"/>
      <c r="E1984" s="15"/>
    </row>
    <row r="1985" spans="2:5" x14ac:dyDescent="0.2">
      <c r="B1985" s="15"/>
      <c r="C1985" s="15"/>
      <c r="D1985" s="15"/>
      <c r="E1985" s="15"/>
    </row>
    <row r="1986" spans="2:5" x14ac:dyDescent="0.2">
      <c r="B1986" s="15"/>
      <c r="C1986" s="15"/>
      <c r="D1986" s="15"/>
      <c r="E1986" s="15"/>
    </row>
    <row r="1987" spans="2:5" x14ac:dyDescent="0.2">
      <c r="B1987" s="15"/>
      <c r="C1987" s="15"/>
      <c r="D1987" s="15"/>
      <c r="E1987" s="15"/>
    </row>
    <row r="1988" spans="2:5" x14ac:dyDescent="0.2">
      <c r="B1988" s="15"/>
      <c r="C1988" s="15"/>
      <c r="D1988" s="15"/>
      <c r="E1988" s="15"/>
    </row>
    <row r="1989" spans="2:5" x14ac:dyDescent="0.2">
      <c r="B1989" s="15"/>
      <c r="C1989" s="15"/>
      <c r="D1989" s="15"/>
      <c r="E1989" s="15"/>
    </row>
    <row r="1990" spans="2:5" x14ac:dyDescent="0.2">
      <c r="B1990" s="15"/>
      <c r="C1990" s="15"/>
      <c r="D1990" s="15"/>
      <c r="E1990" s="15"/>
    </row>
    <row r="1991" spans="2:5" x14ac:dyDescent="0.2">
      <c r="B1991" s="15"/>
      <c r="C1991" s="15"/>
      <c r="D1991" s="15"/>
      <c r="E1991" s="15"/>
    </row>
    <row r="1992" spans="2:5" x14ac:dyDescent="0.2">
      <c r="B1992" s="15"/>
      <c r="C1992" s="15"/>
      <c r="D1992" s="15"/>
      <c r="E1992" s="15"/>
    </row>
    <row r="1993" spans="2:5" x14ac:dyDescent="0.2">
      <c r="B1993" s="15"/>
      <c r="C1993" s="15"/>
      <c r="D1993" s="15"/>
      <c r="E1993" s="15"/>
    </row>
    <row r="1994" spans="2:5" x14ac:dyDescent="0.2">
      <c r="B1994" s="15"/>
      <c r="C1994" s="15"/>
      <c r="D1994" s="15"/>
      <c r="E1994" s="15"/>
    </row>
    <row r="1995" spans="2:5" x14ac:dyDescent="0.2">
      <c r="B1995" s="15"/>
      <c r="C1995" s="15"/>
      <c r="D1995" s="15"/>
      <c r="E1995" s="15"/>
    </row>
    <row r="1996" spans="2:5" x14ac:dyDescent="0.2">
      <c r="B1996" s="15"/>
      <c r="C1996" s="15"/>
      <c r="D1996" s="15"/>
      <c r="E1996" s="15"/>
    </row>
    <row r="1997" spans="2:5" x14ac:dyDescent="0.2">
      <c r="B1997" s="15"/>
      <c r="C1997" s="15"/>
      <c r="D1997" s="15"/>
      <c r="E1997" s="15"/>
    </row>
    <row r="1998" spans="2:5" x14ac:dyDescent="0.2">
      <c r="B1998" s="15"/>
      <c r="C1998" s="15"/>
      <c r="D1998" s="15"/>
      <c r="E1998" s="15"/>
    </row>
    <row r="1999" spans="2:5" x14ac:dyDescent="0.2">
      <c r="B1999" s="15"/>
      <c r="C1999" s="15"/>
      <c r="D1999" s="15"/>
      <c r="E1999" s="15"/>
    </row>
    <row r="2000" spans="2:5" x14ac:dyDescent="0.2">
      <c r="B2000" s="15"/>
      <c r="C2000" s="15"/>
      <c r="D2000" s="15"/>
      <c r="E2000" s="15"/>
    </row>
    <row r="2001" spans="2:5" x14ac:dyDescent="0.2">
      <c r="B2001" s="15"/>
      <c r="C2001" s="15"/>
      <c r="D2001" s="15"/>
      <c r="E2001" s="15"/>
    </row>
    <row r="2002" spans="2:5" x14ac:dyDescent="0.2">
      <c r="B2002" s="15"/>
      <c r="C2002" s="15"/>
      <c r="D2002" s="15"/>
      <c r="E2002" s="15"/>
    </row>
    <row r="2003" spans="2:5" x14ac:dyDescent="0.2">
      <c r="B2003" s="15"/>
      <c r="C2003" s="15"/>
      <c r="D2003" s="15"/>
      <c r="E2003" s="15"/>
    </row>
    <row r="2004" spans="2:5" x14ac:dyDescent="0.2">
      <c r="B2004" s="15"/>
      <c r="C2004" s="15"/>
      <c r="D2004" s="15"/>
      <c r="E2004" s="15"/>
    </row>
    <row r="2005" spans="2:5" x14ac:dyDescent="0.2">
      <c r="B2005" s="15"/>
      <c r="C2005" s="15"/>
      <c r="D2005" s="15"/>
      <c r="E2005" s="15"/>
    </row>
    <row r="2006" spans="2:5" x14ac:dyDescent="0.2">
      <c r="B2006" s="15"/>
      <c r="C2006" s="15"/>
      <c r="D2006" s="15"/>
      <c r="E2006" s="15"/>
    </row>
    <row r="2007" spans="2:5" x14ac:dyDescent="0.2">
      <c r="B2007" s="15"/>
      <c r="C2007" s="15"/>
      <c r="D2007" s="15"/>
      <c r="E2007" s="15"/>
    </row>
    <row r="2008" spans="2:5" x14ac:dyDescent="0.2">
      <c r="B2008" s="15"/>
      <c r="C2008" s="15"/>
      <c r="D2008" s="15"/>
      <c r="E2008" s="15"/>
    </row>
    <row r="2009" spans="2:5" x14ac:dyDescent="0.2">
      <c r="B2009" s="15"/>
      <c r="C2009" s="15"/>
      <c r="D2009" s="15"/>
      <c r="E2009" s="15"/>
    </row>
    <row r="2010" spans="2:5" x14ac:dyDescent="0.2">
      <c r="B2010" s="15"/>
      <c r="C2010" s="15"/>
      <c r="D2010" s="15"/>
      <c r="E2010" s="15"/>
    </row>
    <row r="2011" spans="2:5" x14ac:dyDescent="0.2">
      <c r="B2011" s="15"/>
      <c r="C2011" s="15"/>
      <c r="D2011" s="15"/>
      <c r="E2011" s="15"/>
    </row>
    <row r="2012" spans="2:5" x14ac:dyDescent="0.2">
      <c r="B2012" s="15"/>
      <c r="C2012" s="15"/>
      <c r="D2012" s="15"/>
      <c r="E2012" s="15"/>
    </row>
    <row r="2013" spans="2:5" x14ac:dyDescent="0.2">
      <c r="B2013" s="15"/>
      <c r="C2013" s="15"/>
      <c r="D2013" s="15"/>
      <c r="E2013" s="15"/>
    </row>
    <row r="2014" spans="2:5" x14ac:dyDescent="0.2">
      <c r="B2014" s="15"/>
      <c r="C2014" s="15"/>
      <c r="D2014" s="15"/>
      <c r="E2014" s="15"/>
    </row>
    <row r="2015" spans="2:5" x14ac:dyDescent="0.2">
      <c r="B2015" s="15"/>
      <c r="C2015" s="15"/>
      <c r="D2015" s="15"/>
      <c r="E2015" s="15"/>
    </row>
    <row r="2016" spans="2:5" x14ac:dyDescent="0.2">
      <c r="B2016" s="15"/>
      <c r="C2016" s="15"/>
      <c r="D2016" s="15"/>
      <c r="E2016" s="15"/>
    </row>
    <row r="2017" spans="2:5" x14ac:dyDescent="0.2">
      <c r="B2017" s="15"/>
      <c r="C2017" s="15"/>
      <c r="D2017" s="15"/>
      <c r="E2017" s="15"/>
    </row>
    <row r="2018" spans="2:5" x14ac:dyDescent="0.2">
      <c r="B2018" s="15"/>
      <c r="C2018" s="15"/>
      <c r="D2018" s="15"/>
      <c r="E2018" s="15"/>
    </row>
    <row r="2019" spans="2:5" x14ac:dyDescent="0.2">
      <c r="B2019" s="15"/>
      <c r="C2019" s="15"/>
      <c r="D2019" s="15"/>
      <c r="E2019" s="15"/>
    </row>
    <row r="2020" spans="2:5" x14ac:dyDescent="0.2">
      <c r="B2020" s="15"/>
      <c r="C2020" s="15"/>
      <c r="D2020" s="15"/>
      <c r="E2020" s="15"/>
    </row>
    <row r="2021" spans="2:5" x14ac:dyDescent="0.2">
      <c r="B2021" s="15"/>
      <c r="C2021" s="15"/>
      <c r="D2021" s="15"/>
      <c r="E2021" s="15"/>
    </row>
    <row r="2022" spans="2:5" x14ac:dyDescent="0.2">
      <c r="B2022" s="15"/>
      <c r="C2022" s="15"/>
      <c r="D2022" s="15"/>
      <c r="E2022" s="15"/>
    </row>
    <row r="2023" spans="2:5" x14ac:dyDescent="0.2">
      <c r="B2023" s="15"/>
      <c r="C2023" s="15"/>
      <c r="D2023" s="15"/>
      <c r="E2023" s="15"/>
    </row>
    <row r="2024" spans="2:5" x14ac:dyDescent="0.2">
      <c r="B2024" s="15"/>
      <c r="C2024" s="15"/>
      <c r="D2024" s="15"/>
      <c r="E2024" s="15"/>
    </row>
    <row r="2025" spans="2:5" x14ac:dyDescent="0.2">
      <c r="B2025" s="15"/>
      <c r="C2025" s="15"/>
      <c r="D2025" s="15"/>
      <c r="E2025" s="15"/>
    </row>
    <row r="2026" spans="2:5" x14ac:dyDescent="0.2">
      <c r="B2026" s="15"/>
      <c r="C2026" s="15"/>
      <c r="D2026" s="15"/>
      <c r="E2026" s="15"/>
    </row>
    <row r="2027" spans="2:5" x14ac:dyDescent="0.2">
      <c r="B2027" s="15"/>
      <c r="C2027" s="15"/>
      <c r="D2027" s="15"/>
      <c r="E2027" s="15"/>
    </row>
    <row r="2028" spans="2:5" x14ac:dyDescent="0.2">
      <c r="B2028" s="15"/>
      <c r="C2028" s="15"/>
      <c r="D2028" s="15"/>
      <c r="E2028" s="15"/>
    </row>
    <row r="2029" spans="2:5" x14ac:dyDescent="0.2">
      <c r="B2029" s="15"/>
      <c r="C2029" s="15"/>
      <c r="D2029" s="15"/>
      <c r="E2029" s="15"/>
    </row>
    <row r="2030" spans="2:5" x14ac:dyDescent="0.2">
      <c r="B2030" s="15"/>
      <c r="C2030" s="15"/>
      <c r="D2030" s="15"/>
      <c r="E2030" s="15"/>
    </row>
    <row r="2031" spans="2:5" x14ac:dyDescent="0.2">
      <c r="B2031" s="15"/>
      <c r="C2031" s="15"/>
      <c r="D2031" s="15"/>
      <c r="E2031" s="15"/>
    </row>
    <row r="2032" spans="2:5" x14ac:dyDescent="0.2">
      <c r="B2032" s="15"/>
      <c r="C2032" s="15"/>
      <c r="D2032" s="15"/>
      <c r="E2032" s="15"/>
    </row>
    <row r="2033" spans="2:5" x14ac:dyDescent="0.2">
      <c r="B2033" s="15"/>
      <c r="C2033" s="15"/>
      <c r="D2033" s="15"/>
      <c r="E2033" s="15"/>
    </row>
    <row r="2034" spans="2:5" x14ac:dyDescent="0.2">
      <c r="B2034" s="15"/>
      <c r="C2034" s="15"/>
      <c r="D2034" s="15"/>
      <c r="E2034" s="15"/>
    </row>
    <row r="2035" spans="2:5" x14ac:dyDescent="0.2">
      <c r="B2035" s="15"/>
      <c r="C2035" s="15"/>
      <c r="D2035" s="15"/>
      <c r="E2035" s="15"/>
    </row>
    <row r="2036" spans="2:5" x14ac:dyDescent="0.2">
      <c r="B2036" s="15"/>
      <c r="C2036" s="15"/>
      <c r="D2036" s="15"/>
      <c r="E2036" s="15"/>
    </row>
    <row r="2037" spans="2:5" x14ac:dyDescent="0.2">
      <c r="B2037" s="15"/>
      <c r="C2037" s="15"/>
      <c r="D2037" s="15"/>
      <c r="E2037" s="15"/>
    </row>
    <row r="2038" spans="2:5" x14ac:dyDescent="0.2">
      <c r="B2038" s="15"/>
      <c r="C2038" s="15"/>
      <c r="D2038" s="15"/>
      <c r="E2038" s="15"/>
    </row>
    <row r="2039" spans="2:5" x14ac:dyDescent="0.2">
      <c r="B2039" s="15"/>
      <c r="C2039" s="15"/>
      <c r="D2039" s="15"/>
      <c r="E2039" s="15"/>
    </row>
    <row r="2040" spans="2:5" x14ac:dyDescent="0.2">
      <c r="B2040" s="15"/>
      <c r="C2040" s="15"/>
      <c r="D2040" s="15"/>
      <c r="E2040" s="15"/>
    </row>
    <row r="2041" spans="2:5" x14ac:dyDescent="0.2">
      <c r="B2041" s="15"/>
      <c r="C2041" s="15"/>
      <c r="D2041" s="15"/>
      <c r="E2041" s="15"/>
    </row>
    <row r="2042" spans="2:5" x14ac:dyDescent="0.2">
      <c r="B2042" s="15"/>
      <c r="C2042" s="15"/>
      <c r="D2042" s="15"/>
      <c r="E2042" s="15"/>
    </row>
    <row r="2043" spans="2:5" x14ac:dyDescent="0.2">
      <c r="B2043" s="15"/>
      <c r="C2043" s="15"/>
      <c r="D2043" s="15"/>
      <c r="E2043" s="15"/>
    </row>
    <row r="2044" spans="2:5" x14ac:dyDescent="0.2">
      <c r="B2044" s="15"/>
      <c r="C2044" s="15"/>
      <c r="D2044" s="15"/>
      <c r="E2044" s="15"/>
    </row>
    <row r="2045" spans="2:5" x14ac:dyDescent="0.2">
      <c r="B2045" s="15"/>
      <c r="C2045" s="15"/>
      <c r="D2045" s="15"/>
      <c r="E2045" s="15"/>
    </row>
    <row r="2046" spans="2:5" x14ac:dyDescent="0.2">
      <c r="B2046" s="15"/>
      <c r="C2046" s="15"/>
      <c r="D2046" s="15"/>
      <c r="E2046" s="15"/>
    </row>
    <row r="2047" spans="2:5" x14ac:dyDescent="0.2">
      <c r="B2047" s="15"/>
      <c r="C2047" s="15"/>
      <c r="D2047" s="15"/>
      <c r="E2047" s="15"/>
    </row>
    <row r="2048" spans="2:5" x14ac:dyDescent="0.2">
      <c r="B2048" s="15"/>
      <c r="C2048" s="15"/>
      <c r="D2048" s="15"/>
      <c r="E2048" s="15"/>
    </row>
    <row r="2049" spans="2:5" x14ac:dyDescent="0.2">
      <c r="B2049" s="15"/>
      <c r="C2049" s="15"/>
      <c r="D2049" s="15"/>
      <c r="E2049" s="15"/>
    </row>
    <row r="2050" spans="2:5" x14ac:dyDescent="0.2">
      <c r="B2050" s="15"/>
      <c r="C2050" s="15"/>
      <c r="D2050" s="15"/>
      <c r="E2050" s="15"/>
    </row>
    <row r="2051" spans="2:5" x14ac:dyDescent="0.2">
      <c r="B2051" s="15"/>
      <c r="C2051" s="15"/>
      <c r="D2051" s="15"/>
      <c r="E2051" s="15"/>
    </row>
    <row r="2052" spans="2:5" x14ac:dyDescent="0.2">
      <c r="B2052" s="15"/>
      <c r="C2052" s="15"/>
      <c r="D2052" s="15"/>
      <c r="E2052" s="15"/>
    </row>
    <row r="2053" spans="2:5" x14ac:dyDescent="0.2">
      <c r="B2053" s="15"/>
      <c r="C2053" s="15"/>
      <c r="D2053" s="15"/>
      <c r="E2053" s="15"/>
    </row>
    <row r="2054" spans="2:5" x14ac:dyDescent="0.2">
      <c r="B2054" s="15"/>
      <c r="C2054" s="15"/>
      <c r="D2054" s="15"/>
      <c r="E2054" s="15"/>
    </row>
    <row r="2055" spans="2:5" x14ac:dyDescent="0.2">
      <c r="B2055" s="15"/>
      <c r="C2055" s="15"/>
      <c r="D2055" s="15"/>
      <c r="E2055" s="15"/>
    </row>
    <row r="2056" spans="2:5" x14ac:dyDescent="0.2">
      <c r="B2056" s="15"/>
      <c r="C2056" s="15"/>
      <c r="D2056" s="15"/>
      <c r="E2056" s="15"/>
    </row>
    <row r="2057" spans="2:5" x14ac:dyDescent="0.2">
      <c r="B2057" s="15"/>
      <c r="C2057" s="15"/>
      <c r="D2057" s="15"/>
      <c r="E2057" s="15"/>
    </row>
    <row r="2058" spans="2:5" x14ac:dyDescent="0.2">
      <c r="B2058" s="15"/>
      <c r="C2058" s="15"/>
      <c r="D2058" s="15"/>
      <c r="E2058" s="15"/>
    </row>
    <row r="2059" spans="2:5" x14ac:dyDescent="0.2">
      <c r="B2059" s="15"/>
      <c r="C2059" s="15"/>
      <c r="D2059" s="15"/>
      <c r="E2059" s="15"/>
    </row>
    <row r="2060" spans="2:5" x14ac:dyDescent="0.2">
      <c r="B2060" s="15"/>
      <c r="C2060" s="15"/>
      <c r="D2060" s="15"/>
      <c r="E2060" s="15"/>
    </row>
    <row r="2061" spans="2:5" x14ac:dyDescent="0.2">
      <c r="B2061" s="15"/>
      <c r="C2061" s="15"/>
      <c r="D2061" s="15"/>
      <c r="E2061" s="15"/>
    </row>
    <row r="2062" spans="2:5" x14ac:dyDescent="0.2">
      <c r="B2062" s="15"/>
      <c r="C2062" s="15"/>
      <c r="D2062" s="15"/>
      <c r="E2062" s="15"/>
    </row>
    <row r="2063" spans="2:5" x14ac:dyDescent="0.2">
      <c r="B2063" s="15"/>
      <c r="C2063" s="15"/>
      <c r="D2063" s="15"/>
      <c r="E2063" s="15"/>
    </row>
    <row r="2064" spans="2:5" x14ac:dyDescent="0.2">
      <c r="B2064" s="15"/>
      <c r="C2064" s="15"/>
      <c r="D2064" s="15"/>
      <c r="E2064" s="15"/>
    </row>
    <row r="2065" spans="2:5" x14ac:dyDescent="0.2">
      <c r="B2065" s="15"/>
      <c r="C2065" s="15"/>
      <c r="D2065" s="15"/>
      <c r="E2065" s="15"/>
    </row>
    <row r="2066" spans="2:5" x14ac:dyDescent="0.2">
      <c r="B2066" s="15"/>
      <c r="C2066" s="15"/>
      <c r="D2066" s="15"/>
      <c r="E2066" s="15"/>
    </row>
    <row r="2067" spans="2:5" x14ac:dyDescent="0.2">
      <c r="B2067" s="15"/>
      <c r="C2067" s="15"/>
      <c r="D2067" s="15"/>
      <c r="E2067" s="15"/>
    </row>
    <row r="2068" spans="2:5" x14ac:dyDescent="0.2">
      <c r="B2068" s="15"/>
      <c r="C2068" s="15"/>
      <c r="D2068" s="15"/>
      <c r="E2068" s="15"/>
    </row>
    <row r="2069" spans="2:5" x14ac:dyDescent="0.2">
      <c r="B2069" s="15"/>
      <c r="C2069" s="15"/>
      <c r="D2069" s="15"/>
      <c r="E2069" s="15"/>
    </row>
    <row r="2070" spans="2:5" x14ac:dyDescent="0.2">
      <c r="B2070" s="15"/>
      <c r="C2070" s="15"/>
      <c r="D2070" s="15"/>
      <c r="E2070" s="15"/>
    </row>
    <row r="2071" spans="2:5" x14ac:dyDescent="0.2">
      <c r="B2071" s="15"/>
      <c r="C2071" s="15"/>
      <c r="D2071" s="15"/>
      <c r="E2071" s="15"/>
    </row>
    <row r="2072" spans="2:5" x14ac:dyDescent="0.2">
      <c r="B2072" s="15"/>
      <c r="C2072" s="15"/>
      <c r="D2072" s="15"/>
      <c r="E2072" s="15"/>
    </row>
    <row r="2073" spans="2:5" x14ac:dyDescent="0.2">
      <c r="B2073" s="15"/>
      <c r="C2073" s="15"/>
      <c r="D2073" s="15"/>
      <c r="E2073" s="15"/>
    </row>
    <row r="2074" spans="2:5" x14ac:dyDescent="0.2">
      <c r="B2074" s="15"/>
      <c r="C2074" s="15"/>
      <c r="D2074" s="15"/>
      <c r="E2074" s="15"/>
    </row>
    <row r="2075" spans="2:5" x14ac:dyDescent="0.2">
      <c r="B2075" s="15"/>
      <c r="C2075" s="15"/>
      <c r="D2075" s="15"/>
      <c r="E2075" s="15"/>
    </row>
    <row r="2076" spans="2:5" x14ac:dyDescent="0.2">
      <c r="B2076" s="15"/>
      <c r="C2076" s="15"/>
      <c r="D2076" s="15"/>
      <c r="E2076" s="15"/>
    </row>
    <row r="2077" spans="2:5" x14ac:dyDescent="0.2">
      <c r="B2077" s="15"/>
      <c r="C2077" s="15"/>
      <c r="D2077" s="15"/>
      <c r="E2077" s="15"/>
    </row>
    <row r="2078" spans="2:5" x14ac:dyDescent="0.2">
      <c r="B2078" s="15"/>
      <c r="C2078" s="15"/>
      <c r="D2078" s="15"/>
      <c r="E2078" s="15"/>
    </row>
    <row r="2079" spans="2:5" x14ac:dyDescent="0.2">
      <c r="B2079" s="15"/>
      <c r="C2079" s="15"/>
      <c r="D2079" s="15"/>
      <c r="E2079" s="15"/>
    </row>
    <row r="2080" spans="2:5" x14ac:dyDescent="0.2">
      <c r="B2080" s="15"/>
      <c r="C2080" s="15"/>
      <c r="D2080" s="15"/>
      <c r="E2080" s="15"/>
    </row>
    <row r="2081" spans="2:5" x14ac:dyDescent="0.2">
      <c r="B2081" s="15"/>
      <c r="C2081" s="15"/>
      <c r="D2081" s="15"/>
      <c r="E2081" s="15"/>
    </row>
    <row r="2082" spans="2:5" x14ac:dyDescent="0.2">
      <c r="B2082" s="15"/>
      <c r="C2082" s="15"/>
      <c r="D2082" s="15"/>
      <c r="E2082" s="15"/>
    </row>
    <row r="2083" spans="2:5" x14ac:dyDescent="0.2">
      <c r="B2083" s="15"/>
      <c r="C2083" s="15"/>
      <c r="D2083" s="15"/>
      <c r="E2083" s="15"/>
    </row>
    <row r="2084" spans="2:5" x14ac:dyDescent="0.2">
      <c r="B2084" s="15"/>
      <c r="C2084" s="15"/>
      <c r="D2084" s="15"/>
      <c r="E2084" s="15"/>
    </row>
    <row r="2085" spans="2:5" x14ac:dyDescent="0.2">
      <c r="B2085" s="15"/>
      <c r="C2085" s="15"/>
      <c r="D2085" s="15"/>
      <c r="E2085" s="15"/>
    </row>
    <row r="2086" spans="2:5" x14ac:dyDescent="0.2">
      <c r="B2086" s="15"/>
      <c r="C2086" s="15"/>
      <c r="D2086" s="15"/>
      <c r="E2086" s="15"/>
    </row>
    <row r="2087" spans="2:5" x14ac:dyDescent="0.2">
      <c r="B2087" s="15"/>
      <c r="C2087" s="15"/>
      <c r="D2087" s="15"/>
      <c r="E2087" s="15"/>
    </row>
    <row r="2088" spans="2:5" x14ac:dyDescent="0.2">
      <c r="B2088" s="15"/>
      <c r="C2088" s="15"/>
      <c r="D2088" s="15"/>
      <c r="E2088" s="15"/>
    </row>
    <row r="2089" spans="2:5" x14ac:dyDescent="0.2">
      <c r="B2089" s="15"/>
      <c r="C2089" s="15"/>
      <c r="D2089" s="15"/>
      <c r="E2089" s="15"/>
    </row>
    <row r="2090" spans="2:5" x14ac:dyDescent="0.2">
      <c r="B2090" s="15"/>
      <c r="C2090" s="15"/>
      <c r="D2090" s="15"/>
      <c r="E2090" s="15"/>
    </row>
    <row r="2091" spans="2:5" x14ac:dyDescent="0.2">
      <c r="B2091" s="15"/>
      <c r="C2091" s="15"/>
      <c r="D2091" s="15"/>
      <c r="E2091" s="15"/>
    </row>
    <row r="2092" spans="2:5" x14ac:dyDescent="0.2">
      <c r="B2092" s="15"/>
      <c r="C2092" s="15"/>
      <c r="D2092" s="15"/>
      <c r="E2092" s="15"/>
    </row>
    <row r="2093" spans="2:5" x14ac:dyDescent="0.2">
      <c r="B2093" s="15"/>
      <c r="C2093" s="15"/>
      <c r="D2093" s="15"/>
      <c r="E2093" s="15"/>
    </row>
    <row r="2094" spans="2:5" x14ac:dyDescent="0.2">
      <c r="B2094" s="15"/>
      <c r="C2094" s="15"/>
      <c r="D2094" s="15"/>
      <c r="E2094" s="15"/>
    </row>
    <row r="2095" spans="2:5" x14ac:dyDescent="0.2">
      <c r="B2095" s="15"/>
      <c r="C2095" s="15"/>
      <c r="D2095" s="15"/>
      <c r="E2095" s="15"/>
    </row>
    <row r="2096" spans="2:5" x14ac:dyDescent="0.2">
      <c r="B2096" s="15"/>
      <c r="C2096" s="15"/>
      <c r="D2096" s="15"/>
      <c r="E2096" s="15"/>
    </row>
    <row r="2097" spans="2:5" x14ac:dyDescent="0.2">
      <c r="B2097" s="15"/>
      <c r="C2097" s="15"/>
      <c r="D2097" s="15"/>
      <c r="E2097" s="15"/>
    </row>
    <row r="2098" spans="2:5" x14ac:dyDescent="0.2">
      <c r="B2098" s="15"/>
      <c r="C2098" s="15"/>
      <c r="D2098" s="15"/>
      <c r="E2098" s="15"/>
    </row>
    <row r="2099" spans="2:5" x14ac:dyDescent="0.2">
      <c r="B2099" s="15"/>
      <c r="C2099" s="15"/>
      <c r="D2099" s="15"/>
      <c r="E2099" s="15"/>
    </row>
    <row r="2100" spans="2:5" x14ac:dyDescent="0.2">
      <c r="B2100" s="15"/>
      <c r="C2100" s="15"/>
      <c r="D2100" s="15"/>
      <c r="E2100" s="15"/>
    </row>
    <row r="2101" spans="2:5" x14ac:dyDescent="0.2">
      <c r="B2101" s="15"/>
      <c r="C2101" s="15"/>
      <c r="D2101" s="15"/>
      <c r="E2101" s="15"/>
    </row>
    <row r="2102" spans="2:5" x14ac:dyDescent="0.2">
      <c r="B2102" s="15"/>
      <c r="C2102" s="15"/>
      <c r="D2102" s="15"/>
      <c r="E2102" s="15"/>
    </row>
    <row r="2103" spans="2:5" x14ac:dyDescent="0.2">
      <c r="B2103" s="15"/>
      <c r="C2103" s="15"/>
      <c r="D2103" s="15"/>
      <c r="E2103" s="15"/>
    </row>
    <row r="2104" spans="2:5" x14ac:dyDescent="0.2">
      <c r="B2104" s="15"/>
      <c r="C2104" s="15"/>
      <c r="D2104" s="15"/>
      <c r="E2104" s="15"/>
    </row>
    <row r="2105" spans="2:5" x14ac:dyDescent="0.2">
      <c r="B2105" s="15"/>
      <c r="C2105" s="15"/>
      <c r="D2105" s="15"/>
      <c r="E2105" s="15"/>
    </row>
    <row r="2106" spans="2:5" x14ac:dyDescent="0.2">
      <c r="B2106" s="15"/>
      <c r="C2106" s="15"/>
      <c r="D2106" s="15"/>
      <c r="E2106" s="15"/>
    </row>
    <row r="2107" spans="2:5" x14ac:dyDescent="0.2">
      <c r="B2107" s="15"/>
      <c r="C2107" s="15"/>
      <c r="D2107" s="15"/>
      <c r="E2107" s="15"/>
    </row>
    <row r="2108" spans="2:5" x14ac:dyDescent="0.2">
      <c r="B2108" s="15"/>
      <c r="C2108" s="15"/>
      <c r="D2108" s="15"/>
      <c r="E2108" s="15"/>
    </row>
    <row r="2109" spans="2:5" x14ac:dyDescent="0.2">
      <c r="B2109" s="15"/>
      <c r="C2109" s="15"/>
      <c r="D2109" s="15"/>
      <c r="E2109" s="15"/>
    </row>
    <row r="2110" spans="2:5" x14ac:dyDescent="0.2">
      <c r="B2110" s="15"/>
      <c r="C2110" s="15"/>
      <c r="D2110" s="15"/>
      <c r="E2110" s="15"/>
    </row>
    <row r="2111" spans="2:5" x14ac:dyDescent="0.2">
      <c r="B2111" s="15"/>
      <c r="C2111" s="15"/>
      <c r="D2111" s="15"/>
      <c r="E2111" s="15"/>
    </row>
    <row r="2112" spans="2:5" x14ac:dyDescent="0.2">
      <c r="B2112" s="15"/>
      <c r="C2112" s="15"/>
      <c r="D2112" s="15"/>
      <c r="E2112" s="15"/>
    </row>
    <row r="2113" spans="2:5" x14ac:dyDescent="0.2">
      <c r="B2113" s="15"/>
      <c r="C2113" s="15"/>
      <c r="D2113" s="15"/>
      <c r="E2113" s="15"/>
    </row>
    <row r="2114" spans="2:5" x14ac:dyDescent="0.2">
      <c r="B2114" s="15"/>
      <c r="C2114" s="15"/>
      <c r="D2114" s="15"/>
      <c r="E2114" s="15"/>
    </row>
    <row r="2115" spans="2:5" x14ac:dyDescent="0.2">
      <c r="B2115" s="15"/>
      <c r="C2115" s="15"/>
      <c r="D2115" s="15"/>
      <c r="E2115" s="15"/>
    </row>
    <row r="2116" spans="2:5" x14ac:dyDescent="0.2">
      <c r="B2116" s="15"/>
      <c r="C2116" s="15"/>
      <c r="D2116" s="15"/>
      <c r="E2116" s="15"/>
    </row>
    <row r="2117" spans="2:5" x14ac:dyDescent="0.2">
      <c r="B2117" s="15"/>
      <c r="C2117" s="15"/>
      <c r="D2117" s="15"/>
      <c r="E2117" s="15"/>
    </row>
    <row r="2118" spans="2:5" x14ac:dyDescent="0.2">
      <c r="B2118" s="15"/>
      <c r="C2118" s="15"/>
      <c r="D2118" s="15"/>
      <c r="E2118" s="15"/>
    </row>
    <row r="2119" spans="2:5" x14ac:dyDescent="0.2">
      <c r="B2119" s="15"/>
      <c r="C2119" s="15"/>
      <c r="D2119" s="15"/>
      <c r="E2119" s="15"/>
    </row>
    <row r="2120" spans="2:5" x14ac:dyDescent="0.2">
      <c r="B2120" s="15"/>
      <c r="C2120" s="15"/>
      <c r="D2120" s="15"/>
      <c r="E2120" s="15"/>
    </row>
    <row r="2121" spans="2:5" x14ac:dyDescent="0.2">
      <c r="B2121" s="15"/>
      <c r="C2121" s="15"/>
      <c r="D2121" s="15"/>
      <c r="E2121" s="15"/>
    </row>
    <row r="2122" spans="2:5" x14ac:dyDescent="0.2">
      <c r="B2122" s="15"/>
      <c r="C2122" s="15"/>
      <c r="D2122" s="15"/>
      <c r="E2122" s="15"/>
    </row>
    <row r="2123" spans="2:5" x14ac:dyDescent="0.2">
      <c r="B2123" s="15"/>
      <c r="C2123" s="15"/>
      <c r="D2123" s="15"/>
      <c r="E2123" s="15"/>
    </row>
    <row r="2124" spans="2:5" x14ac:dyDescent="0.2">
      <c r="B2124" s="15"/>
      <c r="C2124" s="15"/>
      <c r="D2124" s="15"/>
      <c r="E2124" s="15"/>
    </row>
    <row r="2125" spans="2:5" x14ac:dyDescent="0.2">
      <c r="B2125" s="15"/>
      <c r="C2125" s="15"/>
      <c r="D2125" s="15"/>
      <c r="E2125" s="15"/>
    </row>
    <row r="2126" spans="2:5" x14ac:dyDescent="0.2">
      <c r="B2126" s="15"/>
      <c r="C2126" s="15"/>
      <c r="D2126" s="15"/>
      <c r="E2126" s="15"/>
    </row>
    <row r="2127" spans="2:5" x14ac:dyDescent="0.2">
      <c r="B2127" s="15"/>
      <c r="C2127" s="15"/>
      <c r="D2127" s="15"/>
      <c r="E2127" s="15"/>
    </row>
    <row r="2128" spans="2:5" x14ac:dyDescent="0.2">
      <c r="B2128" s="15"/>
      <c r="C2128" s="15"/>
      <c r="D2128" s="15"/>
      <c r="E2128" s="15"/>
    </row>
    <row r="2129" spans="2:5" x14ac:dyDescent="0.2">
      <c r="B2129" s="15"/>
      <c r="C2129" s="15"/>
      <c r="D2129" s="15"/>
      <c r="E2129" s="15"/>
    </row>
    <row r="2130" spans="2:5" x14ac:dyDescent="0.2">
      <c r="B2130" s="15"/>
      <c r="C2130" s="15"/>
      <c r="D2130" s="15"/>
      <c r="E2130" s="15"/>
    </row>
    <row r="2131" spans="2:5" x14ac:dyDescent="0.2">
      <c r="B2131" s="15"/>
      <c r="C2131" s="15"/>
      <c r="D2131" s="15"/>
      <c r="E2131" s="15"/>
    </row>
    <row r="2132" spans="2:5" x14ac:dyDescent="0.2">
      <c r="B2132" s="15"/>
      <c r="C2132" s="15"/>
      <c r="D2132" s="15"/>
      <c r="E2132" s="15"/>
    </row>
    <row r="2133" spans="2:5" x14ac:dyDescent="0.2">
      <c r="B2133" s="15"/>
      <c r="C2133" s="15"/>
      <c r="D2133" s="15"/>
      <c r="E2133" s="15"/>
    </row>
    <row r="2134" spans="2:5" x14ac:dyDescent="0.2">
      <c r="B2134" s="15"/>
      <c r="C2134" s="15"/>
      <c r="D2134" s="15"/>
      <c r="E2134" s="15"/>
    </row>
    <row r="2135" spans="2:5" x14ac:dyDescent="0.2">
      <c r="B2135" s="15"/>
      <c r="C2135" s="15"/>
      <c r="D2135" s="15"/>
      <c r="E2135" s="15"/>
    </row>
    <row r="2136" spans="2:5" x14ac:dyDescent="0.2">
      <c r="B2136" s="15"/>
      <c r="C2136" s="15"/>
      <c r="D2136" s="15"/>
      <c r="E2136" s="15"/>
    </row>
    <row r="2137" spans="2:5" x14ac:dyDescent="0.2">
      <c r="B2137" s="15"/>
      <c r="C2137" s="15"/>
      <c r="D2137" s="15"/>
      <c r="E2137" s="15"/>
    </row>
    <row r="2138" spans="2:5" x14ac:dyDescent="0.2">
      <c r="B2138" s="15"/>
      <c r="C2138" s="15"/>
      <c r="D2138" s="15"/>
      <c r="E2138" s="15"/>
    </row>
    <row r="2139" spans="2:5" x14ac:dyDescent="0.2">
      <c r="B2139" s="15"/>
      <c r="C2139" s="15"/>
      <c r="D2139" s="15"/>
      <c r="E2139" s="15"/>
    </row>
    <row r="2140" spans="2:5" x14ac:dyDescent="0.2">
      <c r="B2140" s="15"/>
      <c r="C2140" s="15"/>
      <c r="D2140" s="15"/>
      <c r="E2140" s="15"/>
    </row>
    <row r="2141" spans="2:5" x14ac:dyDescent="0.2">
      <c r="B2141" s="15"/>
      <c r="C2141" s="15"/>
      <c r="D2141" s="15"/>
      <c r="E2141" s="15"/>
    </row>
    <row r="2142" spans="2:5" x14ac:dyDescent="0.2">
      <c r="B2142" s="15"/>
      <c r="C2142" s="15"/>
      <c r="D2142" s="15"/>
      <c r="E2142" s="15"/>
    </row>
    <row r="2143" spans="2:5" x14ac:dyDescent="0.2">
      <c r="B2143" s="15"/>
      <c r="C2143" s="15"/>
      <c r="D2143" s="15"/>
      <c r="E2143" s="15"/>
    </row>
    <row r="2144" spans="2:5" x14ac:dyDescent="0.2">
      <c r="B2144" s="15"/>
      <c r="C2144" s="15"/>
      <c r="D2144" s="15"/>
      <c r="E2144" s="15"/>
    </row>
    <row r="2145" spans="2:5" x14ac:dyDescent="0.2">
      <c r="B2145" s="15"/>
      <c r="C2145" s="15"/>
      <c r="D2145" s="15"/>
      <c r="E2145" s="15"/>
    </row>
    <row r="2146" spans="2:5" x14ac:dyDescent="0.2">
      <c r="B2146" s="15"/>
      <c r="C2146" s="15"/>
      <c r="D2146" s="15"/>
      <c r="E2146" s="15"/>
    </row>
    <row r="2147" spans="2:5" x14ac:dyDescent="0.2">
      <c r="B2147" s="15"/>
      <c r="C2147" s="15"/>
      <c r="D2147" s="15"/>
      <c r="E2147" s="15"/>
    </row>
    <row r="2148" spans="2:5" x14ac:dyDescent="0.2">
      <c r="B2148" s="15"/>
      <c r="C2148" s="15"/>
      <c r="D2148" s="15"/>
      <c r="E2148" s="15"/>
    </row>
    <row r="2149" spans="2:5" x14ac:dyDescent="0.2">
      <c r="B2149" s="15"/>
      <c r="C2149" s="15"/>
      <c r="D2149" s="15"/>
      <c r="E2149" s="15"/>
    </row>
    <row r="2150" spans="2:5" x14ac:dyDescent="0.2">
      <c r="B2150" s="15"/>
      <c r="C2150" s="15"/>
      <c r="D2150" s="15"/>
      <c r="E2150" s="15"/>
    </row>
    <row r="2151" spans="2:5" x14ac:dyDescent="0.2">
      <c r="B2151" s="15"/>
      <c r="C2151" s="15"/>
      <c r="D2151" s="15"/>
      <c r="E2151" s="15"/>
    </row>
    <row r="2152" spans="2:5" x14ac:dyDescent="0.2">
      <c r="B2152" s="15"/>
      <c r="C2152" s="15"/>
      <c r="D2152" s="15"/>
      <c r="E2152" s="15"/>
    </row>
    <row r="2153" spans="2:5" x14ac:dyDescent="0.2">
      <c r="B2153" s="15"/>
      <c r="C2153" s="15"/>
      <c r="D2153" s="15"/>
      <c r="E2153" s="15"/>
    </row>
    <row r="2154" spans="2:5" x14ac:dyDescent="0.2">
      <c r="B2154" s="15"/>
      <c r="C2154" s="15"/>
      <c r="D2154" s="15"/>
      <c r="E2154" s="15"/>
    </row>
    <row r="2155" spans="2:5" x14ac:dyDescent="0.2">
      <c r="B2155" s="15"/>
      <c r="C2155" s="15"/>
      <c r="D2155" s="15"/>
      <c r="E2155" s="15"/>
    </row>
    <row r="2156" spans="2:5" x14ac:dyDescent="0.2">
      <c r="B2156" s="15"/>
      <c r="C2156" s="15"/>
      <c r="D2156" s="15"/>
      <c r="E2156" s="15"/>
    </row>
    <row r="2157" spans="2:5" x14ac:dyDescent="0.2">
      <c r="B2157" s="15"/>
      <c r="C2157" s="15"/>
      <c r="D2157" s="15"/>
      <c r="E2157" s="15"/>
    </row>
    <row r="2158" spans="2:5" x14ac:dyDescent="0.2">
      <c r="B2158" s="15"/>
      <c r="C2158" s="15"/>
      <c r="D2158" s="15"/>
      <c r="E2158" s="15"/>
    </row>
    <row r="2159" spans="2:5" x14ac:dyDescent="0.2">
      <c r="B2159" s="15"/>
      <c r="C2159" s="15"/>
      <c r="D2159" s="15"/>
      <c r="E2159" s="15"/>
    </row>
    <row r="2160" spans="2:5" x14ac:dyDescent="0.2">
      <c r="B2160" s="15"/>
      <c r="C2160" s="15"/>
      <c r="D2160" s="15"/>
      <c r="E2160" s="15"/>
    </row>
    <row r="2161" spans="2:5" x14ac:dyDescent="0.2">
      <c r="B2161" s="15"/>
      <c r="C2161" s="15"/>
      <c r="D2161" s="15"/>
      <c r="E2161" s="15"/>
    </row>
    <row r="2162" spans="2:5" x14ac:dyDescent="0.2">
      <c r="B2162" s="15"/>
      <c r="C2162" s="15"/>
      <c r="D2162" s="15"/>
      <c r="E2162" s="15"/>
    </row>
    <row r="2163" spans="2:5" x14ac:dyDescent="0.2">
      <c r="B2163" s="15"/>
      <c r="C2163" s="15"/>
      <c r="D2163" s="15"/>
      <c r="E2163" s="15"/>
    </row>
    <row r="2164" spans="2:5" x14ac:dyDescent="0.2">
      <c r="B2164" s="15"/>
      <c r="C2164" s="15"/>
      <c r="D2164" s="15"/>
      <c r="E2164" s="15"/>
    </row>
    <row r="2165" spans="2:5" x14ac:dyDescent="0.2">
      <c r="B2165" s="15"/>
      <c r="C2165" s="15"/>
      <c r="D2165" s="15"/>
      <c r="E2165" s="15"/>
    </row>
    <row r="2166" spans="2:5" x14ac:dyDescent="0.2">
      <c r="B2166" s="15"/>
      <c r="C2166" s="15"/>
      <c r="D2166" s="15"/>
      <c r="E2166" s="15"/>
    </row>
    <row r="2167" spans="2:5" x14ac:dyDescent="0.2">
      <c r="B2167" s="15"/>
      <c r="C2167" s="15"/>
      <c r="D2167" s="15"/>
      <c r="E2167" s="15"/>
    </row>
    <row r="2168" spans="2:5" x14ac:dyDescent="0.2">
      <c r="B2168" s="15"/>
      <c r="C2168" s="15"/>
      <c r="D2168" s="15"/>
      <c r="E2168" s="15"/>
    </row>
    <row r="2169" spans="2:5" x14ac:dyDescent="0.2">
      <c r="B2169" s="15"/>
      <c r="C2169" s="15"/>
      <c r="D2169" s="15"/>
      <c r="E2169" s="15"/>
    </row>
    <row r="2170" spans="2:5" x14ac:dyDescent="0.2">
      <c r="B2170" s="15"/>
      <c r="C2170" s="15"/>
      <c r="D2170" s="15"/>
      <c r="E2170" s="15"/>
    </row>
    <row r="2171" spans="2:5" x14ac:dyDescent="0.2">
      <c r="B2171" s="15"/>
      <c r="C2171" s="15"/>
      <c r="D2171" s="15"/>
      <c r="E2171" s="15"/>
    </row>
    <row r="2172" spans="2:5" x14ac:dyDescent="0.2">
      <c r="B2172" s="15"/>
      <c r="C2172" s="15"/>
      <c r="D2172" s="15"/>
      <c r="E2172" s="15"/>
    </row>
    <row r="2173" spans="2:5" x14ac:dyDescent="0.2">
      <c r="B2173" s="15"/>
      <c r="C2173" s="15"/>
      <c r="D2173" s="15"/>
      <c r="E2173" s="15"/>
    </row>
    <row r="2174" spans="2:5" x14ac:dyDescent="0.2">
      <c r="B2174" s="15"/>
      <c r="C2174" s="15"/>
      <c r="D2174" s="15"/>
      <c r="E2174" s="15"/>
    </row>
    <row r="2175" spans="2:5" x14ac:dyDescent="0.2">
      <c r="B2175" s="15"/>
      <c r="C2175" s="15"/>
      <c r="D2175" s="15"/>
      <c r="E2175" s="15"/>
    </row>
    <row r="2176" spans="2:5" x14ac:dyDescent="0.2">
      <c r="B2176" s="15"/>
      <c r="C2176" s="15"/>
      <c r="D2176" s="15"/>
      <c r="E2176" s="15"/>
    </row>
    <row r="2177" spans="2:5" x14ac:dyDescent="0.2">
      <c r="B2177" s="15"/>
      <c r="C2177" s="15"/>
      <c r="D2177" s="15"/>
      <c r="E2177" s="15"/>
    </row>
    <row r="2178" spans="2:5" x14ac:dyDescent="0.2">
      <c r="B2178" s="15"/>
      <c r="C2178" s="15"/>
      <c r="D2178" s="15"/>
      <c r="E2178" s="15"/>
    </row>
    <row r="2179" spans="2:5" x14ac:dyDescent="0.2">
      <c r="B2179" s="15"/>
      <c r="C2179" s="15"/>
      <c r="D2179" s="15"/>
      <c r="E2179" s="15"/>
    </row>
    <row r="2180" spans="2:5" x14ac:dyDescent="0.2">
      <c r="B2180" s="15"/>
      <c r="C2180" s="15"/>
      <c r="D2180" s="15"/>
      <c r="E2180" s="15"/>
    </row>
    <row r="2181" spans="2:5" x14ac:dyDescent="0.2">
      <c r="B2181" s="15"/>
      <c r="C2181" s="15"/>
      <c r="D2181" s="15"/>
      <c r="E2181" s="15"/>
    </row>
    <row r="2182" spans="2:5" x14ac:dyDescent="0.2">
      <c r="B2182" s="15"/>
      <c r="C2182" s="15"/>
      <c r="D2182" s="15"/>
      <c r="E2182" s="15"/>
    </row>
    <row r="2183" spans="2:5" x14ac:dyDescent="0.2">
      <c r="B2183" s="15"/>
      <c r="C2183" s="15"/>
      <c r="D2183" s="15"/>
      <c r="E2183" s="15"/>
    </row>
    <row r="2184" spans="2:5" x14ac:dyDescent="0.2">
      <c r="B2184" s="15"/>
      <c r="C2184" s="15"/>
      <c r="D2184" s="15"/>
      <c r="E2184" s="15"/>
    </row>
    <row r="2185" spans="2:5" x14ac:dyDescent="0.2">
      <c r="B2185" s="15"/>
      <c r="C2185" s="15"/>
      <c r="D2185" s="15"/>
      <c r="E2185" s="15"/>
    </row>
    <row r="2186" spans="2:5" x14ac:dyDescent="0.2">
      <c r="B2186" s="15"/>
      <c r="C2186" s="15"/>
      <c r="D2186" s="15"/>
      <c r="E2186" s="15"/>
    </row>
    <row r="2187" spans="2:5" x14ac:dyDescent="0.2">
      <c r="B2187" s="15"/>
      <c r="C2187" s="15"/>
      <c r="D2187" s="15"/>
      <c r="E2187" s="15"/>
    </row>
    <row r="2188" spans="2:5" x14ac:dyDescent="0.2">
      <c r="B2188" s="15"/>
      <c r="C2188" s="15"/>
      <c r="D2188" s="15"/>
      <c r="E2188" s="15"/>
    </row>
    <row r="2189" spans="2:5" x14ac:dyDescent="0.2">
      <c r="B2189" s="15"/>
      <c r="C2189" s="15"/>
      <c r="D2189" s="15"/>
      <c r="E2189" s="15"/>
    </row>
    <row r="2190" spans="2:5" x14ac:dyDescent="0.2">
      <c r="B2190" s="15"/>
      <c r="C2190" s="15"/>
      <c r="D2190" s="15"/>
      <c r="E2190" s="15"/>
    </row>
    <row r="2191" spans="2:5" x14ac:dyDescent="0.2">
      <c r="B2191" s="15"/>
      <c r="C2191" s="15"/>
      <c r="D2191" s="15"/>
      <c r="E2191" s="15"/>
    </row>
    <row r="2192" spans="2:5" x14ac:dyDescent="0.2">
      <c r="B2192" s="15"/>
      <c r="C2192" s="15"/>
      <c r="D2192" s="15"/>
      <c r="E2192" s="15"/>
    </row>
    <row r="2193" spans="2:5" x14ac:dyDescent="0.2">
      <c r="B2193" s="15"/>
      <c r="C2193" s="15"/>
      <c r="D2193" s="15"/>
      <c r="E2193" s="15"/>
    </row>
    <row r="2194" spans="2:5" x14ac:dyDescent="0.2">
      <c r="B2194" s="15"/>
      <c r="C2194" s="15"/>
      <c r="D2194" s="15"/>
      <c r="E2194" s="15"/>
    </row>
    <row r="2195" spans="2:5" x14ac:dyDescent="0.2">
      <c r="B2195" s="15"/>
      <c r="C2195" s="15"/>
      <c r="D2195" s="15"/>
      <c r="E2195" s="15"/>
    </row>
    <row r="2196" spans="2:5" x14ac:dyDescent="0.2">
      <c r="B2196" s="15"/>
      <c r="C2196" s="15"/>
      <c r="D2196" s="15"/>
      <c r="E2196" s="15"/>
    </row>
    <row r="2197" spans="2:5" x14ac:dyDescent="0.2">
      <c r="B2197" s="15"/>
      <c r="C2197" s="15"/>
      <c r="D2197" s="15"/>
      <c r="E2197" s="15"/>
    </row>
    <row r="2198" spans="2:5" x14ac:dyDescent="0.2">
      <c r="B2198" s="15"/>
      <c r="C2198" s="15"/>
      <c r="D2198" s="15"/>
      <c r="E2198" s="15"/>
    </row>
    <row r="2199" spans="2:5" x14ac:dyDescent="0.2">
      <c r="B2199" s="15"/>
      <c r="C2199" s="15"/>
      <c r="D2199" s="15"/>
      <c r="E2199" s="15"/>
    </row>
    <row r="2200" spans="2:5" x14ac:dyDescent="0.2">
      <c r="B2200" s="15"/>
      <c r="C2200" s="15"/>
      <c r="D2200" s="15"/>
      <c r="E2200" s="15"/>
    </row>
    <row r="2201" spans="2:5" x14ac:dyDescent="0.2">
      <c r="B2201" s="15"/>
      <c r="C2201" s="15"/>
      <c r="D2201" s="15"/>
      <c r="E2201" s="15"/>
    </row>
    <row r="2202" spans="2:5" x14ac:dyDescent="0.2">
      <c r="B2202" s="15"/>
      <c r="C2202" s="15"/>
      <c r="D2202" s="15"/>
      <c r="E2202" s="15"/>
    </row>
    <row r="2203" spans="2:5" x14ac:dyDescent="0.2">
      <c r="B2203" s="15"/>
      <c r="C2203" s="15"/>
      <c r="D2203" s="15"/>
      <c r="E2203" s="15"/>
    </row>
    <row r="2204" spans="2:5" x14ac:dyDescent="0.2">
      <c r="B2204" s="15"/>
      <c r="C2204" s="15"/>
      <c r="D2204" s="15"/>
      <c r="E2204" s="15"/>
    </row>
    <row r="2205" spans="2:5" x14ac:dyDescent="0.2">
      <c r="B2205" s="15"/>
      <c r="C2205" s="15"/>
      <c r="D2205" s="15"/>
      <c r="E2205" s="15"/>
    </row>
    <row r="2206" spans="2:5" x14ac:dyDescent="0.2">
      <c r="B2206" s="15"/>
      <c r="C2206" s="15"/>
      <c r="D2206" s="15"/>
      <c r="E2206" s="15"/>
    </row>
    <row r="2207" spans="2:5" x14ac:dyDescent="0.2">
      <c r="B2207" s="15"/>
      <c r="C2207" s="15"/>
      <c r="D2207" s="15"/>
      <c r="E2207" s="15"/>
    </row>
    <row r="2208" spans="2:5" x14ac:dyDescent="0.2">
      <c r="B2208" s="15"/>
      <c r="C2208" s="15"/>
      <c r="D2208" s="15"/>
      <c r="E2208" s="15"/>
    </row>
    <row r="2209" spans="2:5" x14ac:dyDescent="0.2">
      <c r="B2209" s="15"/>
      <c r="C2209" s="15"/>
      <c r="D2209" s="15"/>
      <c r="E2209" s="15"/>
    </row>
    <row r="2210" spans="2:5" x14ac:dyDescent="0.2">
      <c r="B2210" s="15"/>
      <c r="C2210" s="15"/>
      <c r="D2210" s="15"/>
      <c r="E2210" s="15"/>
    </row>
    <row r="2211" spans="2:5" x14ac:dyDescent="0.2">
      <c r="B2211" s="15"/>
      <c r="C2211" s="15"/>
      <c r="D2211" s="15"/>
      <c r="E2211" s="15"/>
    </row>
    <row r="2212" spans="2:5" x14ac:dyDescent="0.2">
      <c r="B2212" s="15"/>
      <c r="C2212" s="15"/>
      <c r="D2212" s="15"/>
      <c r="E2212" s="15"/>
    </row>
    <row r="2213" spans="2:5" x14ac:dyDescent="0.2">
      <c r="B2213" s="15"/>
      <c r="C2213" s="15"/>
      <c r="D2213" s="15"/>
      <c r="E2213" s="15"/>
    </row>
    <row r="2214" spans="2:5" x14ac:dyDescent="0.2">
      <c r="B2214" s="15"/>
      <c r="C2214" s="15"/>
      <c r="D2214" s="15"/>
      <c r="E2214" s="15"/>
    </row>
    <row r="2215" spans="2:5" x14ac:dyDescent="0.2">
      <c r="B2215" s="15"/>
      <c r="C2215" s="15"/>
      <c r="D2215" s="15"/>
      <c r="E2215" s="15"/>
    </row>
    <row r="2216" spans="2:5" x14ac:dyDescent="0.2">
      <c r="B2216" s="15"/>
      <c r="C2216" s="15"/>
      <c r="D2216" s="15"/>
      <c r="E2216" s="15"/>
    </row>
    <row r="2217" spans="2:5" x14ac:dyDescent="0.2">
      <c r="B2217" s="15"/>
      <c r="C2217" s="15"/>
      <c r="D2217" s="15"/>
      <c r="E2217" s="15"/>
    </row>
    <row r="2218" spans="2:5" x14ac:dyDescent="0.2">
      <c r="B2218" s="15"/>
      <c r="C2218" s="15"/>
      <c r="D2218" s="15"/>
      <c r="E2218" s="15"/>
    </row>
    <row r="2219" spans="2:5" x14ac:dyDescent="0.2">
      <c r="B2219" s="15"/>
      <c r="C2219" s="15"/>
      <c r="D2219" s="15"/>
      <c r="E2219" s="15"/>
    </row>
    <row r="2220" spans="2:5" x14ac:dyDescent="0.2">
      <c r="B2220" s="15"/>
      <c r="C2220" s="15"/>
      <c r="D2220" s="15"/>
      <c r="E2220" s="15"/>
    </row>
    <row r="2221" spans="2:5" x14ac:dyDescent="0.2">
      <c r="B2221" s="15"/>
      <c r="C2221" s="15"/>
      <c r="D2221" s="15"/>
      <c r="E2221" s="15"/>
    </row>
    <row r="2222" spans="2:5" x14ac:dyDescent="0.2">
      <c r="B2222" s="15"/>
      <c r="C2222" s="15"/>
      <c r="D2222" s="15"/>
      <c r="E2222" s="15"/>
    </row>
    <row r="2223" spans="2:5" x14ac:dyDescent="0.2">
      <c r="B2223" s="15"/>
      <c r="C2223" s="15"/>
      <c r="D2223" s="15"/>
      <c r="E2223" s="15"/>
    </row>
    <row r="2224" spans="2:5" x14ac:dyDescent="0.2">
      <c r="B2224" s="15"/>
      <c r="C2224" s="15"/>
      <c r="D2224" s="15"/>
      <c r="E2224" s="15"/>
    </row>
    <row r="2225" spans="2:5" x14ac:dyDescent="0.2">
      <c r="B2225" s="15"/>
      <c r="C2225" s="15"/>
      <c r="D2225" s="15"/>
      <c r="E2225" s="15"/>
    </row>
    <row r="2226" spans="2:5" x14ac:dyDescent="0.2">
      <c r="B2226" s="15"/>
      <c r="C2226" s="15"/>
      <c r="D2226" s="15"/>
      <c r="E2226" s="15"/>
    </row>
    <row r="2227" spans="2:5" x14ac:dyDescent="0.2">
      <c r="B2227" s="15"/>
      <c r="C2227" s="15"/>
      <c r="D2227" s="15"/>
      <c r="E2227" s="15"/>
    </row>
    <row r="2228" spans="2:5" x14ac:dyDescent="0.2">
      <c r="B2228" s="15"/>
      <c r="C2228" s="15"/>
      <c r="D2228" s="15"/>
      <c r="E2228" s="15"/>
    </row>
    <row r="2229" spans="2:5" x14ac:dyDescent="0.2">
      <c r="B2229" s="15"/>
      <c r="C2229" s="15"/>
      <c r="D2229" s="15"/>
      <c r="E2229" s="15"/>
    </row>
    <row r="2230" spans="2:5" x14ac:dyDescent="0.2">
      <c r="B2230" s="15"/>
      <c r="C2230" s="15"/>
      <c r="D2230" s="15"/>
      <c r="E2230" s="15"/>
    </row>
    <row r="2231" spans="2:5" x14ac:dyDescent="0.2">
      <c r="B2231" s="15"/>
      <c r="C2231" s="15"/>
      <c r="D2231" s="15"/>
      <c r="E2231" s="15"/>
    </row>
    <row r="2232" spans="2:5" x14ac:dyDescent="0.2">
      <c r="B2232" s="15"/>
      <c r="C2232" s="15"/>
      <c r="D2232" s="15"/>
      <c r="E2232" s="15"/>
    </row>
    <row r="2233" spans="2:5" x14ac:dyDescent="0.2">
      <c r="B2233" s="15"/>
      <c r="C2233" s="15"/>
      <c r="D2233" s="15"/>
      <c r="E2233" s="15"/>
    </row>
    <row r="2234" spans="2:5" x14ac:dyDescent="0.2">
      <c r="B2234" s="15"/>
      <c r="C2234" s="15"/>
      <c r="D2234" s="15"/>
      <c r="E2234" s="15"/>
    </row>
    <row r="2235" spans="2:5" x14ac:dyDescent="0.2">
      <c r="B2235" s="15"/>
      <c r="C2235" s="15"/>
      <c r="D2235" s="15"/>
      <c r="E2235" s="15"/>
    </row>
    <row r="2236" spans="2:5" x14ac:dyDescent="0.2">
      <c r="B2236" s="15"/>
      <c r="C2236" s="15"/>
      <c r="D2236" s="15"/>
      <c r="E2236" s="15"/>
    </row>
    <row r="2237" spans="2:5" x14ac:dyDescent="0.2">
      <c r="B2237" s="15"/>
      <c r="C2237" s="15"/>
      <c r="D2237" s="15"/>
      <c r="E2237" s="15"/>
    </row>
    <row r="2238" spans="2:5" x14ac:dyDescent="0.2">
      <c r="B2238" s="15"/>
      <c r="C2238" s="15"/>
      <c r="D2238" s="15"/>
      <c r="E2238" s="15"/>
    </row>
    <row r="2239" spans="2:5" x14ac:dyDescent="0.2">
      <c r="B2239" s="15"/>
      <c r="C2239" s="15"/>
      <c r="D2239" s="15"/>
      <c r="E2239" s="15"/>
    </row>
    <row r="2240" spans="2:5" x14ac:dyDescent="0.2">
      <c r="B2240" s="15"/>
      <c r="C2240" s="15"/>
      <c r="D2240" s="15"/>
      <c r="E2240" s="15"/>
    </row>
    <row r="2241" spans="2:5" x14ac:dyDescent="0.2">
      <c r="B2241" s="15"/>
      <c r="C2241" s="15"/>
      <c r="D2241" s="15"/>
      <c r="E2241" s="15"/>
    </row>
    <row r="2242" spans="2:5" x14ac:dyDescent="0.2">
      <c r="B2242" s="15"/>
      <c r="C2242" s="15"/>
      <c r="D2242" s="15"/>
      <c r="E2242" s="15"/>
    </row>
    <row r="2243" spans="2:5" x14ac:dyDescent="0.2">
      <c r="B2243" s="15"/>
      <c r="C2243" s="15"/>
      <c r="D2243" s="15"/>
      <c r="E2243" s="15"/>
    </row>
    <row r="2244" spans="2:5" x14ac:dyDescent="0.2">
      <c r="B2244" s="15"/>
      <c r="C2244" s="15"/>
      <c r="D2244" s="15"/>
      <c r="E2244" s="15"/>
    </row>
    <row r="2245" spans="2:5" x14ac:dyDescent="0.2">
      <c r="B2245" s="15"/>
      <c r="C2245" s="15"/>
      <c r="D2245" s="15"/>
      <c r="E2245" s="15"/>
    </row>
    <row r="2246" spans="2:5" x14ac:dyDescent="0.2">
      <c r="B2246" s="15"/>
      <c r="C2246" s="15"/>
      <c r="D2246" s="15"/>
      <c r="E2246" s="15"/>
    </row>
    <row r="2247" spans="2:5" x14ac:dyDescent="0.2">
      <c r="B2247" s="15"/>
      <c r="C2247" s="15"/>
      <c r="D2247" s="15"/>
      <c r="E2247" s="15"/>
    </row>
    <row r="2248" spans="2:5" x14ac:dyDescent="0.2">
      <c r="B2248" s="15"/>
      <c r="C2248" s="15"/>
      <c r="D2248" s="15"/>
      <c r="E2248" s="15"/>
    </row>
    <row r="2249" spans="2:5" x14ac:dyDescent="0.2">
      <c r="B2249" s="15"/>
      <c r="C2249" s="15"/>
      <c r="D2249" s="15"/>
      <c r="E2249" s="15"/>
    </row>
    <row r="2250" spans="2:5" x14ac:dyDescent="0.2">
      <c r="B2250" s="15"/>
      <c r="C2250" s="15"/>
      <c r="D2250" s="15"/>
      <c r="E2250" s="15"/>
    </row>
    <row r="2251" spans="2:5" x14ac:dyDescent="0.2">
      <c r="B2251" s="15"/>
      <c r="C2251" s="15"/>
      <c r="D2251" s="15"/>
      <c r="E2251" s="15"/>
    </row>
    <row r="2252" spans="2:5" x14ac:dyDescent="0.2">
      <c r="B2252" s="15"/>
      <c r="C2252" s="15"/>
      <c r="D2252" s="15"/>
      <c r="E2252" s="15"/>
    </row>
    <row r="2253" spans="2:5" x14ac:dyDescent="0.2">
      <c r="B2253" s="15"/>
      <c r="C2253" s="15"/>
      <c r="D2253" s="15"/>
      <c r="E2253" s="15"/>
    </row>
    <row r="2254" spans="2:5" x14ac:dyDescent="0.2">
      <c r="B2254" s="15"/>
      <c r="C2254" s="15"/>
      <c r="D2254" s="15"/>
      <c r="E2254" s="15"/>
    </row>
    <row r="2255" spans="2:5" x14ac:dyDescent="0.2">
      <c r="B2255" s="15"/>
      <c r="C2255" s="15"/>
      <c r="D2255" s="15"/>
      <c r="E2255" s="15"/>
    </row>
    <row r="2256" spans="2:5" x14ac:dyDescent="0.2">
      <c r="B2256" s="15"/>
      <c r="C2256" s="15"/>
      <c r="D2256" s="15"/>
      <c r="E2256" s="15"/>
    </row>
    <row r="2257" spans="2:5" x14ac:dyDescent="0.2">
      <c r="B2257" s="15"/>
      <c r="C2257" s="15"/>
      <c r="D2257" s="15"/>
      <c r="E2257" s="15"/>
    </row>
    <row r="2258" spans="2:5" x14ac:dyDescent="0.2">
      <c r="B2258" s="15"/>
      <c r="C2258" s="15"/>
      <c r="D2258" s="15"/>
      <c r="E2258" s="15"/>
    </row>
    <row r="2259" spans="2:5" x14ac:dyDescent="0.2">
      <c r="B2259" s="15"/>
      <c r="C2259" s="15"/>
      <c r="D2259" s="15"/>
      <c r="E2259" s="15"/>
    </row>
    <row r="2260" spans="2:5" x14ac:dyDescent="0.2">
      <c r="B2260" s="15"/>
      <c r="C2260" s="15"/>
      <c r="D2260" s="15"/>
      <c r="E2260" s="15"/>
    </row>
    <row r="2261" spans="2:5" x14ac:dyDescent="0.2">
      <c r="B2261" s="15"/>
      <c r="C2261" s="15"/>
      <c r="D2261" s="15"/>
      <c r="E2261" s="15"/>
    </row>
    <row r="2262" spans="2:5" x14ac:dyDescent="0.2">
      <c r="B2262" s="15"/>
      <c r="C2262" s="15"/>
      <c r="D2262" s="15"/>
      <c r="E2262" s="15"/>
    </row>
    <row r="2263" spans="2:5" x14ac:dyDescent="0.2">
      <c r="B2263" s="15"/>
      <c r="C2263" s="15"/>
      <c r="D2263" s="15"/>
      <c r="E2263" s="15"/>
    </row>
    <row r="2264" spans="2:5" x14ac:dyDescent="0.2">
      <c r="B2264" s="15"/>
      <c r="C2264" s="15"/>
      <c r="D2264" s="15"/>
      <c r="E2264" s="15"/>
    </row>
    <row r="2265" spans="2:5" x14ac:dyDescent="0.2">
      <c r="B2265" s="15"/>
      <c r="C2265" s="15"/>
      <c r="D2265" s="15"/>
      <c r="E2265" s="15"/>
    </row>
    <row r="2266" spans="2:5" x14ac:dyDescent="0.2">
      <c r="B2266" s="15"/>
      <c r="C2266" s="15"/>
      <c r="D2266" s="15"/>
      <c r="E2266" s="15"/>
    </row>
    <row r="2267" spans="2:5" x14ac:dyDescent="0.2">
      <c r="B2267" s="15"/>
      <c r="C2267" s="15"/>
      <c r="D2267" s="15"/>
      <c r="E2267" s="15"/>
    </row>
    <row r="2268" spans="2:5" x14ac:dyDescent="0.2">
      <c r="B2268" s="15"/>
      <c r="C2268" s="15"/>
      <c r="D2268" s="15"/>
      <c r="E2268" s="15"/>
    </row>
    <row r="2269" spans="2:5" x14ac:dyDescent="0.2">
      <c r="B2269" s="15"/>
      <c r="C2269" s="15"/>
      <c r="D2269" s="15"/>
      <c r="E2269" s="15"/>
    </row>
    <row r="2270" spans="2:5" x14ac:dyDescent="0.2">
      <c r="B2270" s="15"/>
      <c r="C2270" s="15"/>
      <c r="D2270" s="15"/>
      <c r="E2270" s="15"/>
    </row>
    <row r="2271" spans="2:5" x14ac:dyDescent="0.2">
      <c r="B2271" s="15"/>
      <c r="C2271" s="15"/>
      <c r="D2271" s="15"/>
      <c r="E2271" s="15"/>
    </row>
    <row r="2272" spans="2:5" x14ac:dyDescent="0.2">
      <c r="B2272" s="15"/>
      <c r="C2272" s="15"/>
      <c r="D2272" s="15"/>
      <c r="E2272" s="15"/>
    </row>
    <row r="2273" spans="2:5" x14ac:dyDescent="0.2">
      <c r="B2273" s="15"/>
      <c r="C2273" s="15"/>
      <c r="D2273" s="15"/>
      <c r="E2273" s="15"/>
    </row>
    <row r="2274" spans="2:5" x14ac:dyDescent="0.2">
      <c r="B2274" s="15"/>
      <c r="C2274" s="15"/>
      <c r="D2274" s="15"/>
      <c r="E2274" s="15"/>
    </row>
    <row r="2275" spans="2:5" x14ac:dyDescent="0.2">
      <c r="B2275" s="15"/>
      <c r="C2275" s="15"/>
      <c r="D2275" s="15"/>
      <c r="E2275" s="15"/>
    </row>
    <row r="2276" spans="2:5" x14ac:dyDescent="0.2">
      <c r="B2276" s="15"/>
      <c r="C2276" s="15"/>
      <c r="D2276" s="15"/>
      <c r="E2276" s="15"/>
    </row>
    <row r="2277" spans="2:5" x14ac:dyDescent="0.2">
      <c r="B2277" s="15"/>
      <c r="C2277" s="15"/>
      <c r="D2277" s="15"/>
      <c r="E2277" s="15"/>
    </row>
    <row r="2278" spans="2:5" x14ac:dyDescent="0.2">
      <c r="B2278" s="15"/>
      <c r="C2278" s="15"/>
      <c r="D2278" s="15"/>
      <c r="E2278" s="15"/>
    </row>
    <row r="2279" spans="2:5" x14ac:dyDescent="0.2">
      <c r="B2279" s="15"/>
      <c r="C2279" s="15"/>
      <c r="D2279" s="15"/>
      <c r="E2279" s="15"/>
    </row>
    <row r="2280" spans="2:5" x14ac:dyDescent="0.2">
      <c r="B2280" s="15"/>
      <c r="C2280" s="15"/>
      <c r="D2280" s="15"/>
      <c r="E2280" s="15"/>
    </row>
    <row r="2281" spans="2:5" x14ac:dyDescent="0.2">
      <c r="B2281" s="15"/>
      <c r="C2281" s="15"/>
      <c r="D2281" s="15"/>
      <c r="E2281" s="15"/>
    </row>
    <row r="2282" spans="2:5" x14ac:dyDescent="0.2">
      <c r="B2282" s="15"/>
      <c r="C2282" s="15"/>
      <c r="D2282" s="15"/>
      <c r="E2282" s="15"/>
    </row>
    <row r="2283" spans="2:5" x14ac:dyDescent="0.2">
      <c r="B2283" s="15"/>
      <c r="C2283" s="15"/>
      <c r="D2283" s="15"/>
      <c r="E2283" s="15"/>
    </row>
    <row r="2284" spans="2:5" x14ac:dyDescent="0.2">
      <c r="B2284" s="15"/>
      <c r="C2284" s="15"/>
      <c r="D2284" s="15"/>
      <c r="E2284" s="15"/>
    </row>
    <row r="2285" spans="2:5" x14ac:dyDescent="0.2">
      <c r="B2285" s="15"/>
      <c r="C2285" s="15"/>
      <c r="D2285" s="15"/>
      <c r="E2285" s="15"/>
    </row>
    <row r="2286" spans="2:5" x14ac:dyDescent="0.2">
      <c r="B2286" s="15"/>
      <c r="C2286" s="15"/>
      <c r="D2286" s="15"/>
      <c r="E2286" s="15"/>
    </row>
    <row r="2287" spans="2:5" x14ac:dyDescent="0.2">
      <c r="B2287" s="15"/>
      <c r="C2287" s="15"/>
      <c r="D2287" s="15"/>
      <c r="E2287" s="15"/>
    </row>
    <row r="2288" spans="2:5" x14ac:dyDescent="0.2">
      <c r="B2288" s="15"/>
      <c r="C2288" s="15"/>
      <c r="D2288" s="15"/>
      <c r="E2288" s="15"/>
    </row>
    <row r="2289" spans="2:5" x14ac:dyDescent="0.2">
      <c r="B2289" s="15"/>
      <c r="C2289" s="15"/>
      <c r="D2289" s="15"/>
      <c r="E2289" s="15"/>
    </row>
    <row r="2290" spans="2:5" x14ac:dyDescent="0.2">
      <c r="B2290" s="15"/>
      <c r="C2290" s="15"/>
      <c r="D2290" s="15"/>
      <c r="E2290" s="15"/>
    </row>
    <row r="2291" spans="2:5" x14ac:dyDescent="0.2">
      <c r="B2291" s="15"/>
      <c r="C2291" s="15"/>
      <c r="D2291" s="15"/>
      <c r="E2291" s="15"/>
    </row>
    <row r="2292" spans="2:5" x14ac:dyDescent="0.2">
      <c r="B2292" s="15"/>
      <c r="C2292" s="15"/>
      <c r="D2292" s="15"/>
      <c r="E2292" s="15"/>
    </row>
    <row r="2293" spans="2:5" x14ac:dyDescent="0.2">
      <c r="B2293" s="15"/>
      <c r="C2293" s="15"/>
      <c r="D2293" s="15"/>
      <c r="E2293" s="15"/>
    </row>
    <row r="2294" spans="2:5" x14ac:dyDescent="0.2">
      <c r="B2294" s="15"/>
      <c r="C2294" s="15"/>
      <c r="D2294" s="15"/>
      <c r="E2294" s="15"/>
    </row>
    <row r="2295" spans="2:5" x14ac:dyDescent="0.2">
      <c r="B2295" s="15"/>
      <c r="C2295" s="15"/>
      <c r="D2295" s="15"/>
      <c r="E2295" s="15"/>
    </row>
    <row r="2296" spans="2:5" x14ac:dyDescent="0.2">
      <c r="B2296" s="15"/>
      <c r="C2296" s="15"/>
      <c r="D2296" s="15"/>
      <c r="E2296" s="15"/>
    </row>
    <row r="2297" spans="2:5" x14ac:dyDescent="0.2">
      <c r="B2297" s="15"/>
      <c r="C2297" s="15"/>
      <c r="D2297" s="15"/>
      <c r="E2297" s="15"/>
    </row>
    <row r="2298" spans="2:5" x14ac:dyDescent="0.2">
      <c r="B2298" s="15"/>
      <c r="C2298" s="15"/>
      <c r="D2298" s="15"/>
      <c r="E2298" s="15"/>
    </row>
    <row r="2299" spans="2:5" x14ac:dyDescent="0.2">
      <c r="B2299" s="15"/>
      <c r="C2299" s="15"/>
      <c r="D2299" s="15"/>
      <c r="E2299" s="15"/>
    </row>
    <row r="2300" spans="2:5" x14ac:dyDescent="0.2">
      <c r="B2300" s="15"/>
      <c r="C2300" s="15"/>
      <c r="D2300" s="15"/>
      <c r="E2300" s="15"/>
    </row>
    <row r="2301" spans="2:5" x14ac:dyDescent="0.2">
      <c r="B2301" s="15"/>
      <c r="C2301" s="15"/>
      <c r="D2301" s="15"/>
      <c r="E2301" s="15"/>
    </row>
    <row r="2302" spans="2:5" x14ac:dyDescent="0.2">
      <c r="B2302" s="15"/>
      <c r="C2302" s="15"/>
      <c r="D2302" s="15"/>
      <c r="E2302" s="15"/>
    </row>
    <row r="2303" spans="2:5" x14ac:dyDescent="0.2">
      <c r="B2303" s="15"/>
      <c r="C2303" s="15"/>
      <c r="D2303" s="15"/>
      <c r="E2303" s="15"/>
    </row>
    <row r="2304" spans="2:5" x14ac:dyDescent="0.2">
      <c r="B2304" s="15"/>
      <c r="C2304" s="15"/>
      <c r="D2304" s="15"/>
      <c r="E2304" s="15"/>
    </row>
    <row r="2305" spans="2:5" x14ac:dyDescent="0.2">
      <c r="B2305" s="15"/>
      <c r="C2305" s="15"/>
      <c r="D2305" s="15"/>
      <c r="E2305" s="15"/>
    </row>
    <row r="2306" spans="2:5" x14ac:dyDescent="0.2">
      <c r="B2306" s="15"/>
      <c r="C2306" s="15"/>
      <c r="D2306" s="15"/>
      <c r="E2306" s="15"/>
    </row>
    <row r="2307" spans="2:5" x14ac:dyDescent="0.2">
      <c r="B2307" s="15"/>
      <c r="C2307" s="15"/>
      <c r="D2307" s="15"/>
      <c r="E2307" s="15"/>
    </row>
    <row r="2308" spans="2:5" x14ac:dyDescent="0.2">
      <c r="B2308" s="15"/>
      <c r="C2308" s="15"/>
      <c r="D2308" s="15"/>
      <c r="E2308" s="15"/>
    </row>
    <row r="2309" spans="2:5" x14ac:dyDescent="0.2">
      <c r="B2309" s="15"/>
      <c r="C2309" s="15"/>
      <c r="D2309" s="15"/>
      <c r="E2309" s="15"/>
    </row>
    <row r="2310" spans="2:5" x14ac:dyDescent="0.2">
      <c r="B2310" s="15"/>
      <c r="C2310" s="15"/>
      <c r="D2310" s="15"/>
      <c r="E2310" s="15"/>
    </row>
    <row r="2311" spans="2:5" x14ac:dyDescent="0.2">
      <c r="B2311" s="15"/>
      <c r="C2311" s="15"/>
      <c r="D2311" s="15"/>
      <c r="E2311" s="15"/>
    </row>
    <row r="2312" spans="2:5" x14ac:dyDescent="0.2">
      <c r="B2312" s="15"/>
      <c r="C2312" s="15"/>
      <c r="D2312" s="15"/>
      <c r="E2312" s="15"/>
    </row>
    <row r="2313" spans="2:5" x14ac:dyDescent="0.2">
      <c r="B2313" s="15"/>
      <c r="C2313" s="15"/>
      <c r="D2313" s="15"/>
      <c r="E2313" s="15"/>
    </row>
    <row r="2314" spans="2:5" x14ac:dyDescent="0.2">
      <c r="B2314" s="15"/>
      <c r="C2314" s="15"/>
      <c r="D2314" s="15"/>
      <c r="E2314" s="15"/>
    </row>
    <row r="2315" spans="2:5" x14ac:dyDescent="0.2">
      <c r="B2315" s="15"/>
      <c r="C2315" s="15"/>
      <c r="D2315" s="15"/>
      <c r="E2315" s="15"/>
    </row>
    <row r="2316" spans="2:5" x14ac:dyDescent="0.2">
      <c r="B2316" s="15"/>
      <c r="C2316" s="15"/>
      <c r="D2316" s="15"/>
      <c r="E2316" s="15"/>
    </row>
    <row r="2317" spans="2:5" x14ac:dyDescent="0.2">
      <c r="B2317" s="15"/>
      <c r="C2317" s="15"/>
      <c r="D2317" s="15"/>
      <c r="E2317" s="15"/>
    </row>
    <row r="2318" spans="2:5" x14ac:dyDescent="0.2">
      <c r="B2318" s="15"/>
      <c r="C2318" s="15"/>
      <c r="D2318" s="15"/>
      <c r="E2318" s="15"/>
    </row>
    <row r="2319" spans="2:5" x14ac:dyDescent="0.2">
      <c r="B2319" s="15"/>
      <c r="C2319" s="15"/>
      <c r="D2319" s="15"/>
      <c r="E2319" s="15"/>
    </row>
    <row r="2320" spans="2:5" x14ac:dyDescent="0.2">
      <c r="B2320" s="15"/>
      <c r="C2320" s="15"/>
      <c r="D2320" s="15"/>
      <c r="E2320" s="15"/>
    </row>
    <row r="2321" spans="2:5" x14ac:dyDescent="0.2">
      <c r="B2321" s="15"/>
      <c r="C2321" s="15"/>
      <c r="D2321" s="15"/>
      <c r="E2321" s="15"/>
    </row>
    <row r="2322" spans="2:5" x14ac:dyDescent="0.2">
      <c r="B2322" s="15"/>
      <c r="C2322" s="15"/>
      <c r="D2322" s="15"/>
      <c r="E2322" s="15"/>
    </row>
    <row r="2323" spans="2:5" x14ac:dyDescent="0.2">
      <c r="B2323" s="15"/>
      <c r="C2323" s="15"/>
      <c r="D2323" s="15"/>
      <c r="E2323" s="15"/>
    </row>
    <row r="2324" spans="2:5" x14ac:dyDescent="0.2">
      <c r="B2324" s="15"/>
      <c r="C2324" s="15"/>
      <c r="D2324" s="15"/>
      <c r="E2324" s="15"/>
    </row>
    <row r="2325" spans="2:5" x14ac:dyDescent="0.2">
      <c r="B2325" s="15"/>
      <c r="C2325" s="15"/>
      <c r="D2325" s="15"/>
      <c r="E2325" s="15"/>
    </row>
    <row r="2326" spans="2:5" x14ac:dyDescent="0.2">
      <c r="B2326" s="15"/>
      <c r="C2326" s="15"/>
      <c r="D2326" s="15"/>
      <c r="E2326" s="15"/>
    </row>
    <row r="2327" spans="2:5" x14ac:dyDescent="0.2">
      <c r="B2327" s="15"/>
      <c r="C2327" s="15"/>
      <c r="D2327" s="15"/>
      <c r="E2327" s="15"/>
    </row>
    <row r="2328" spans="2:5" x14ac:dyDescent="0.2">
      <c r="B2328" s="15"/>
      <c r="C2328" s="15"/>
      <c r="D2328" s="15"/>
      <c r="E2328" s="15"/>
    </row>
    <row r="2329" spans="2:5" x14ac:dyDescent="0.2">
      <c r="B2329" s="15"/>
      <c r="C2329" s="15"/>
      <c r="D2329" s="15"/>
      <c r="E2329" s="15"/>
    </row>
    <row r="2330" spans="2:5" x14ac:dyDescent="0.2">
      <c r="B2330" s="15"/>
      <c r="C2330" s="15"/>
      <c r="D2330" s="15"/>
      <c r="E2330" s="15"/>
    </row>
    <row r="2331" spans="2:5" x14ac:dyDescent="0.2">
      <c r="B2331" s="15"/>
      <c r="C2331" s="15"/>
      <c r="D2331" s="15"/>
      <c r="E2331" s="15"/>
    </row>
    <row r="2332" spans="2:5" x14ac:dyDescent="0.2">
      <c r="B2332" s="15"/>
      <c r="C2332" s="15"/>
      <c r="D2332" s="15"/>
      <c r="E2332" s="15"/>
    </row>
    <row r="2333" spans="2:5" x14ac:dyDescent="0.2">
      <c r="B2333" s="15"/>
      <c r="C2333" s="15"/>
      <c r="D2333" s="15"/>
      <c r="E2333" s="15"/>
    </row>
    <row r="2334" spans="2:5" x14ac:dyDescent="0.2">
      <c r="B2334" s="15"/>
      <c r="C2334" s="15"/>
      <c r="D2334" s="15"/>
      <c r="E2334" s="15"/>
    </row>
    <row r="2335" spans="2:5" x14ac:dyDescent="0.2">
      <c r="B2335" s="15"/>
      <c r="C2335" s="15"/>
      <c r="D2335" s="15"/>
      <c r="E2335" s="15"/>
    </row>
    <row r="2336" spans="2:5" x14ac:dyDescent="0.2">
      <c r="B2336" s="15"/>
      <c r="C2336" s="15"/>
      <c r="D2336" s="15"/>
      <c r="E2336" s="15"/>
    </row>
    <row r="2337" spans="2:5" x14ac:dyDescent="0.2">
      <c r="B2337" s="15"/>
      <c r="C2337" s="15"/>
      <c r="D2337" s="15"/>
      <c r="E2337" s="15"/>
    </row>
    <row r="2338" spans="2:5" x14ac:dyDescent="0.2">
      <c r="B2338" s="15"/>
      <c r="C2338" s="15"/>
      <c r="D2338" s="15"/>
      <c r="E2338" s="15"/>
    </row>
    <row r="2339" spans="2:5" x14ac:dyDescent="0.2">
      <c r="B2339" s="15"/>
      <c r="C2339" s="15"/>
      <c r="D2339" s="15"/>
      <c r="E2339" s="15"/>
    </row>
    <row r="2340" spans="2:5" x14ac:dyDescent="0.2">
      <c r="B2340" s="15"/>
      <c r="C2340" s="15"/>
      <c r="D2340" s="15"/>
      <c r="E2340" s="15"/>
    </row>
    <row r="2341" spans="2:5" x14ac:dyDescent="0.2">
      <c r="B2341" s="15"/>
      <c r="C2341" s="15"/>
      <c r="D2341" s="15"/>
      <c r="E2341" s="15"/>
    </row>
    <row r="2342" spans="2:5" x14ac:dyDescent="0.2">
      <c r="B2342" s="15"/>
      <c r="C2342" s="15"/>
      <c r="D2342" s="15"/>
      <c r="E2342" s="15"/>
    </row>
    <row r="2343" spans="2:5" x14ac:dyDescent="0.2">
      <c r="B2343" s="15"/>
      <c r="C2343" s="15"/>
      <c r="D2343" s="15"/>
      <c r="E2343" s="15"/>
    </row>
    <row r="2344" spans="2:5" x14ac:dyDescent="0.2">
      <c r="B2344" s="15"/>
      <c r="C2344" s="15"/>
      <c r="D2344" s="15"/>
      <c r="E2344" s="15"/>
    </row>
    <row r="2345" spans="2:5" x14ac:dyDescent="0.2">
      <c r="B2345" s="15"/>
      <c r="C2345" s="15"/>
      <c r="D2345" s="15"/>
      <c r="E2345" s="15"/>
    </row>
    <row r="2346" spans="2:5" x14ac:dyDescent="0.2">
      <c r="B2346" s="15"/>
      <c r="C2346" s="15"/>
      <c r="D2346" s="15"/>
      <c r="E2346" s="15"/>
    </row>
    <row r="2347" spans="2:5" x14ac:dyDescent="0.2">
      <c r="B2347" s="15"/>
      <c r="C2347" s="15"/>
      <c r="D2347" s="15"/>
      <c r="E2347" s="15"/>
    </row>
    <row r="2348" spans="2:5" x14ac:dyDescent="0.2">
      <c r="B2348" s="15"/>
      <c r="C2348" s="15"/>
      <c r="D2348" s="15"/>
      <c r="E2348" s="15"/>
    </row>
    <row r="2349" spans="2:5" x14ac:dyDescent="0.2">
      <c r="B2349" s="15"/>
      <c r="C2349" s="15"/>
      <c r="D2349" s="15"/>
      <c r="E2349" s="15"/>
    </row>
    <row r="2350" spans="2:5" x14ac:dyDescent="0.2">
      <c r="B2350" s="15"/>
      <c r="C2350" s="15"/>
      <c r="D2350" s="15"/>
      <c r="E2350" s="15"/>
    </row>
    <row r="2351" spans="2:5" x14ac:dyDescent="0.2">
      <c r="B2351" s="15"/>
      <c r="C2351" s="15"/>
      <c r="D2351" s="15"/>
      <c r="E2351" s="15"/>
    </row>
    <row r="2352" spans="2:5" x14ac:dyDescent="0.2">
      <c r="B2352" s="15"/>
      <c r="C2352" s="15"/>
      <c r="D2352" s="15"/>
      <c r="E2352" s="15"/>
    </row>
    <row r="2353" spans="2:5" x14ac:dyDescent="0.2">
      <c r="B2353" s="15"/>
      <c r="C2353" s="15"/>
      <c r="D2353" s="15"/>
      <c r="E2353" s="15"/>
    </row>
    <row r="2354" spans="2:5" x14ac:dyDescent="0.2">
      <c r="B2354" s="15"/>
      <c r="C2354" s="15"/>
      <c r="D2354" s="15"/>
      <c r="E2354" s="15"/>
    </row>
    <row r="2355" spans="2:5" x14ac:dyDescent="0.2">
      <c r="B2355" s="15"/>
      <c r="C2355" s="15"/>
      <c r="D2355" s="15"/>
      <c r="E2355" s="15"/>
    </row>
    <row r="2356" spans="2:5" x14ac:dyDescent="0.2">
      <c r="B2356" s="15"/>
      <c r="C2356" s="15"/>
      <c r="D2356" s="15"/>
      <c r="E2356" s="15"/>
    </row>
    <row r="2357" spans="2:5" x14ac:dyDescent="0.2">
      <c r="B2357" s="15"/>
      <c r="C2357" s="15"/>
      <c r="D2357" s="15"/>
      <c r="E2357" s="15"/>
    </row>
    <row r="2358" spans="2:5" x14ac:dyDescent="0.2">
      <c r="B2358" s="15"/>
      <c r="C2358" s="15"/>
      <c r="D2358" s="15"/>
      <c r="E2358" s="15"/>
    </row>
    <row r="2359" spans="2:5" x14ac:dyDescent="0.2">
      <c r="B2359" s="15"/>
      <c r="C2359" s="15"/>
      <c r="D2359" s="15"/>
      <c r="E2359" s="15"/>
    </row>
    <row r="2360" spans="2:5" x14ac:dyDescent="0.2">
      <c r="B2360" s="15"/>
      <c r="C2360" s="15"/>
      <c r="D2360" s="15"/>
      <c r="E2360" s="15"/>
    </row>
    <row r="2361" spans="2:5" x14ac:dyDescent="0.2">
      <c r="B2361" s="15"/>
      <c r="C2361" s="15"/>
      <c r="D2361" s="15"/>
      <c r="E2361" s="15"/>
    </row>
    <row r="2362" spans="2:5" x14ac:dyDescent="0.2">
      <c r="B2362" s="15"/>
      <c r="C2362" s="15"/>
      <c r="D2362" s="15"/>
      <c r="E2362" s="15"/>
    </row>
    <row r="2363" spans="2:5" x14ac:dyDescent="0.2">
      <c r="B2363" s="15"/>
      <c r="C2363" s="15"/>
      <c r="D2363" s="15"/>
      <c r="E2363" s="15"/>
    </row>
    <row r="2364" spans="2:5" x14ac:dyDescent="0.2">
      <c r="B2364" s="15"/>
      <c r="C2364" s="15"/>
      <c r="D2364" s="15"/>
      <c r="E2364" s="15"/>
    </row>
    <row r="2365" spans="2:5" x14ac:dyDescent="0.2">
      <c r="B2365" s="15"/>
      <c r="C2365" s="15"/>
      <c r="D2365" s="15"/>
      <c r="E2365" s="15"/>
    </row>
    <row r="2366" spans="2:5" x14ac:dyDescent="0.2">
      <c r="B2366" s="15"/>
      <c r="C2366" s="15"/>
      <c r="D2366" s="15"/>
      <c r="E2366" s="15"/>
    </row>
    <row r="2367" spans="2:5" x14ac:dyDescent="0.2">
      <c r="B2367" s="15"/>
      <c r="C2367" s="15"/>
      <c r="D2367" s="15"/>
      <c r="E2367" s="15"/>
    </row>
    <row r="2368" spans="2:5" x14ac:dyDescent="0.2">
      <c r="B2368" s="15"/>
      <c r="C2368" s="15"/>
      <c r="D2368" s="15"/>
      <c r="E2368" s="15"/>
    </row>
    <row r="2369" spans="2:5" x14ac:dyDescent="0.2">
      <c r="B2369" s="15"/>
      <c r="C2369" s="15"/>
      <c r="D2369" s="15"/>
      <c r="E2369" s="15"/>
    </row>
    <row r="2370" spans="2:5" x14ac:dyDescent="0.2">
      <c r="B2370" s="15"/>
      <c r="C2370" s="15"/>
      <c r="D2370" s="15"/>
      <c r="E2370" s="15"/>
    </row>
    <row r="2371" spans="2:5" x14ac:dyDescent="0.2">
      <c r="B2371" s="15"/>
      <c r="C2371" s="15"/>
      <c r="D2371" s="15"/>
      <c r="E2371" s="15"/>
    </row>
    <row r="2372" spans="2:5" x14ac:dyDescent="0.2">
      <c r="B2372" s="15"/>
      <c r="C2372" s="15"/>
      <c r="D2372" s="15"/>
      <c r="E2372" s="15"/>
    </row>
    <row r="2373" spans="2:5" x14ac:dyDescent="0.2">
      <c r="B2373" s="15"/>
      <c r="C2373" s="15"/>
      <c r="D2373" s="15"/>
      <c r="E2373" s="15"/>
    </row>
    <row r="2374" spans="2:5" x14ac:dyDescent="0.2">
      <c r="B2374" s="15"/>
      <c r="C2374" s="15"/>
      <c r="D2374" s="15"/>
      <c r="E2374" s="15"/>
    </row>
    <row r="2375" spans="2:5" x14ac:dyDescent="0.2">
      <c r="B2375" s="15"/>
      <c r="C2375" s="15"/>
      <c r="D2375" s="15"/>
      <c r="E2375" s="15"/>
    </row>
    <row r="2376" spans="2:5" x14ac:dyDescent="0.2">
      <c r="B2376" s="15"/>
      <c r="C2376" s="15"/>
      <c r="D2376" s="15"/>
      <c r="E2376" s="15"/>
    </row>
    <row r="2377" spans="2:5" x14ac:dyDescent="0.2">
      <c r="B2377" s="15"/>
      <c r="C2377" s="15"/>
      <c r="D2377" s="15"/>
      <c r="E2377" s="15"/>
    </row>
    <row r="2378" spans="2:5" x14ac:dyDescent="0.2">
      <c r="B2378" s="15"/>
      <c r="C2378" s="15"/>
      <c r="D2378" s="15"/>
      <c r="E2378" s="15"/>
    </row>
    <row r="2379" spans="2:5" x14ac:dyDescent="0.2">
      <c r="B2379" s="15"/>
      <c r="C2379" s="15"/>
      <c r="D2379" s="15"/>
      <c r="E2379" s="15"/>
    </row>
    <row r="2380" spans="2:5" x14ac:dyDescent="0.2">
      <c r="B2380" s="15"/>
      <c r="C2380" s="15"/>
      <c r="D2380" s="15"/>
      <c r="E2380" s="15"/>
    </row>
    <row r="2381" spans="2:5" x14ac:dyDescent="0.2">
      <c r="B2381" s="15"/>
      <c r="C2381" s="15"/>
      <c r="D2381" s="15"/>
      <c r="E2381" s="15"/>
    </row>
    <row r="2382" spans="2:5" x14ac:dyDescent="0.2">
      <c r="B2382" s="15"/>
      <c r="C2382" s="15"/>
      <c r="D2382" s="15"/>
      <c r="E2382" s="15"/>
    </row>
    <row r="2383" spans="2:5" x14ac:dyDescent="0.2">
      <c r="B2383" s="15"/>
      <c r="C2383" s="15"/>
      <c r="D2383" s="15"/>
      <c r="E2383" s="15"/>
    </row>
    <row r="2384" spans="2:5" x14ac:dyDescent="0.2">
      <c r="B2384" s="15"/>
      <c r="C2384" s="15"/>
      <c r="D2384" s="15"/>
      <c r="E2384" s="15"/>
    </row>
    <row r="2385" spans="2:5" x14ac:dyDescent="0.2">
      <c r="B2385" s="15"/>
      <c r="C2385" s="15"/>
      <c r="D2385" s="15"/>
      <c r="E2385" s="15"/>
    </row>
    <row r="2386" spans="2:5" x14ac:dyDescent="0.2">
      <c r="B2386" s="15"/>
      <c r="C2386" s="15"/>
      <c r="D2386" s="15"/>
      <c r="E2386" s="15"/>
    </row>
    <row r="2387" spans="2:5" x14ac:dyDescent="0.2">
      <c r="B2387" s="15"/>
      <c r="C2387" s="15"/>
      <c r="D2387" s="15"/>
      <c r="E2387" s="15"/>
    </row>
    <row r="2388" spans="2:5" x14ac:dyDescent="0.2">
      <c r="B2388" s="15"/>
      <c r="C2388" s="15"/>
      <c r="D2388" s="15"/>
      <c r="E2388" s="15"/>
    </row>
    <row r="2389" spans="2:5" x14ac:dyDescent="0.2">
      <c r="B2389" s="15"/>
      <c r="C2389" s="15"/>
      <c r="D2389" s="15"/>
      <c r="E2389" s="15"/>
    </row>
    <row r="2390" spans="2:5" x14ac:dyDescent="0.2">
      <c r="B2390" s="15"/>
      <c r="C2390" s="15"/>
      <c r="D2390" s="15"/>
      <c r="E2390" s="15"/>
    </row>
    <row r="2391" spans="2:5" x14ac:dyDescent="0.2">
      <c r="B2391" s="15"/>
      <c r="C2391" s="15"/>
      <c r="D2391" s="15"/>
      <c r="E2391" s="15"/>
    </row>
    <row r="2392" spans="2:5" x14ac:dyDescent="0.2">
      <c r="B2392" s="15"/>
      <c r="C2392" s="15"/>
      <c r="D2392" s="15"/>
      <c r="E2392" s="15"/>
    </row>
    <row r="2393" spans="2:5" x14ac:dyDescent="0.2">
      <c r="B2393" s="15"/>
      <c r="C2393" s="15"/>
      <c r="D2393" s="15"/>
      <c r="E2393" s="15"/>
    </row>
    <row r="2394" spans="2:5" x14ac:dyDescent="0.2">
      <c r="B2394" s="15"/>
      <c r="C2394" s="15"/>
      <c r="D2394" s="15"/>
      <c r="E2394" s="15"/>
    </row>
    <row r="2395" spans="2:5" x14ac:dyDescent="0.2">
      <c r="B2395" s="15"/>
      <c r="C2395" s="15"/>
      <c r="D2395" s="15"/>
      <c r="E2395" s="15"/>
    </row>
    <row r="2396" spans="2:5" x14ac:dyDescent="0.2">
      <c r="B2396" s="15"/>
      <c r="C2396" s="15"/>
      <c r="D2396" s="15"/>
      <c r="E2396" s="15"/>
    </row>
    <row r="2397" spans="2:5" x14ac:dyDescent="0.2">
      <c r="B2397" s="15"/>
      <c r="C2397" s="15"/>
      <c r="D2397" s="15"/>
      <c r="E2397" s="15"/>
    </row>
    <row r="2398" spans="2:5" x14ac:dyDescent="0.2">
      <c r="B2398" s="15"/>
      <c r="C2398" s="15"/>
      <c r="D2398" s="15"/>
      <c r="E2398" s="15"/>
    </row>
    <row r="2399" spans="2:5" x14ac:dyDescent="0.2">
      <c r="B2399" s="15"/>
      <c r="C2399" s="15"/>
      <c r="D2399" s="15"/>
      <c r="E2399" s="15"/>
    </row>
    <row r="2400" spans="2:5" x14ac:dyDescent="0.2">
      <c r="B2400" s="15"/>
      <c r="C2400" s="15"/>
      <c r="D2400" s="15"/>
      <c r="E2400" s="15"/>
    </row>
    <row r="2401" spans="2:5" x14ac:dyDescent="0.2">
      <c r="B2401" s="15"/>
      <c r="C2401" s="15"/>
      <c r="D2401" s="15"/>
      <c r="E2401" s="15"/>
    </row>
    <row r="2402" spans="2:5" x14ac:dyDescent="0.2">
      <c r="B2402" s="15"/>
      <c r="C2402" s="15"/>
      <c r="D2402" s="15"/>
      <c r="E2402" s="15"/>
    </row>
    <row r="2403" spans="2:5" x14ac:dyDescent="0.2">
      <c r="B2403" s="15"/>
      <c r="C2403" s="15"/>
      <c r="D2403" s="15"/>
      <c r="E2403" s="15"/>
    </row>
    <row r="2404" spans="2:5" x14ac:dyDescent="0.2">
      <c r="B2404" s="15"/>
      <c r="C2404" s="15"/>
      <c r="D2404" s="15"/>
      <c r="E2404" s="15"/>
    </row>
    <row r="2405" spans="2:5" x14ac:dyDescent="0.2">
      <c r="B2405" s="15"/>
      <c r="C2405" s="15"/>
      <c r="D2405" s="15"/>
      <c r="E2405" s="15"/>
    </row>
    <row r="2406" spans="2:5" x14ac:dyDescent="0.2">
      <c r="B2406" s="15"/>
      <c r="C2406" s="15"/>
      <c r="D2406" s="15"/>
      <c r="E2406" s="15"/>
    </row>
    <row r="2407" spans="2:5" x14ac:dyDescent="0.2">
      <c r="B2407" s="15"/>
      <c r="C2407" s="15"/>
      <c r="D2407" s="15"/>
      <c r="E2407" s="15"/>
    </row>
    <row r="2408" spans="2:5" x14ac:dyDescent="0.2">
      <c r="B2408" s="15"/>
      <c r="C2408" s="15"/>
      <c r="D2408" s="15"/>
      <c r="E2408" s="15"/>
    </row>
    <row r="2409" spans="2:5" x14ac:dyDescent="0.2">
      <c r="B2409" s="15"/>
      <c r="C2409" s="15"/>
      <c r="D2409" s="15"/>
      <c r="E2409" s="15"/>
    </row>
    <row r="2410" spans="2:5" x14ac:dyDescent="0.2">
      <c r="B2410" s="15"/>
      <c r="C2410" s="15"/>
      <c r="D2410" s="15"/>
      <c r="E2410" s="15"/>
    </row>
    <row r="2411" spans="2:5" x14ac:dyDescent="0.2">
      <c r="B2411" s="15"/>
      <c r="C2411" s="15"/>
      <c r="D2411" s="15"/>
      <c r="E2411" s="15"/>
    </row>
    <row r="2412" spans="2:5" x14ac:dyDescent="0.2">
      <c r="B2412" s="15"/>
      <c r="C2412" s="15"/>
      <c r="D2412" s="15"/>
      <c r="E2412" s="15"/>
    </row>
    <row r="2413" spans="2:5" x14ac:dyDescent="0.2">
      <c r="B2413" s="15"/>
      <c r="C2413" s="15"/>
      <c r="D2413" s="15"/>
      <c r="E2413" s="15"/>
    </row>
    <row r="2414" spans="2:5" x14ac:dyDescent="0.2">
      <c r="B2414" s="15"/>
      <c r="C2414" s="15"/>
      <c r="D2414" s="15"/>
      <c r="E2414" s="15"/>
    </row>
    <row r="2415" spans="2:5" x14ac:dyDescent="0.2">
      <c r="B2415" s="15"/>
      <c r="C2415" s="15"/>
      <c r="D2415" s="15"/>
      <c r="E2415" s="15"/>
    </row>
    <row r="2416" spans="2:5" x14ac:dyDescent="0.2">
      <c r="B2416" s="15"/>
      <c r="C2416" s="15"/>
      <c r="D2416" s="15"/>
      <c r="E2416" s="15"/>
    </row>
    <row r="2417" spans="2:5" x14ac:dyDescent="0.2">
      <c r="B2417" s="15"/>
      <c r="C2417" s="15"/>
      <c r="D2417" s="15"/>
      <c r="E2417" s="15"/>
    </row>
    <row r="2418" spans="2:5" x14ac:dyDescent="0.2">
      <c r="B2418" s="15"/>
      <c r="C2418" s="15"/>
      <c r="D2418" s="15"/>
      <c r="E2418" s="15"/>
    </row>
    <row r="2419" spans="2:5" x14ac:dyDescent="0.2">
      <c r="B2419" s="15"/>
      <c r="C2419" s="15"/>
      <c r="D2419" s="15"/>
      <c r="E2419" s="15"/>
    </row>
    <row r="2420" spans="2:5" x14ac:dyDescent="0.2">
      <c r="B2420" s="15"/>
      <c r="C2420" s="15"/>
      <c r="D2420" s="15"/>
      <c r="E2420" s="15"/>
    </row>
    <row r="2421" spans="2:5" x14ac:dyDescent="0.2">
      <c r="B2421" s="15"/>
      <c r="C2421" s="15"/>
      <c r="D2421" s="15"/>
      <c r="E2421" s="15"/>
    </row>
    <row r="2422" spans="2:5" x14ac:dyDescent="0.2">
      <c r="B2422" s="15"/>
      <c r="C2422" s="15"/>
      <c r="D2422" s="15"/>
      <c r="E2422" s="15"/>
    </row>
    <row r="2423" spans="2:5" x14ac:dyDescent="0.2">
      <c r="B2423" s="15"/>
      <c r="C2423" s="15"/>
      <c r="D2423" s="15"/>
      <c r="E2423" s="15"/>
    </row>
    <row r="2424" spans="2:5" x14ac:dyDescent="0.2">
      <c r="B2424" s="15"/>
      <c r="C2424" s="15"/>
      <c r="D2424" s="15"/>
      <c r="E2424" s="15"/>
    </row>
    <row r="2425" spans="2:5" x14ac:dyDescent="0.2">
      <c r="B2425" s="15"/>
      <c r="C2425" s="15"/>
      <c r="D2425" s="15"/>
      <c r="E2425" s="15"/>
    </row>
    <row r="2426" spans="2:5" x14ac:dyDescent="0.2">
      <c r="B2426" s="15"/>
      <c r="C2426" s="15"/>
      <c r="D2426" s="15"/>
      <c r="E2426" s="15"/>
    </row>
    <row r="2427" spans="2:5" x14ac:dyDescent="0.2">
      <c r="B2427" s="15"/>
      <c r="C2427" s="15"/>
      <c r="D2427" s="15"/>
      <c r="E2427" s="15"/>
    </row>
    <row r="2428" spans="2:5" x14ac:dyDescent="0.2">
      <c r="B2428" s="15"/>
      <c r="C2428" s="15"/>
      <c r="D2428" s="15"/>
      <c r="E2428" s="15"/>
    </row>
    <row r="2429" spans="2:5" x14ac:dyDescent="0.2">
      <c r="B2429" s="15"/>
      <c r="C2429" s="15"/>
      <c r="D2429" s="15"/>
      <c r="E2429" s="15"/>
    </row>
    <row r="2430" spans="2:5" x14ac:dyDescent="0.2">
      <c r="B2430" s="15"/>
      <c r="C2430" s="15"/>
      <c r="D2430" s="15"/>
      <c r="E2430" s="15"/>
    </row>
    <row r="2431" spans="2:5" x14ac:dyDescent="0.2">
      <c r="B2431" s="15"/>
      <c r="C2431" s="15"/>
      <c r="D2431" s="15"/>
      <c r="E2431" s="15"/>
    </row>
    <row r="2432" spans="2:5" x14ac:dyDescent="0.2">
      <c r="B2432" s="15"/>
      <c r="C2432" s="15"/>
      <c r="D2432" s="15"/>
      <c r="E2432" s="15"/>
    </row>
    <row r="2433" spans="2:5" x14ac:dyDescent="0.2">
      <c r="B2433" s="15"/>
      <c r="C2433" s="15"/>
      <c r="D2433" s="15"/>
      <c r="E2433" s="15"/>
    </row>
    <row r="2434" spans="2:5" x14ac:dyDescent="0.2">
      <c r="B2434" s="15"/>
      <c r="C2434" s="15"/>
      <c r="D2434" s="15"/>
      <c r="E2434" s="15"/>
    </row>
    <row r="2435" spans="2:5" x14ac:dyDescent="0.2">
      <c r="B2435" s="15"/>
      <c r="C2435" s="15"/>
      <c r="D2435" s="15"/>
      <c r="E2435" s="15"/>
    </row>
    <row r="2436" spans="2:5" x14ac:dyDescent="0.2">
      <c r="B2436" s="15"/>
      <c r="C2436" s="15"/>
      <c r="D2436" s="15"/>
      <c r="E2436" s="15"/>
    </row>
    <row r="2437" spans="2:5" x14ac:dyDescent="0.2">
      <c r="B2437" s="15"/>
      <c r="C2437" s="15"/>
      <c r="D2437" s="15"/>
      <c r="E2437" s="15"/>
    </row>
    <row r="2438" spans="2:5" x14ac:dyDescent="0.2">
      <c r="B2438" s="15"/>
      <c r="C2438" s="15"/>
      <c r="D2438" s="15"/>
      <c r="E2438" s="15"/>
    </row>
    <row r="2439" spans="2:5" x14ac:dyDescent="0.2">
      <c r="B2439" s="15"/>
      <c r="C2439" s="15"/>
      <c r="D2439" s="15"/>
      <c r="E2439" s="15"/>
    </row>
    <row r="2440" spans="2:5" x14ac:dyDescent="0.2">
      <c r="B2440" s="15"/>
      <c r="C2440" s="15"/>
      <c r="D2440" s="15"/>
      <c r="E2440" s="15"/>
    </row>
    <row r="2441" spans="2:5" x14ac:dyDescent="0.2">
      <c r="B2441" s="15"/>
      <c r="C2441" s="15"/>
      <c r="D2441" s="15"/>
      <c r="E2441" s="15"/>
    </row>
    <row r="2442" spans="2:5" x14ac:dyDescent="0.2">
      <c r="B2442" s="15"/>
      <c r="C2442" s="15"/>
      <c r="D2442" s="15"/>
      <c r="E2442" s="15"/>
    </row>
    <row r="2443" spans="2:5" x14ac:dyDescent="0.2">
      <c r="B2443" s="15"/>
      <c r="C2443" s="15"/>
      <c r="D2443" s="15"/>
      <c r="E2443" s="15"/>
    </row>
    <row r="2444" spans="2:5" x14ac:dyDescent="0.2">
      <c r="B2444" s="15"/>
      <c r="C2444" s="15"/>
      <c r="D2444" s="15"/>
      <c r="E2444" s="15"/>
    </row>
    <row r="2445" spans="2:5" x14ac:dyDescent="0.2">
      <c r="B2445" s="15"/>
      <c r="C2445" s="15"/>
      <c r="D2445" s="15"/>
      <c r="E2445" s="15"/>
    </row>
    <row r="2446" spans="2:5" x14ac:dyDescent="0.2">
      <c r="B2446" s="15"/>
      <c r="C2446" s="15"/>
      <c r="D2446" s="15"/>
      <c r="E2446" s="15"/>
    </row>
    <row r="2447" spans="2:5" x14ac:dyDescent="0.2">
      <c r="B2447" s="15"/>
      <c r="C2447" s="15"/>
      <c r="D2447" s="15"/>
      <c r="E2447" s="15"/>
    </row>
    <row r="2448" spans="2:5" x14ac:dyDescent="0.2">
      <c r="B2448" s="15"/>
      <c r="C2448" s="15"/>
      <c r="D2448" s="15"/>
      <c r="E2448" s="15"/>
    </row>
    <row r="2449" spans="2:5" x14ac:dyDescent="0.2">
      <c r="B2449" s="15"/>
      <c r="C2449" s="15"/>
      <c r="D2449" s="15"/>
      <c r="E2449" s="15"/>
    </row>
    <row r="2450" spans="2:5" x14ac:dyDescent="0.2">
      <c r="B2450" s="15"/>
      <c r="C2450" s="15"/>
      <c r="D2450" s="15"/>
      <c r="E2450" s="15"/>
    </row>
    <row r="2451" spans="2:5" x14ac:dyDescent="0.2">
      <c r="B2451" s="15"/>
      <c r="C2451" s="15"/>
      <c r="D2451" s="15"/>
      <c r="E2451" s="15"/>
    </row>
    <row r="2452" spans="2:5" x14ac:dyDescent="0.2">
      <c r="B2452" s="15"/>
      <c r="C2452" s="15"/>
      <c r="D2452" s="15"/>
      <c r="E2452" s="15"/>
    </row>
    <row r="2453" spans="2:5" x14ac:dyDescent="0.2">
      <c r="B2453" s="15"/>
      <c r="C2453" s="15"/>
      <c r="D2453" s="15"/>
      <c r="E2453" s="15"/>
    </row>
    <row r="2454" spans="2:5" x14ac:dyDescent="0.2">
      <c r="B2454" s="15"/>
      <c r="C2454" s="15"/>
      <c r="D2454" s="15"/>
      <c r="E2454" s="15"/>
    </row>
    <row r="2455" spans="2:5" x14ac:dyDescent="0.2">
      <c r="B2455" s="15"/>
      <c r="C2455" s="15"/>
      <c r="D2455" s="15"/>
      <c r="E2455" s="15"/>
    </row>
    <row r="2456" spans="2:5" x14ac:dyDescent="0.2">
      <c r="B2456" s="15"/>
      <c r="C2456" s="15"/>
      <c r="D2456" s="15"/>
      <c r="E2456" s="15"/>
    </row>
    <row r="2457" spans="2:5" x14ac:dyDescent="0.2">
      <c r="B2457" s="15"/>
      <c r="C2457" s="15"/>
      <c r="D2457" s="15"/>
      <c r="E2457" s="15"/>
    </row>
    <row r="2458" spans="2:5" x14ac:dyDescent="0.2">
      <c r="B2458" s="15"/>
      <c r="C2458" s="15"/>
      <c r="D2458" s="15"/>
      <c r="E2458" s="15"/>
    </row>
    <row r="2459" spans="2:5" x14ac:dyDescent="0.2">
      <c r="B2459" s="15"/>
      <c r="C2459" s="15"/>
      <c r="D2459" s="15"/>
      <c r="E2459" s="15"/>
    </row>
    <row r="2460" spans="2:5" x14ac:dyDescent="0.2">
      <c r="B2460" s="15"/>
      <c r="C2460" s="15"/>
      <c r="D2460" s="15"/>
      <c r="E2460" s="15"/>
    </row>
    <row r="2461" spans="2:5" x14ac:dyDescent="0.2">
      <c r="B2461" s="15"/>
      <c r="C2461" s="15"/>
      <c r="D2461" s="15"/>
      <c r="E2461" s="15"/>
    </row>
    <row r="2462" spans="2:5" x14ac:dyDescent="0.2">
      <c r="B2462" s="15"/>
      <c r="C2462" s="15"/>
      <c r="D2462" s="15"/>
      <c r="E2462" s="15"/>
    </row>
    <row r="2463" spans="2:5" x14ac:dyDescent="0.2">
      <c r="B2463" s="15"/>
      <c r="C2463" s="15"/>
      <c r="D2463" s="15"/>
      <c r="E2463" s="15"/>
    </row>
    <row r="2464" spans="2:5" x14ac:dyDescent="0.2">
      <c r="B2464" s="15"/>
      <c r="C2464" s="15"/>
      <c r="D2464" s="15"/>
      <c r="E2464" s="15"/>
    </row>
    <row r="2465" spans="2:5" x14ac:dyDescent="0.2">
      <c r="B2465" s="15"/>
      <c r="C2465" s="15"/>
      <c r="D2465" s="15"/>
      <c r="E2465" s="15"/>
    </row>
    <row r="2466" spans="2:5" x14ac:dyDescent="0.2">
      <c r="B2466" s="15"/>
      <c r="C2466" s="15"/>
      <c r="D2466" s="15"/>
      <c r="E2466" s="15"/>
    </row>
    <row r="2467" spans="2:5" x14ac:dyDescent="0.2">
      <c r="B2467" s="15"/>
      <c r="C2467" s="15"/>
      <c r="D2467" s="15"/>
      <c r="E2467" s="15"/>
    </row>
    <row r="2468" spans="2:5" x14ac:dyDescent="0.2">
      <c r="B2468" s="15"/>
      <c r="C2468" s="15"/>
      <c r="D2468" s="15"/>
      <c r="E2468" s="15"/>
    </row>
    <row r="2469" spans="2:5" x14ac:dyDescent="0.2">
      <c r="B2469" s="15"/>
      <c r="C2469" s="15"/>
      <c r="D2469" s="15"/>
      <c r="E2469" s="15"/>
    </row>
    <row r="2470" spans="2:5" x14ac:dyDescent="0.2">
      <c r="B2470" s="15"/>
      <c r="C2470" s="15"/>
      <c r="D2470" s="15"/>
      <c r="E2470" s="15"/>
    </row>
    <row r="2471" spans="2:5" x14ac:dyDescent="0.2">
      <c r="B2471" s="15"/>
      <c r="C2471" s="15"/>
      <c r="D2471" s="15"/>
      <c r="E2471" s="15"/>
    </row>
    <row r="2472" spans="2:5" x14ac:dyDescent="0.2">
      <c r="B2472" s="15"/>
      <c r="C2472" s="15"/>
      <c r="D2472" s="15"/>
      <c r="E2472" s="15"/>
    </row>
    <row r="2473" spans="2:5" x14ac:dyDescent="0.2">
      <c r="B2473" s="15"/>
      <c r="C2473" s="15"/>
      <c r="D2473" s="15"/>
      <c r="E2473" s="15"/>
    </row>
    <row r="2474" spans="2:5" x14ac:dyDescent="0.2">
      <c r="B2474" s="15"/>
      <c r="C2474" s="15"/>
      <c r="D2474" s="15"/>
      <c r="E2474" s="15"/>
    </row>
    <row r="2475" spans="2:5" x14ac:dyDescent="0.2">
      <c r="B2475" s="15"/>
      <c r="C2475" s="15"/>
      <c r="D2475" s="15"/>
      <c r="E2475" s="15"/>
    </row>
    <row r="2476" spans="2:5" x14ac:dyDescent="0.2">
      <c r="B2476" s="15"/>
      <c r="C2476" s="15"/>
      <c r="D2476" s="15"/>
      <c r="E2476" s="15"/>
    </row>
    <row r="2477" spans="2:5" x14ac:dyDescent="0.2">
      <c r="B2477" s="15"/>
      <c r="C2477" s="15"/>
      <c r="D2477" s="15"/>
      <c r="E2477" s="15"/>
    </row>
    <row r="2478" spans="2:5" x14ac:dyDescent="0.2">
      <c r="B2478" s="15"/>
      <c r="C2478" s="15"/>
      <c r="D2478" s="15"/>
      <c r="E2478" s="15"/>
    </row>
    <row r="2479" spans="2:5" x14ac:dyDescent="0.2">
      <c r="B2479" s="15"/>
      <c r="C2479" s="15"/>
      <c r="D2479" s="15"/>
      <c r="E2479" s="15"/>
    </row>
    <row r="2480" spans="2:5" x14ac:dyDescent="0.2">
      <c r="B2480" s="15"/>
      <c r="C2480" s="15"/>
      <c r="D2480" s="15"/>
      <c r="E2480" s="15"/>
    </row>
    <row r="2481" spans="2:5" x14ac:dyDescent="0.2">
      <c r="B2481" s="15"/>
      <c r="C2481" s="15"/>
      <c r="D2481" s="15"/>
      <c r="E2481" s="15"/>
    </row>
    <row r="2482" spans="2:5" x14ac:dyDescent="0.2">
      <c r="B2482" s="15"/>
      <c r="C2482" s="15"/>
      <c r="D2482" s="15"/>
      <c r="E2482" s="15"/>
    </row>
    <row r="2483" spans="2:5" x14ac:dyDescent="0.2">
      <c r="B2483" s="15"/>
      <c r="C2483" s="15"/>
      <c r="D2483" s="15"/>
      <c r="E2483" s="15"/>
    </row>
    <row r="2484" spans="2:5" x14ac:dyDescent="0.2">
      <c r="B2484" s="15"/>
      <c r="C2484" s="15"/>
      <c r="D2484" s="15"/>
      <c r="E2484" s="15"/>
    </row>
    <row r="2485" spans="2:5" x14ac:dyDescent="0.2">
      <c r="B2485" s="15"/>
      <c r="C2485" s="15"/>
      <c r="D2485" s="15"/>
      <c r="E2485" s="15"/>
    </row>
    <row r="2486" spans="2:5" x14ac:dyDescent="0.2">
      <c r="B2486" s="15"/>
      <c r="C2486" s="15"/>
      <c r="D2486" s="15"/>
      <c r="E2486" s="15"/>
    </row>
    <row r="2487" spans="2:5" x14ac:dyDescent="0.2">
      <c r="B2487" s="15"/>
      <c r="C2487" s="15"/>
      <c r="D2487" s="15"/>
      <c r="E2487" s="15"/>
    </row>
    <row r="2488" spans="2:5" x14ac:dyDescent="0.2">
      <c r="B2488" s="15"/>
      <c r="C2488" s="15"/>
      <c r="D2488" s="15"/>
      <c r="E2488" s="15"/>
    </row>
    <row r="2489" spans="2:5" x14ac:dyDescent="0.2">
      <c r="B2489" s="15"/>
      <c r="C2489" s="15"/>
      <c r="D2489" s="15"/>
      <c r="E2489" s="15"/>
    </row>
    <row r="2490" spans="2:5" x14ac:dyDescent="0.2">
      <c r="B2490" s="15"/>
      <c r="C2490" s="15"/>
      <c r="D2490" s="15"/>
      <c r="E2490" s="15"/>
    </row>
    <row r="2491" spans="2:5" x14ac:dyDescent="0.2">
      <c r="B2491" s="15"/>
      <c r="C2491" s="15"/>
      <c r="D2491" s="15"/>
      <c r="E2491" s="15"/>
    </row>
    <row r="2492" spans="2:5" x14ac:dyDescent="0.2">
      <c r="B2492" s="15"/>
      <c r="C2492" s="15"/>
      <c r="D2492" s="15"/>
      <c r="E2492" s="15"/>
    </row>
    <row r="2493" spans="2:5" x14ac:dyDescent="0.2">
      <c r="B2493" s="15"/>
      <c r="C2493" s="15"/>
      <c r="D2493" s="15"/>
      <c r="E2493" s="15"/>
    </row>
    <row r="2494" spans="2:5" x14ac:dyDescent="0.2">
      <c r="B2494" s="15"/>
      <c r="C2494" s="15"/>
      <c r="D2494" s="15"/>
      <c r="E2494" s="15"/>
    </row>
    <row r="2495" spans="2:5" x14ac:dyDescent="0.2">
      <c r="B2495" s="15"/>
      <c r="C2495" s="15"/>
      <c r="D2495" s="15"/>
      <c r="E2495" s="15"/>
    </row>
    <row r="2496" spans="2:5" x14ac:dyDescent="0.2">
      <c r="B2496" s="15"/>
      <c r="C2496" s="15"/>
      <c r="D2496" s="15"/>
      <c r="E2496" s="15"/>
    </row>
    <row r="2497" spans="2:5" x14ac:dyDescent="0.2">
      <c r="B2497" s="15"/>
      <c r="C2497" s="15"/>
      <c r="D2497" s="15"/>
      <c r="E2497" s="15"/>
    </row>
    <row r="2498" spans="2:5" x14ac:dyDescent="0.2">
      <c r="B2498" s="15"/>
      <c r="C2498" s="15"/>
      <c r="D2498" s="15"/>
      <c r="E2498" s="15"/>
    </row>
    <row r="2499" spans="2:5" x14ac:dyDescent="0.2">
      <c r="B2499" s="15"/>
      <c r="C2499" s="15"/>
      <c r="D2499" s="15"/>
      <c r="E2499" s="15"/>
    </row>
    <row r="2500" spans="2:5" x14ac:dyDescent="0.2">
      <c r="B2500" s="15"/>
      <c r="C2500" s="15"/>
      <c r="D2500" s="15"/>
      <c r="E2500" s="15"/>
    </row>
    <row r="2501" spans="2:5" x14ac:dyDescent="0.2">
      <c r="B2501" s="15"/>
      <c r="C2501" s="15"/>
      <c r="D2501" s="15"/>
      <c r="E2501" s="15"/>
    </row>
    <row r="2502" spans="2:5" x14ac:dyDescent="0.2">
      <c r="B2502" s="15"/>
      <c r="C2502" s="15"/>
      <c r="D2502" s="15"/>
      <c r="E2502" s="15"/>
    </row>
    <row r="2503" spans="2:5" x14ac:dyDescent="0.2">
      <c r="B2503" s="15"/>
      <c r="C2503" s="15"/>
      <c r="D2503" s="15"/>
      <c r="E2503" s="15"/>
    </row>
    <row r="2504" spans="2:5" x14ac:dyDescent="0.2">
      <c r="B2504" s="15"/>
      <c r="C2504" s="15"/>
      <c r="D2504" s="15"/>
      <c r="E2504" s="15"/>
    </row>
    <row r="2505" spans="2:5" x14ac:dyDescent="0.2">
      <c r="B2505" s="15"/>
      <c r="C2505" s="15"/>
      <c r="D2505" s="15"/>
      <c r="E2505" s="15"/>
    </row>
    <row r="2506" spans="2:5" x14ac:dyDescent="0.2">
      <c r="B2506" s="15"/>
      <c r="C2506" s="15"/>
      <c r="D2506" s="15"/>
      <c r="E2506" s="15"/>
    </row>
    <row r="2507" spans="2:5" x14ac:dyDescent="0.2">
      <c r="B2507" s="15"/>
      <c r="C2507" s="15"/>
      <c r="D2507" s="15"/>
      <c r="E2507" s="15"/>
    </row>
    <row r="2508" spans="2:5" x14ac:dyDescent="0.2">
      <c r="B2508" s="15"/>
      <c r="C2508" s="15"/>
      <c r="D2508" s="15"/>
      <c r="E2508" s="15"/>
    </row>
    <row r="2509" spans="2:5" x14ac:dyDescent="0.2">
      <c r="B2509" s="15"/>
      <c r="C2509" s="15"/>
      <c r="D2509" s="15"/>
      <c r="E2509" s="15"/>
    </row>
    <row r="2510" spans="2:5" x14ac:dyDescent="0.2">
      <c r="B2510" s="15"/>
      <c r="C2510" s="15"/>
      <c r="D2510" s="15"/>
      <c r="E2510" s="15"/>
    </row>
    <row r="2511" spans="2:5" x14ac:dyDescent="0.2">
      <c r="B2511" s="15"/>
      <c r="C2511" s="15"/>
      <c r="D2511" s="15"/>
      <c r="E2511" s="15"/>
    </row>
    <row r="2512" spans="2:5" x14ac:dyDescent="0.2">
      <c r="B2512" s="15"/>
      <c r="C2512" s="15"/>
      <c r="D2512" s="15"/>
      <c r="E2512" s="15"/>
    </row>
    <row r="2513" spans="2:5" x14ac:dyDescent="0.2">
      <c r="B2513" s="15"/>
      <c r="C2513" s="15"/>
      <c r="D2513" s="15"/>
      <c r="E2513" s="15"/>
    </row>
    <row r="2514" spans="2:5" x14ac:dyDescent="0.2">
      <c r="B2514" s="15"/>
      <c r="C2514" s="15"/>
      <c r="D2514" s="15"/>
      <c r="E2514" s="15"/>
    </row>
    <row r="2515" spans="2:5" x14ac:dyDescent="0.2">
      <c r="B2515" s="15"/>
      <c r="C2515" s="15"/>
      <c r="D2515" s="15"/>
      <c r="E2515" s="15"/>
    </row>
    <row r="2516" spans="2:5" x14ac:dyDescent="0.2">
      <c r="B2516" s="15"/>
      <c r="C2516" s="15"/>
      <c r="D2516" s="15"/>
      <c r="E2516" s="15"/>
    </row>
    <row r="2517" spans="2:5" x14ac:dyDescent="0.2">
      <c r="B2517" s="15"/>
      <c r="C2517" s="15"/>
      <c r="D2517" s="15"/>
      <c r="E2517" s="15"/>
    </row>
    <row r="2518" spans="2:5" x14ac:dyDescent="0.2">
      <c r="B2518" s="15"/>
      <c r="C2518" s="15"/>
      <c r="D2518" s="15"/>
      <c r="E2518" s="15"/>
    </row>
    <row r="2519" spans="2:5" x14ac:dyDescent="0.2">
      <c r="B2519" s="15"/>
      <c r="C2519" s="15"/>
      <c r="D2519" s="15"/>
      <c r="E2519" s="15"/>
    </row>
    <row r="2520" spans="2:5" x14ac:dyDescent="0.2">
      <c r="B2520" s="15"/>
      <c r="C2520" s="15"/>
      <c r="D2520" s="15"/>
      <c r="E2520" s="15"/>
    </row>
    <row r="2521" spans="2:5" x14ac:dyDescent="0.2">
      <c r="B2521" s="15"/>
      <c r="C2521" s="15"/>
      <c r="D2521" s="15"/>
      <c r="E2521" s="15"/>
    </row>
    <row r="2522" spans="2:5" x14ac:dyDescent="0.2">
      <c r="B2522" s="15"/>
      <c r="C2522" s="15"/>
      <c r="D2522" s="15"/>
      <c r="E2522" s="15"/>
    </row>
    <row r="2523" spans="2:5" x14ac:dyDescent="0.2">
      <c r="B2523" s="15"/>
      <c r="C2523" s="15"/>
      <c r="D2523" s="15"/>
      <c r="E2523" s="15"/>
    </row>
    <row r="2524" spans="2:5" x14ac:dyDescent="0.2">
      <c r="B2524" s="15"/>
      <c r="C2524" s="15"/>
      <c r="D2524" s="15"/>
      <c r="E2524" s="15"/>
    </row>
    <row r="2525" spans="2:5" x14ac:dyDescent="0.2">
      <c r="B2525" s="15"/>
      <c r="C2525" s="15"/>
      <c r="D2525" s="15"/>
      <c r="E2525" s="15"/>
    </row>
    <row r="2526" spans="2:5" x14ac:dyDescent="0.2">
      <c r="B2526" s="15"/>
      <c r="C2526" s="15"/>
      <c r="D2526" s="15"/>
      <c r="E2526" s="15"/>
    </row>
    <row r="2527" spans="2:5" x14ac:dyDescent="0.2">
      <c r="B2527" s="15"/>
      <c r="C2527" s="15"/>
      <c r="D2527" s="15"/>
      <c r="E2527" s="15"/>
    </row>
    <row r="2528" spans="2:5" x14ac:dyDescent="0.2">
      <c r="B2528" s="15"/>
      <c r="C2528" s="15"/>
      <c r="D2528" s="15"/>
      <c r="E2528" s="15"/>
    </row>
    <row r="2529" spans="2:5" x14ac:dyDescent="0.2">
      <c r="B2529" s="15"/>
      <c r="C2529" s="15"/>
      <c r="D2529" s="15"/>
      <c r="E2529" s="15"/>
    </row>
    <row r="2530" spans="2:5" x14ac:dyDescent="0.2">
      <c r="B2530" s="15"/>
      <c r="C2530" s="15"/>
      <c r="D2530" s="15"/>
      <c r="E2530" s="15"/>
    </row>
    <row r="2531" spans="2:5" x14ac:dyDescent="0.2">
      <c r="B2531" s="15"/>
      <c r="C2531" s="15"/>
      <c r="D2531" s="15"/>
      <c r="E2531" s="15"/>
    </row>
    <row r="2532" spans="2:5" x14ac:dyDescent="0.2">
      <c r="B2532" s="15"/>
      <c r="C2532" s="15"/>
      <c r="D2532" s="15"/>
      <c r="E2532" s="15"/>
    </row>
    <row r="2533" spans="2:5" x14ac:dyDescent="0.2">
      <c r="B2533" s="15"/>
      <c r="C2533" s="15"/>
      <c r="D2533" s="15"/>
      <c r="E2533" s="15"/>
    </row>
    <row r="2534" spans="2:5" x14ac:dyDescent="0.2">
      <c r="B2534" s="15"/>
      <c r="C2534" s="15"/>
      <c r="D2534" s="15"/>
      <c r="E2534" s="15"/>
    </row>
    <row r="2535" spans="2:5" x14ac:dyDescent="0.2">
      <c r="B2535" s="15"/>
      <c r="C2535" s="15"/>
      <c r="D2535" s="15"/>
      <c r="E2535" s="15"/>
    </row>
    <row r="2536" spans="2:5" x14ac:dyDescent="0.2">
      <c r="B2536" s="15"/>
      <c r="C2536" s="15"/>
      <c r="D2536" s="15"/>
      <c r="E2536" s="15"/>
    </row>
    <row r="2537" spans="2:5" x14ac:dyDescent="0.2">
      <c r="B2537" s="15"/>
      <c r="C2537" s="15"/>
      <c r="D2537" s="15"/>
      <c r="E2537" s="15"/>
    </row>
    <row r="2538" spans="2:5" x14ac:dyDescent="0.2">
      <c r="B2538" s="15"/>
      <c r="C2538" s="15"/>
      <c r="D2538" s="15"/>
      <c r="E2538" s="15"/>
    </row>
    <row r="2539" spans="2:5" x14ac:dyDescent="0.2">
      <c r="B2539" s="15"/>
      <c r="C2539" s="15"/>
      <c r="D2539" s="15"/>
      <c r="E2539" s="15"/>
    </row>
    <row r="2540" spans="2:5" x14ac:dyDescent="0.2">
      <c r="B2540" s="15"/>
      <c r="C2540" s="15"/>
      <c r="D2540" s="15"/>
      <c r="E2540" s="15"/>
    </row>
    <row r="2541" spans="2:5" x14ac:dyDescent="0.2">
      <c r="B2541" s="15"/>
      <c r="C2541" s="15"/>
      <c r="D2541" s="15"/>
      <c r="E2541" s="15"/>
    </row>
    <row r="2542" spans="2:5" x14ac:dyDescent="0.2">
      <c r="B2542" s="15"/>
      <c r="C2542" s="15"/>
      <c r="D2542" s="15"/>
      <c r="E2542" s="15"/>
    </row>
    <row r="2543" spans="2:5" x14ac:dyDescent="0.2">
      <c r="B2543" s="15"/>
      <c r="C2543" s="15"/>
      <c r="D2543" s="15"/>
      <c r="E2543" s="15"/>
    </row>
    <row r="2544" spans="2:5" x14ac:dyDescent="0.2">
      <c r="B2544" s="15"/>
      <c r="C2544" s="15"/>
      <c r="D2544" s="15"/>
      <c r="E2544" s="15"/>
    </row>
    <row r="2545" spans="2:5" x14ac:dyDescent="0.2">
      <c r="B2545" s="15"/>
      <c r="C2545" s="15"/>
      <c r="D2545" s="15"/>
      <c r="E2545" s="15"/>
    </row>
    <row r="2546" spans="2:5" x14ac:dyDescent="0.2">
      <c r="B2546" s="15"/>
      <c r="C2546" s="15"/>
      <c r="D2546" s="15"/>
      <c r="E2546" s="15"/>
    </row>
    <row r="2547" spans="2:5" x14ac:dyDescent="0.2">
      <c r="B2547" s="15"/>
      <c r="C2547" s="15"/>
      <c r="D2547" s="15"/>
      <c r="E2547" s="15"/>
    </row>
    <row r="2548" spans="2:5" x14ac:dyDescent="0.2">
      <c r="B2548" s="15"/>
      <c r="C2548" s="15"/>
      <c r="D2548" s="15"/>
      <c r="E2548" s="15"/>
    </row>
    <row r="2549" spans="2:5" x14ac:dyDescent="0.2">
      <c r="B2549" s="15"/>
      <c r="C2549" s="15"/>
      <c r="D2549" s="15"/>
      <c r="E2549" s="15"/>
    </row>
    <row r="2550" spans="2:5" x14ac:dyDescent="0.2">
      <c r="B2550" s="15"/>
      <c r="C2550" s="15"/>
      <c r="D2550" s="15"/>
      <c r="E2550" s="15"/>
    </row>
    <row r="2551" spans="2:5" x14ac:dyDescent="0.2">
      <c r="B2551" s="15"/>
      <c r="C2551" s="15"/>
      <c r="D2551" s="15"/>
      <c r="E2551" s="15"/>
    </row>
    <row r="2552" spans="2:5" x14ac:dyDescent="0.2">
      <c r="B2552" s="15"/>
      <c r="C2552" s="15"/>
      <c r="D2552" s="15"/>
      <c r="E2552" s="15"/>
    </row>
    <row r="2553" spans="2:5" x14ac:dyDescent="0.2">
      <c r="B2553" s="15"/>
      <c r="C2553" s="15"/>
      <c r="D2553" s="15"/>
      <c r="E2553" s="15"/>
    </row>
    <row r="2554" spans="2:5" x14ac:dyDescent="0.2">
      <c r="B2554" s="15"/>
      <c r="C2554" s="15"/>
      <c r="D2554" s="15"/>
      <c r="E2554" s="15"/>
    </row>
    <row r="2555" spans="2:5" x14ac:dyDescent="0.2">
      <c r="B2555" s="15"/>
      <c r="C2555" s="15"/>
      <c r="D2555" s="15"/>
      <c r="E2555" s="15"/>
    </row>
    <row r="2556" spans="2:5" x14ac:dyDescent="0.2">
      <c r="B2556" s="15"/>
      <c r="C2556" s="15"/>
      <c r="D2556" s="15"/>
      <c r="E2556" s="15"/>
    </row>
    <row r="2557" spans="2:5" x14ac:dyDescent="0.2">
      <c r="B2557" s="15"/>
      <c r="C2557" s="15"/>
      <c r="D2557" s="15"/>
      <c r="E2557" s="15"/>
    </row>
    <row r="2558" spans="2:5" x14ac:dyDescent="0.2">
      <c r="B2558" s="15"/>
      <c r="C2558" s="15"/>
      <c r="D2558" s="15"/>
      <c r="E2558" s="15"/>
    </row>
    <row r="2559" spans="2:5" x14ac:dyDescent="0.2">
      <c r="B2559" s="15"/>
      <c r="C2559" s="15"/>
      <c r="D2559" s="15"/>
      <c r="E2559" s="15"/>
    </row>
    <row r="2560" spans="2:5" x14ac:dyDescent="0.2">
      <c r="B2560" s="15"/>
      <c r="C2560" s="15"/>
      <c r="D2560" s="15"/>
      <c r="E2560" s="15"/>
    </row>
    <row r="2561" spans="2:5" x14ac:dyDescent="0.2">
      <c r="B2561" s="15"/>
      <c r="C2561" s="15"/>
      <c r="D2561" s="15"/>
      <c r="E2561" s="15"/>
    </row>
    <row r="2562" spans="2:5" x14ac:dyDescent="0.2">
      <c r="B2562" s="15"/>
      <c r="C2562" s="15"/>
      <c r="D2562" s="15"/>
      <c r="E2562" s="15"/>
    </row>
    <row r="2563" spans="2:5" x14ac:dyDescent="0.2">
      <c r="B2563" s="15"/>
      <c r="C2563" s="15"/>
      <c r="D2563" s="15"/>
      <c r="E2563" s="15"/>
    </row>
    <row r="2564" spans="2:5" x14ac:dyDescent="0.2">
      <c r="B2564" s="15"/>
      <c r="C2564" s="15"/>
      <c r="D2564" s="15"/>
      <c r="E2564" s="15"/>
    </row>
    <row r="2565" spans="2:5" x14ac:dyDescent="0.2">
      <c r="B2565" s="15"/>
      <c r="C2565" s="15"/>
      <c r="D2565" s="15"/>
      <c r="E2565" s="15"/>
    </row>
    <row r="2566" spans="2:5" x14ac:dyDescent="0.2">
      <c r="B2566" s="15"/>
      <c r="C2566" s="15"/>
      <c r="D2566" s="15"/>
      <c r="E2566" s="15"/>
    </row>
    <row r="2567" spans="2:5" x14ac:dyDescent="0.2">
      <c r="B2567" s="15"/>
      <c r="C2567" s="15"/>
      <c r="D2567" s="15"/>
      <c r="E2567" s="15"/>
    </row>
    <row r="2568" spans="2:5" x14ac:dyDescent="0.2">
      <c r="B2568" s="15"/>
      <c r="C2568" s="15"/>
      <c r="D2568" s="15"/>
      <c r="E2568" s="15"/>
    </row>
    <row r="2569" spans="2:5" x14ac:dyDescent="0.2">
      <c r="B2569" s="15"/>
      <c r="C2569" s="15"/>
      <c r="D2569" s="15"/>
      <c r="E2569" s="15"/>
    </row>
    <row r="2570" spans="2:5" x14ac:dyDescent="0.2">
      <c r="B2570" s="15"/>
      <c r="C2570" s="15"/>
      <c r="D2570" s="15"/>
      <c r="E2570" s="15"/>
    </row>
    <row r="2571" spans="2:5" x14ac:dyDescent="0.2">
      <c r="B2571" s="15"/>
      <c r="C2571" s="15"/>
      <c r="D2571" s="15"/>
      <c r="E2571" s="15"/>
    </row>
    <row r="2572" spans="2:5" x14ac:dyDescent="0.2">
      <c r="B2572" s="15"/>
      <c r="C2572" s="15"/>
      <c r="D2572" s="15"/>
      <c r="E2572" s="15"/>
    </row>
    <row r="2573" spans="2:5" x14ac:dyDescent="0.2">
      <c r="B2573" s="15"/>
      <c r="C2573" s="15"/>
      <c r="D2573" s="15"/>
      <c r="E2573" s="15"/>
    </row>
    <row r="2574" spans="2:5" x14ac:dyDescent="0.2">
      <c r="B2574" s="15"/>
      <c r="C2574" s="15"/>
      <c r="D2574" s="15"/>
      <c r="E2574" s="15"/>
    </row>
    <row r="2575" spans="2:5" x14ac:dyDescent="0.2">
      <c r="B2575" s="15"/>
      <c r="C2575" s="15"/>
      <c r="D2575" s="15"/>
      <c r="E2575" s="15"/>
    </row>
    <row r="2576" spans="2:5" x14ac:dyDescent="0.2">
      <c r="B2576" s="15"/>
      <c r="C2576" s="15"/>
      <c r="D2576" s="15"/>
      <c r="E2576" s="15"/>
    </row>
    <row r="2577" spans="2:5" x14ac:dyDescent="0.2">
      <c r="B2577" s="15"/>
      <c r="C2577" s="15"/>
      <c r="D2577" s="15"/>
      <c r="E2577" s="15"/>
    </row>
    <row r="2578" spans="2:5" x14ac:dyDescent="0.2">
      <c r="B2578" s="15"/>
      <c r="C2578" s="15"/>
      <c r="D2578" s="15"/>
      <c r="E2578" s="15"/>
    </row>
    <row r="2579" spans="2:5" x14ac:dyDescent="0.2">
      <c r="B2579" s="15"/>
      <c r="C2579" s="15"/>
      <c r="D2579" s="15"/>
      <c r="E2579" s="15"/>
    </row>
    <row r="2580" spans="2:5" x14ac:dyDescent="0.2">
      <c r="B2580" s="15"/>
      <c r="C2580" s="15"/>
      <c r="D2580" s="15"/>
      <c r="E2580" s="15"/>
    </row>
    <row r="2581" spans="2:5" x14ac:dyDescent="0.2">
      <c r="B2581" s="15"/>
      <c r="C2581" s="15"/>
      <c r="D2581" s="15"/>
      <c r="E2581" s="15"/>
    </row>
    <row r="2582" spans="2:5" x14ac:dyDescent="0.2">
      <c r="B2582" s="15"/>
      <c r="C2582" s="15"/>
      <c r="D2582" s="15"/>
      <c r="E2582" s="15"/>
    </row>
    <row r="2583" spans="2:5" x14ac:dyDescent="0.2">
      <c r="B2583" s="15"/>
      <c r="C2583" s="15"/>
      <c r="D2583" s="15"/>
      <c r="E2583" s="15"/>
    </row>
    <row r="2584" spans="2:5" x14ac:dyDescent="0.2">
      <c r="B2584" s="15"/>
      <c r="C2584" s="15"/>
      <c r="D2584" s="15"/>
      <c r="E2584" s="15"/>
    </row>
    <row r="2585" spans="2:5" x14ac:dyDescent="0.2">
      <c r="B2585" s="15"/>
      <c r="C2585" s="15"/>
      <c r="D2585" s="15"/>
      <c r="E2585" s="15"/>
    </row>
    <row r="2586" spans="2:5" x14ac:dyDescent="0.2">
      <c r="B2586" s="15"/>
      <c r="C2586" s="15"/>
      <c r="D2586" s="15"/>
      <c r="E2586" s="15"/>
    </row>
    <row r="2587" spans="2:5" x14ac:dyDescent="0.2">
      <c r="B2587" s="15"/>
      <c r="C2587" s="15"/>
      <c r="D2587" s="15"/>
      <c r="E2587" s="15"/>
    </row>
    <row r="2588" spans="2:5" x14ac:dyDescent="0.2">
      <c r="B2588" s="15"/>
      <c r="C2588" s="15"/>
      <c r="D2588" s="15"/>
      <c r="E2588" s="15"/>
    </row>
    <row r="2589" spans="2:5" x14ac:dyDescent="0.2">
      <c r="B2589" s="15"/>
      <c r="C2589" s="15"/>
      <c r="D2589" s="15"/>
      <c r="E2589" s="15"/>
    </row>
    <row r="2590" spans="2:5" x14ac:dyDescent="0.2">
      <c r="B2590" s="15"/>
      <c r="C2590" s="15"/>
      <c r="D2590" s="15"/>
      <c r="E2590" s="15"/>
    </row>
    <row r="2591" spans="2:5" x14ac:dyDescent="0.2">
      <c r="B2591" s="15"/>
      <c r="C2591" s="15"/>
      <c r="D2591" s="15"/>
      <c r="E2591" s="15"/>
    </row>
    <row r="2592" spans="2:5" x14ac:dyDescent="0.2">
      <c r="B2592" s="15"/>
      <c r="C2592" s="15"/>
      <c r="D2592" s="15"/>
      <c r="E2592" s="15"/>
    </row>
    <row r="2593" spans="2:5" x14ac:dyDescent="0.2">
      <c r="B2593" s="15"/>
      <c r="C2593" s="15"/>
      <c r="D2593" s="15"/>
      <c r="E2593" s="15"/>
    </row>
    <row r="2594" spans="2:5" x14ac:dyDescent="0.2">
      <c r="B2594" s="15"/>
      <c r="C2594" s="15"/>
      <c r="D2594" s="15"/>
      <c r="E2594" s="15"/>
    </row>
    <row r="2595" spans="2:5" x14ac:dyDescent="0.2">
      <c r="B2595" s="15"/>
      <c r="C2595" s="15"/>
      <c r="D2595" s="15"/>
      <c r="E2595" s="15"/>
    </row>
    <row r="2596" spans="2:5" x14ac:dyDescent="0.2">
      <c r="B2596" s="15"/>
      <c r="C2596" s="15"/>
      <c r="D2596" s="15"/>
      <c r="E2596" s="15"/>
    </row>
    <row r="2597" spans="2:5" x14ac:dyDescent="0.2">
      <c r="B2597" s="15"/>
      <c r="C2597" s="15"/>
      <c r="D2597" s="15"/>
      <c r="E2597" s="15"/>
    </row>
    <row r="2598" spans="2:5" x14ac:dyDescent="0.2">
      <c r="B2598" s="15"/>
      <c r="C2598" s="15"/>
      <c r="D2598" s="15"/>
      <c r="E2598" s="15"/>
    </row>
    <row r="2599" spans="2:5" x14ac:dyDescent="0.2">
      <c r="B2599" s="15"/>
      <c r="C2599" s="15"/>
      <c r="D2599" s="15"/>
      <c r="E2599" s="15"/>
    </row>
    <row r="2600" spans="2:5" x14ac:dyDescent="0.2">
      <c r="B2600" s="15"/>
      <c r="C2600" s="15"/>
      <c r="D2600" s="15"/>
      <c r="E2600" s="15"/>
    </row>
    <row r="2601" spans="2:5" x14ac:dyDescent="0.2">
      <c r="B2601" s="15"/>
      <c r="C2601" s="15"/>
      <c r="D2601" s="15"/>
      <c r="E2601" s="15"/>
    </row>
    <row r="2602" spans="2:5" x14ac:dyDescent="0.2">
      <c r="B2602" s="15"/>
      <c r="C2602" s="15"/>
      <c r="D2602" s="15"/>
      <c r="E2602" s="15"/>
    </row>
    <row r="2603" spans="2:5" x14ac:dyDescent="0.2">
      <c r="B2603" s="15"/>
      <c r="C2603" s="15"/>
      <c r="D2603" s="15"/>
      <c r="E2603" s="15"/>
    </row>
    <row r="2604" spans="2:5" x14ac:dyDescent="0.2">
      <c r="B2604" s="15"/>
      <c r="C2604" s="15"/>
      <c r="D2604" s="15"/>
      <c r="E2604" s="15"/>
    </row>
    <row r="2605" spans="2:5" x14ac:dyDescent="0.2">
      <c r="B2605" s="15"/>
      <c r="C2605" s="15"/>
      <c r="D2605" s="15"/>
      <c r="E2605" s="15"/>
    </row>
    <row r="2606" spans="2:5" x14ac:dyDescent="0.2">
      <c r="B2606" s="15"/>
      <c r="C2606" s="15"/>
      <c r="D2606" s="15"/>
      <c r="E2606" s="15"/>
    </row>
    <row r="2607" spans="2:5" x14ac:dyDescent="0.2">
      <c r="B2607" s="15"/>
      <c r="C2607" s="15"/>
      <c r="D2607" s="15"/>
      <c r="E2607" s="15"/>
    </row>
    <row r="2608" spans="2:5" x14ac:dyDescent="0.2">
      <c r="B2608" s="15"/>
      <c r="C2608" s="15"/>
      <c r="D2608" s="15"/>
      <c r="E2608" s="15"/>
    </row>
    <row r="2609" spans="2:5" x14ac:dyDescent="0.2">
      <c r="B2609" s="15"/>
      <c r="C2609" s="15"/>
      <c r="D2609" s="15"/>
      <c r="E2609" s="15"/>
    </row>
    <row r="2610" spans="2:5" x14ac:dyDescent="0.2">
      <c r="B2610" s="15"/>
      <c r="C2610" s="15"/>
      <c r="D2610" s="15"/>
      <c r="E2610" s="15"/>
    </row>
    <row r="2611" spans="2:5" x14ac:dyDescent="0.2">
      <c r="B2611" s="15"/>
      <c r="C2611" s="15"/>
      <c r="D2611" s="15"/>
      <c r="E2611" s="15"/>
    </row>
    <row r="2612" spans="2:5" x14ac:dyDescent="0.2">
      <c r="B2612" s="15"/>
      <c r="C2612" s="15"/>
      <c r="D2612" s="15"/>
      <c r="E2612" s="15"/>
    </row>
    <row r="2613" spans="2:5" x14ac:dyDescent="0.2">
      <c r="B2613" s="15"/>
      <c r="C2613" s="15"/>
      <c r="D2613" s="15"/>
      <c r="E2613" s="15"/>
    </row>
    <row r="2614" spans="2:5" x14ac:dyDescent="0.2">
      <c r="B2614" s="15"/>
      <c r="C2614" s="15"/>
      <c r="D2614" s="15"/>
      <c r="E2614" s="15"/>
    </row>
    <row r="2615" spans="2:5" x14ac:dyDescent="0.2">
      <c r="B2615" s="15"/>
      <c r="C2615" s="15"/>
      <c r="D2615" s="15"/>
      <c r="E2615" s="15"/>
    </row>
    <row r="2616" spans="2:5" x14ac:dyDescent="0.2">
      <c r="B2616" s="15"/>
      <c r="C2616" s="15"/>
      <c r="D2616" s="15"/>
      <c r="E2616" s="15"/>
    </row>
    <row r="2617" spans="2:5" x14ac:dyDescent="0.2">
      <c r="B2617" s="15"/>
      <c r="C2617" s="15"/>
      <c r="D2617" s="15"/>
      <c r="E2617" s="15"/>
    </row>
    <row r="2618" spans="2:5" x14ac:dyDescent="0.2">
      <c r="B2618" s="15"/>
      <c r="C2618" s="15"/>
      <c r="D2618" s="15"/>
      <c r="E2618" s="15"/>
    </row>
    <row r="2619" spans="2:5" x14ac:dyDescent="0.2">
      <c r="B2619" s="15"/>
      <c r="C2619" s="15"/>
      <c r="D2619" s="15"/>
      <c r="E2619" s="15"/>
    </row>
    <row r="2620" spans="2:5" x14ac:dyDescent="0.2">
      <c r="B2620" s="15"/>
      <c r="C2620" s="15"/>
      <c r="D2620" s="15"/>
      <c r="E2620" s="15"/>
    </row>
    <row r="2621" spans="2:5" x14ac:dyDescent="0.2">
      <c r="B2621" s="15"/>
      <c r="C2621" s="15"/>
      <c r="D2621" s="15"/>
      <c r="E2621" s="15"/>
    </row>
    <row r="2622" spans="2:5" x14ac:dyDescent="0.2">
      <c r="B2622" s="15"/>
      <c r="C2622" s="15"/>
      <c r="D2622" s="15"/>
      <c r="E2622" s="15"/>
    </row>
    <row r="2623" spans="2:5" x14ac:dyDescent="0.2">
      <c r="B2623" s="15"/>
      <c r="C2623" s="15"/>
      <c r="D2623" s="15"/>
      <c r="E2623" s="15"/>
    </row>
    <row r="2624" spans="2:5" x14ac:dyDescent="0.2">
      <c r="B2624" s="15"/>
      <c r="C2624" s="15"/>
      <c r="D2624" s="15"/>
      <c r="E2624" s="15"/>
    </row>
    <row r="2625" spans="2:5" x14ac:dyDescent="0.2">
      <c r="B2625" s="15"/>
      <c r="C2625" s="15"/>
      <c r="D2625" s="15"/>
      <c r="E2625" s="15"/>
    </row>
    <row r="2626" spans="2:5" x14ac:dyDescent="0.2">
      <c r="B2626" s="15"/>
      <c r="C2626" s="15"/>
      <c r="D2626" s="15"/>
      <c r="E2626" s="15"/>
    </row>
    <row r="2627" spans="2:5" x14ac:dyDescent="0.2">
      <c r="B2627" s="15"/>
      <c r="C2627" s="15"/>
      <c r="D2627" s="15"/>
      <c r="E2627" s="15"/>
    </row>
    <row r="2628" spans="2:5" x14ac:dyDescent="0.2">
      <c r="B2628" s="15"/>
      <c r="C2628" s="15"/>
      <c r="D2628" s="15"/>
      <c r="E2628" s="15"/>
    </row>
    <row r="2629" spans="2:5" x14ac:dyDescent="0.2">
      <c r="B2629" s="15"/>
      <c r="C2629" s="15"/>
      <c r="D2629" s="15"/>
      <c r="E2629" s="15"/>
    </row>
    <row r="2630" spans="2:5" x14ac:dyDescent="0.2">
      <c r="B2630" s="15"/>
      <c r="C2630" s="15"/>
      <c r="D2630" s="15"/>
      <c r="E2630" s="15"/>
    </row>
    <row r="2631" spans="2:5" x14ac:dyDescent="0.2">
      <c r="B2631" s="15"/>
      <c r="C2631" s="15"/>
      <c r="D2631" s="15"/>
      <c r="E2631" s="15"/>
    </row>
    <row r="2632" spans="2:5" x14ac:dyDescent="0.2">
      <c r="B2632" s="15"/>
      <c r="C2632" s="15"/>
      <c r="D2632" s="15"/>
      <c r="E2632" s="15"/>
    </row>
    <row r="2633" spans="2:5" x14ac:dyDescent="0.2">
      <c r="B2633" s="15"/>
      <c r="C2633" s="15"/>
      <c r="D2633" s="15"/>
      <c r="E2633" s="15"/>
    </row>
    <row r="2634" spans="2:5" x14ac:dyDescent="0.2">
      <c r="B2634" s="15"/>
      <c r="C2634" s="15"/>
      <c r="D2634" s="15"/>
      <c r="E2634" s="15"/>
    </row>
    <row r="2635" spans="2:5" x14ac:dyDescent="0.2">
      <c r="B2635" s="15"/>
      <c r="C2635" s="15"/>
      <c r="D2635" s="15"/>
      <c r="E2635" s="15"/>
    </row>
    <row r="2636" spans="2:5" x14ac:dyDescent="0.2">
      <c r="B2636" s="15"/>
      <c r="C2636" s="15"/>
      <c r="D2636" s="15"/>
      <c r="E2636" s="15"/>
    </row>
    <row r="2637" spans="2:5" x14ac:dyDescent="0.2">
      <c r="B2637" s="15"/>
      <c r="C2637" s="15"/>
      <c r="D2637" s="15"/>
      <c r="E2637" s="15"/>
    </row>
    <row r="2638" spans="2:5" x14ac:dyDescent="0.2">
      <c r="B2638" s="15"/>
      <c r="C2638" s="15"/>
      <c r="D2638" s="15"/>
      <c r="E2638" s="15"/>
    </row>
    <row r="2639" spans="2:5" x14ac:dyDescent="0.2">
      <c r="B2639" s="15"/>
      <c r="C2639" s="15"/>
      <c r="D2639" s="15"/>
      <c r="E2639" s="15"/>
    </row>
    <row r="2640" spans="2:5" x14ac:dyDescent="0.2">
      <c r="B2640" s="15"/>
      <c r="C2640" s="15"/>
      <c r="D2640" s="15"/>
      <c r="E2640" s="15"/>
    </row>
    <row r="2641" spans="2:5" x14ac:dyDescent="0.2">
      <c r="B2641" s="15"/>
      <c r="C2641" s="15"/>
      <c r="D2641" s="15"/>
      <c r="E2641" s="15"/>
    </row>
    <row r="2642" spans="2:5" x14ac:dyDescent="0.2">
      <c r="B2642" s="15"/>
      <c r="C2642" s="15"/>
      <c r="D2642" s="15"/>
      <c r="E2642" s="15"/>
    </row>
    <row r="2643" spans="2:5" x14ac:dyDescent="0.2">
      <c r="B2643" s="15"/>
      <c r="C2643" s="15"/>
      <c r="D2643" s="15"/>
      <c r="E2643" s="15"/>
    </row>
    <row r="2644" spans="2:5" x14ac:dyDescent="0.2">
      <c r="B2644" s="15"/>
      <c r="C2644" s="15"/>
      <c r="D2644" s="15"/>
      <c r="E2644" s="15"/>
    </row>
    <row r="2645" spans="2:5" x14ac:dyDescent="0.2">
      <c r="B2645" s="15"/>
      <c r="C2645" s="15"/>
      <c r="D2645" s="15"/>
      <c r="E2645" s="15"/>
    </row>
    <row r="2646" spans="2:5" x14ac:dyDescent="0.2">
      <c r="B2646" s="15"/>
      <c r="C2646" s="15"/>
      <c r="D2646" s="15"/>
      <c r="E2646" s="15"/>
    </row>
    <row r="2647" spans="2:5" x14ac:dyDescent="0.2">
      <c r="B2647" s="15"/>
      <c r="C2647" s="15"/>
      <c r="D2647" s="15"/>
      <c r="E2647" s="15"/>
    </row>
    <row r="2648" spans="2:5" x14ac:dyDescent="0.2">
      <c r="B2648" s="15"/>
      <c r="C2648" s="15"/>
      <c r="D2648" s="15"/>
      <c r="E2648" s="15"/>
    </row>
    <row r="2649" spans="2:5" x14ac:dyDescent="0.2">
      <c r="B2649" s="15"/>
      <c r="C2649" s="15"/>
      <c r="D2649" s="15"/>
      <c r="E2649" s="15"/>
    </row>
    <row r="2650" spans="2:5" x14ac:dyDescent="0.2">
      <c r="B2650" s="15"/>
      <c r="C2650" s="15"/>
      <c r="D2650" s="15"/>
      <c r="E2650" s="15"/>
    </row>
    <row r="2651" spans="2:5" x14ac:dyDescent="0.2">
      <c r="B2651" s="15"/>
      <c r="C2651" s="15"/>
      <c r="D2651" s="15"/>
      <c r="E2651" s="15"/>
    </row>
    <row r="2652" spans="2:5" x14ac:dyDescent="0.2">
      <c r="B2652" s="15"/>
      <c r="C2652" s="15"/>
      <c r="D2652" s="15"/>
      <c r="E2652" s="15"/>
    </row>
    <row r="2653" spans="2:5" x14ac:dyDescent="0.2">
      <c r="B2653" s="15"/>
      <c r="C2653" s="15"/>
      <c r="D2653" s="15"/>
      <c r="E2653" s="15"/>
    </row>
    <row r="2654" spans="2:5" x14ac:dyDescent="0.2">
      <c r="B2654" s="15"/>
      <c r="C2654" s="15"/>
      <c r="D2654" s="15"/>
      <c r="E2654" s="15"/>
    </row>
    <row r="2655" spans="2:5" x14ac:dyDescent="0.2">
      <c r="B2655" s="15"/>
      <c r="C2655" s="15"/>
      <c r="D2655" s="15"/>
      <c r="E2655" s="15"/>
    </row>
    <row r="2656" spans="2:5" x14ac:dyDescent="0.2">
      <c r="B2656" s="15"/>
      <c r="C2656" s="15"/>
      <c r="D2656" s="15"/>
      <c r="E2656" s="15"/>
    </row>
    <row r="2657" spans="2:5" x14ac:dyDescent="0.2">
      <c r="B2657" s="15"/>
      <c r="C2657" s="15"/>
      <c r="D2657" s="15"/>
      <c r="E2657" s="15"/>
    </row>
    <row r="2658" spans="2:5" x14ac:dyDescent="0.2">
      <c r="B2658" s="15"/>
      <c r="C2658" s="15"/>
      <c r="D2658" s="15"/>
      <c r="E2658" s="15"/>
    </row>
    <row r="2659" spans="2:5" x14ac:dyDescent="0.2">
      <c r="B2659" s="15"/>
      <c r="C2659" s="15"/>
      <c r="D2659" s="15"/>
      <c r="E2659" s="15"/>
    </row>
    <row r="2660" spans="2:5" x14ac:dyDescent="0.2">
      <c r="B2660" s="15"/>
      <c r="C2660" s="15"/>
      <c r="D2660" s="15"/>
      <c r="E2660" s="15"/>
    </row>
    <row r="2661" spans="2:5" x14ac:dyDescent="0.2">
      <c r="B2661" s="15"/>
      <c r="C2661" s="15"/>
      <c r="D2661" s="15"/>
      <c r="E2661" s="15"/>
    </row>
    <row r="2662" spans="2:5" x14ac:dyDescent="0.2">
      <c r="B2662" s="15"/>
      <c r="C2662" s="15"/>
      <c r="D2662" s="15"/>
      <c r="E2662" s="15"/>
    </row>
    <row r="2663" spans="2:5" x14ac:dyDescent="0.2">
      <c r="B2663" s="15"/>
      <c r="C2663" s="15"/>
      <c r="D2663" s="15"/>
      <c r="E2663" s="15"/>
    </row>
    <row r="2664" spans="2:5" x14ac:dyDescent="0.2">
      <c r="B2664" s="15"/>
      <c r="C2664" s="15"/>
      <c r="D2664" s="15"/>
      <c r="E2664" s="15"/>
    </row>
    <row r="2665" spans="2:5" x14ac:dyDescent="0.2">
      <c r="B2665" s="15"/>
      <c r="C2665" s="15"/>
      <c r="D2665" s="15"/>
      <c r="E2665" s="15"/>
    </row>
    <row r="2666" spans="2:5" x14ac:dyDescent="0.2">
      <c r="B2666" s="15"/>
      <c r="C2666" s="15"/>
      <c r="D2666" s="15"/>
      <c r="E2666" s="15"/>
    </row>
    <row r="2667" spans="2:5" x14ac:dyDescent="0.2">
      <c r="B2667" s="15"/>
      <c r="C2667" s="15"/>
      <c r="D2667" s="15"/>
      <c r="E2667" s="15"/>
    </row>
    <row r="2668" spans="2:5" x14ac:dyDescent="0.2">
      <c r="B2668" s="15"/>
      <c r="C2668" s="15"/>
      <c r="D2668" s="15"/>
      <c r="E2668" s="15"/>
    </row>
    <row r="2669" spans="2:5" x14ac:dyDescent="0.2">
      <c r="B2669" s="15"/>
      <c r="C2669" s="15"/>
      <c r="D2669" s="15"/>
      <c r="E2669" s="15"/>
    </row>
    <row r="2670" spans="2:5" x14ac:dyDescent="0.2">
      <c r="B2670" s="15"/>
      <c r="C2670" s="15"/>
      <c r="D2670" s="15"/>
      <c r="E2670" s="15"/>
    </row>
    <row r="2671" spans="2:5" x14ac:dyDescent="0.2">
      <c r="B2671" s="15"/>
      <c r="C2671" s="15"/>
      <c r="D2671" s="15"/>
      <c r="E2671" s="15"/>
    </row>
    <row r="2672" spans="2:5" x14ac:dyDescent="0.2">
      <c r="B2672" s="15"/>
      <c r="C2672" s="15"/>
      <c r="D2672" s="15"/>
      <c r="E2672" s="15"/>
    </row>
    <row r="2673" spans="2:5" x14ac:dyDescent="0.2">
      <c r="B2673" s="15"/>
      <c r="C2673" s="15"/>
      <c r="D2673" s="15"/>
      <c r="E2673" s="15"/>
    </row>
    <row r="2674" spans="2:5" x14ac:dyDescent="0.2">
      <c r="B2674" s="15"/>
      <c r="C2674" s="15"/>
      <c r="D2674" s="15"/>
      <c r="E2674" s="15"/>
    </row>
    <row r="2675" spans="2:5" x14ac:dyDescent="0.2">
      <c r="B2675" s="15"/>
      <c r="C2675" s="15"/>
      <c r="D2675" s="15"/>
      <c r="E2675" s="15"/>
    </row>
    <row r="2676" spans="2:5" x14ac:dyDescent="0.2">
      <c r="B2676" s="15"/>
      <c r="C2676" s="15"/>
      <c r="D2676" s="15"/>
      <c r="E2676" s="15"/>
    </row>
    <row r="2677" spans="2:5" x14ac:dyDescent="0.2">
      <c r="B2677" s="15"/>
      <c r="C2677" s="15"/>
      <c r="D2677" s="15"/>
      <c r="E2677" s="15"/>
    </row>
    <row r="2678" spans="2:5" x14ac:dyDescent="0.2">
      <c r="B2678" s="15"/>
      <c r="C2678" s="15"/>
      <c r="D2678" s="15"/>
      <c r="E2678" s="15"/>
    </row>
    <row r="2679" spans="2:5" x14ac:dyDescent="0.2">
      <c r="B2679" s="15"/>
      <c r="C2679" s="15"/>
      <c r="D2679" s="15"/>
      <c r="E2679" s="15"/>
    </row>
    <row r="2680" spans="2:5" x14ac:dyDescent="0.2">
      <c r="B2680" s="15"/>
      <c r="C2680" s="15"/>
      <c r="D2680" s="15"/>
      <c r="E2680" s="15"/>
    </row>
    <row r="2681" spans="2:5" x14ac:dyDescent="0.2">
      <c r="B2681" s="15"/>
      <c r="C2681" s="15"/>
      <c r="D2681" s="15"/>
      <c r="E2681" s="15"/>
    </row>
    <row r="2682" spans="2:5" x14ac:dyDescent="0.2">
      <c r="B2682" s="15"/>
      <c r="C2682" s="15"/>
      <c r="D2682" s="15"/>
      <c r="E2682" s="15"/>
    </row>
    <row r="2683" spans="2:5" x14ac:dyDescent="0.2">
      <c r="B2683" s="15"/>
      <c r="C2683" s="15"/>
      <c r="D2683" s="15"/>
      <c r="E2683" s="15"/>
    </row>
    <row r="2684" spans="2:5" x14ac:dyDescent="0.2">
      <c r="B2684" s="15"/>
      <c r="C2684" s="15"/>
      <c r="D2684" s="15"/>
      <c r="E2684" s="15"/>
    </row>
    <row r="2685" spans="2:5" x14ac:dyDescent="0.2">
      <c r="B2685" s="15"/>
      <c r="C2685" s="15"/>
      <c r="D2685" s="15"/>
      <c r="E2685" s="15"/>
    </row>
    <row r="2686" spans="2:5" x14ac:dyDescent="0.2">
      <c r="B2686" s="15"/>
      <c r="C2686" s="15"/>
      <c r="D2686" s="15"/>
      <c r="E2686" s="15"/>
    </row>
    <row r="2687" spans="2:5" x14ac:dyDescent="0.2">
      <c r="B2687" s="15"/>
      <c r="C2687" s="15"/>
      <c r="D2687" s="15"/>
      <c r="E2687" s="15"/>
    </row>
    <row r="2688" spans="2:5" x14ac:dyDescent="0.2">
      <c r="B2688" s="15"/>
      <c r="C2688" s="15"/>
      <c r="D2688" s="15"/>
      <c r="E2688" s="15"/>
    </row>
    <row r="2689" spans="2:5" x14ac:dyDescent="0.2">
      <c r="B2689" s="15"/>
      <c r="C2689" s="15"/>
      <c r="D2689" s="15"/>
      <c r="E2689" s="15"/>
    </row>
    <row r="2690" spans="2:5" x14ac:dyDescent="0.2">
      <c r="B2690" s="15"/>
      <c r="C2690" s="15"/>
      <c r="D2690" s="15"/>
      <c r="E2690" s="15"/>
    </row>
    <row r="2691" spans="2:5" x14ac:dyDescent="0.2">
      <c r="B2691" s="15"/>
      <c r="C2691" s="15"/>
      <c r="D2691" s="15"/>
      <c r="E2691" s="15"/>
    </row>
    <row r="2692" spans="2:5" x14ac:dyDescent="0.2">
      <c r="B2692" s="15"/>
      <c r="C2692" s="15"/>
      <c r="D2692" s="15"/>
      <c r="E2692" s="15"/>
    </row>
    <row r="2693" spans="2:5" x14ac:dyDescent="0.2">
      <c r="B2693" s="15"/>
      <c r="C2693" s="15"/>
      <c r="D2693" s="15"/>
      <c r="E2693" s="15"/>
    </row>
    <row r="2694" spans="2:5" x14ac:dyDescent="0.2">
      <c r="B2694" s="15"/>
      <c r="C2694" s="15"/>
      <c r="D2694" s="15"/>
      <c r="E2694" s="15"/>
    </row>
    <row r="2695" spans="2:5" x14ac:dyDescent="0.2">
      <c r="B2695" s="15"/>
      <c r="C2695" s="15"/>
      <c r="D2695" s="15"/>
      <c r="E2695" s="15"/>
    </row>
    <row r="2696" spans="2:5" x14ac:dyDescent="0.2">
      <c r="B2696" s="15"/>
      <c r="C2696" s="15"/>
      <c r="D2696" s="15"/>
      <c r="E2696" s="15"/>
    </row>
    <row r="2697" spans="2:5" x14ac:dyDescent="0.2">
      <c r="B2697" s="15"/>
      <c r="C2697" s="15"/>
      <c r="D2697" s="15"/>
      <c r="E2697" s="15"/>
    </row>
    <row r="2698" spans="2:5" x14ac:dyDescent="0.2">
      <c r="B2698" s="15"/>
      <c r="C2698" s="15"/>
      <c r="D2698" s="15"/>
      <c r="E2698" s="15"/>
    </row>
    <row r="2699" spans="2:5" x14ac:dyDescent="0.2">
      <c r="B2699" s="15"/>
      <c r="C2699" s="15"/>
      <c r="D2699" s="15"/>
      <c r="E2699" s="15"/>
    </row>
    <row r="2700" spans="2:5" x14ac:dyDescent="0.2">
      <c r="B2700" s="15"/>
      <c r="C2700" s="15"/>
      <c r="D2700" s="15"/>
      <c r="E2700" s="15"/>
    </row>
    <row r="2701" spans="2:5" x14ac:dyDescent="0.2">
      <c r="B2701" s="15"/>
      <c r="C2701" s="15"/>
      <c r="D2701" s="15"/>
      <c r="E2701" s="15"/>
    </row>
    <row r="2702" spans="2:5" x14ac:dyDescent="0.2">
      <c r="B2702" s="15"/>
      <c r="C2702" s="15"/>
      <c r="D2702" s="15"/>
      <c r="E2702" s="15"/>
    </row>
    <row r="2703" spans="2:5" x14ac:dyDescent="0.2">
      <c r="B2703" s="15"/>
      <c r="C2703" s="15"/>
      <c r="D2703" s="15"/>
      <c r="E2703" s="15"/>
    </row>
    <row r="2704" spans="2:5" x14ac:dyDescent="0.2">
      <c r="B2704" s="15"/>
      <c r="C2704" s="15"/>
      <c r="D2704" s="15"/>
      <c r="E2704" s="15"/>
    </row>
    <row r="2705" spans="2:5" x14ac:dyDescent="0.2">
      <c r="B2705" s="15"/>
      <c r="C2705" s="15"/>
      <c r="D2705" s="15"/>
      <c r="E2705" s="15"/>
    </row>
    <row r="2706" spans="2:5" x14ac:dyDescent="0.2">
      <c r="B2706" s="15"/>
      <c r="C2706" s="15"/>
      <c r="D2706" s="15"/>
      <c r="E2706" s="15"/>
    </row>
    <row r="2707" spans="2:5" x14ac:dyDescent="0.2">
      <c r="B2707" s="15"/>
      <c r="C2707" s="15"/>
      <c r="D2707" s="15"/>
      <c r="E2707" s="15"/>
    </row>
    <row r="2708" spans="2:5" x14ac:dyDescent="0.2">
      <c r="B2708" s="15"/>
      <c r="C2708" s="15"/>
      <c r="D2708" s="15"/>
      <c r="E2708" s="15"/>
    </row>
    <row r="2709" spans="2:5" x14ac:dyDescent="0.2">
      <c r="B2709" s="15"/>
      <c r="C2709" s="15"/>
      <c r="D2709" s="15"/>
      <c r="E2709" s="15"/>
    </row>
    <row r="2710" spans="2:5" x14ac:dyDescent="0.2">
      <c r="B2710" s="15"/>
      <c r="C2710" s="15"/>
      <c r="D2710" s="15"/>
      <c r="E2710" s="15"/>
    </row>
    <row r="2711" spans="2:5" x14ac:dyDescent="0.2">
      <c r="B2711" s="15"/>
      <c r="C2711" s="15"/>
      <c r="D2711" s="15"/>
      <c r="E2711" s="15"/>
    </row>
    <row r="2712" spans="2:5" x14ac:dyDescent="0.2">
      <c r="B2712" s="15"/>
      <c r="C2712" s="15"/>
      <c r="D2712" s="15"/>
      <c r="E2712" s="15"/>
    </row>
    <row r="2713" spans="2:5" x14ac:dyDescent="0.2">
      <c r="B2713" s="15"/>
      <c r="C2713" s="15"/>
      <c r="D2713" s="15"/>
      <c r="E2713" s="15"/>
    </row>
    <row r="2714" spans="2:5" x14ac:dyDescent="0.2">
      <c r="B2714" s="15"/>
      <c r="C2714" s="15"/>
      <c r="D2714" s="15"/>
      <c r="E2714" s="15"/>
    </row>
    <row r="2715" spans="2:5" x14ac:dyDescent="0.2">
      <c r="B2715" s="15"/>
      <c r="C2715" s="15"/>
      <c r="D2715" s="15"/>
      <c r="E2715" s="15"/>
    </row>
    <row r="2716" spans="2:5" x14ac:dyDescent="0.2">
      <c r="B2716" s="15"/>
      <c r="C2716" s="15"/>
      <c r="D2716" s="15"/>
      <c r="E2716" s="15"/>
    </row>
    <row r="2717" spans="2:5" x14ac:dyDescent="0.2">
      <c r="B2717" s="15"/>
      <c r="C2717" s="15"/>
      <c r="D2717" s="15"/>
      <c r="E2717" s="15"/>
    </row>
    <row r="2718" spans="2:5" x14ac:dyDescent="0.2">
      <c r="B2718" s="15"/>
      <c r="C2718" s="15"/>
      <c r="D2718" s="15"/>
      <c r="E2718" s="15"/>
    </row>
    <row r="2719" spans="2:5" x14ac:dyDescent="0.2">
      <c r="B2719" s="15"/>
      <c r="C2719" s="15"/>
      <c r="D2719" s="15"/>
      <c r="E2719" s="15"/>
    </row>
    <row r="2720" spans="2:5" x14ac:dyDescent="0.2">
      <c r="B2720" s="15"/>
      <c r="C2720" s="15"/>
      <c r="D2720" s="15"/>
      <c r="E2720" s="15"/>
    </row>
    <row r="2721" spans="2:5" x14ac:dyDescent="0.2">
      <c r="B2721" s="15"/>
      <c r="C2721" s="15"/>
      <c r="D2721" s="15"/>
      <c r="E2721" s="15"/>
    </row>
    <row r="2722" spans="2:5" x14ac:dyDescent="0.2">
      <c r="B2722" s="15"/>
      <c r="C2722" s="15"/>
      <c r="D2722" s="15"/>
      <c r="E2722" s="15"/>
    </row>
    <row r="2723" spans="2:5" x14ac:dyDescent="0.2">
      <c r="B2723" s="15"/>
      <c r="C2723" s="15"/>
      <c r="D2723" s="15"/>
      <c r="E2723" s="15"/>
    </row>
    <row r="2724" spans="2:5" x14ac:dyDescent="0.2">
      <c r="B2724" s="15"/>
      <c r="C2724" s="15"/>
      <c r="D2724" s="15"/>
      <c r="E2724" s="15"/>
    </row>
    <row r="2725" spans="2:5" x14ac:dyDescent="0.2">
      <c r="B2725" s="15"/>
      <c r="C2725" s="15"/>
      <c r="D2725" s="15"/>
      <c r="E2725" s="15"/>
    </row>
    <row r="2726" spans="2:5" x14ac:dyDescent="0.2">
      <c r="B2726" s="15"/>
      <c r="C2726" s="15"/>
      <c r="D2726" s="15"/>
      <c r="E2726" s="15"/>
    </row>
    <row r="2727" spans="2:5" x14ac:dyDescent="0.2">
      <c r="B2727" s="15"/>
      <c r="C2727" s="15"/>
      <c r="D2727" s="15"/>
      <c r="E2727" s="15"/>
    </row>
    <row r="2728" spans="2:5" x14ac:dyDescent="0.2">
      <c r="B2728" s="15"/>
      <c r="C2728" s="15"/>
      <c r="D2728" s="15"/>
      <c r="E2728" s="15"/>
    </row>
    <row r="2729" spans="2:5" x14ac:dyDescent="0.2">
      <c r="B2729" s="15"/>
      <c r="C2729" s="15"/>
      <c r="D2729" s="15"/>
      <c r="E2729" s="15"/>
    </row>
    <row r="2730" spans="2:5" x14ac:dyDescent="0.2">
      <c r="B2730" s="15"/>
      <c r="C2730" s="15"/>
      <c r="D2730" s="15"/>
      <c r="E2730" s="15"/>
    </row>
    <row r="2731" spans="2:5" x14ac:dyDescent="0.2">
      <c r="B2731" s="15"/>
      <c r="C2731" s="15"/>
      <c r="D2731" s="15"/>
      <c r="E2731" s="15"/>
    </row>
    <row r="2732" spans="2:5" x14ac:dyDescent="0.2">
      <c r="B2732" s="15"/>
      <c r="C2732" s="15"/>
      <c r="D2732" s="15"/>
      <c r="E2732" s="15"/>
    </row>
    <row r="2733" spans="2:5" x14ac:dyDescent="0.2">
      <c r="B2733" s="15"/>
      <c r="C2733" s="15"/>
      <c r="D2733" s="15"/>
      <c r="E2733" s="15"/>
    </row>
    <row r="2734" spans="2:5" x14ac:dyDescent="0.2">
      <c r="B2734" s="15"/>
      <c r="C2734" s="15"/>
      <c r="D2734" s="15"/>
      <c r="E2734" s="15"/>
    </row>
    <row r="2735" spans="2:5" x14ac:dyDescent="0.2">
      <c r="B2735" s="15"/>
      <c r="C2735" s="15"/>
      <c r="D2735" s="15"/>
      <c r="E2735" s="15"/>
    </row>
    <row r="2736" spans="2:5" x14ac:dyDescent="0.2">
      <c r="B2736" s="15"/>
      <c r="C2736" s="15"/>
      <c r="D2736" s="15"/>
      <c r="E2736" s="15"/>
    </row>
    <row r="2737" spans="2:5" x14ac:dyDescent="0.2">
      <c r="B2737" s="15"/>
      <c r="C2737" s="15"/>
      <c r="D2737" s="15"/>
      <c r="E2737" s="15"/>
    </row>
    <row r="2738" spans="2:5" x14ac:dyDescent="0.2">
      <c r="B2738" s="15"/>
      <c r="C2738" s="15"/>
      <c r="D2738" s="15"/>
      <c r="E2738" s="15"/>
    </row>
    <row r="2739" spans="2:5" x14ac:dyDescent="0.2">
      <c r="B2739" s="15"/>
      <c r="C2739" s="15"/>
      <c r="D2739" s="15"/>
      <c r="E2739" s="15"/>
    </row>
    <row r="2740" spans="2:5" x14ac:dyDescent="0.2">
      <c r="B2740" s="15"/>
      <c r="C2740" s="15"/>
      <c r="D2740" s="15"/>
      <c r="E2740" s="15"/>
    </row>
    <row r="2741" spans="2:5" x14ac:dyDescent="0.2">
      <c r="B2741" s="15"/>
      <c r="C2741" s="15"/>
      <c r="D2741" s="15"/>
      <c r="E2741" s="15"/>
    </row>
    <row r="2742" spans="2:5" x14ac:dyDescent="0.2">
      <c r="B2742" s="15"/>
      <c r="C2742" s="15"/>
      <c r="D2742" s="15"/>
      <c r="E2742" s="15"/>
    </row>
    <row r="2743" spans="2:5" x14ac:dyDescent="0.2">
      <c r="B2743" s="15"/>
      <c r="C2743" s="15"/>
      <c r="D2743" s="15"/>
      <c r="E2743" s="15"/>
    </row>
    <row r="2744" spans="2:5" x14ac:dyDescent="0.2">
      <c r="B2744" s="15"/>
      <c r="C2744" s="15"/>
      <c r="D2744" s="15"/>
      <c r="E2744" s="15"/>
    </row>
    <row r="2745" spans="2:5" x14ac:dyDescent="0.2">
      <c r="B2745" s="15"/>
      <c r="C2745" s="15"/>
      <c r="D2745" s="15"/>
      <c r="E2745" s="15"/>
    </row>
    <row r="2746" spans="2:5" x14ac:dyDescent="0.2">
      <c r="B2746" s="15"/>
      <c r="C2746" s="15"/>
      <c r="D2746" s="15"/>
      <c r="E2746" s="15"/>
    </row>
    <row r="2747" spans="2:5" x14ac:dyDescent="0.2">
      <c r="B2747" s="15"/>
      <c r="C2747" s="15"/>
      <c r="D2747" s="15"/>
      <c r="E2747" s="15"/>
    </row>
    <row r="2748" spans="2:5" x14ac:dyDescent="0.2">
      <c r="B2748" s="15"/>
      <c r="C2748" s="15"/>
      <c r="D2748" s="15"/>
      <c r="E2748" s="15"/>
    </row>
    <row r="2749" spans="2:5" x14ac:dyDescent="0.2">
      <c r="B2749" s="15"/>
      <c r="C2749" s="15"/>
      <c r="D2749" s="15"/>
      <c r="E2749" s="15"/>
    </row>
    <row r="2750" spans="2:5" x14ac:dyDescent="0.2">
      <c r="B2750" s="15"/>
      <c r="C2750" s="15"/>
      <c r="D2750" s="15"/>
      <c r="E2750" s="15"/>
    </row>
    <row r="2751" spans="2:5" x14ac:dyDescent="0.2">
      <c r="B2751" s="15"/>
      <c r="C2751" s="15"/>
      <c r="D2751" s="15"/>
      <c r="E2751" s="15"/>
    </row>
    <row r="2752" spans="2:5" x14ac:dyDescent="0.2">
      <c r="B2752" s="15"/>
      <c r="C2752" s="15"/>
      <c r="D2752" s="15"/>
      <c r="E2752" s="15"/>
    </row>
    <row r="2753" spans="2:5" x14ac:dyDescent="0.2">
      <c r="B2753" s="15"/>
      <c r="C2753" s="15"/>
      <c r="D2753" s="15"/>
      <c r="E2753" s="15"/>
    </row>
    <row r="2754" spans="2:5" x14ac:dyDescent="0.2">
      <c r="B2754" s="15"/>
      <c r="C2754" s="15"/>
      <c r="D2754" s="15"/>
      <c r="E2754" s="15"/>
    </row>
    <row r="2755" spans="2:5" x14ac:dyDescent="0.2">
      <c r="B2755" s="15"/>
      <c r="C2755" s="15"/>
      <c r="D2755" s="15"/>
      <c r="E2755" s="15"/>
    </row>
    <row r="2756" spans="2:5" x14ac:dyDescent="0.2">
      <c r="B2756" s="15"/>
      <c r="C2756" s="15"/>
      <c r="D2756" s="15"/>
      <c r="E2756" s="15"/>
    </row>
    <row r="2757" spans="2:5" x14ac:dyDescent="0.2">
      <c r="B2757" s="15"/>
      <c r="C2757" s="15"/>
      <c r="D2757" s="15"/>
      <c r="E2757" s="15"/>
    </row>
    <row r="2758" spans="2:5" x14ac:dyDescent="0.2">
      <c r="B2758" s="15"/>
      <c r="C2758" s="15"/>
      <c r="D2758" s="15"/>
      <c r="E2758" s="15"/>
    </row>
    <row r="2759" spans="2:5" x14ac:dyDescent="0.2">
      <c r="B2759" s="15"/>
      <c r="C2759" s="15"/>
      <c r="D2759" s="15"/>
      <c r="E2759" s="15"/>
    </row>
    <row r="2760" spans="2:5" x14ac:dyDescent="0.2">
      <c r="B2760" s="15"/>
      <c r="C2760" s="15"/>
      <c r="D2760" s="15"/>
      <c r="E2760" s="15"/>
    </row>
    <row r="2761" spans="2:5" x14ac:dyDescent="0.2">
      <c r="B2761" s="15"/>
      <c r="C2761" s="15"/>
      <c r="D2761" s="15"/>
      <c r="E2761" s="15"/>
    </row>
    <row r="2762" spans="2:5" x14ac:dyDescent="0.2">
      <c r="B2762" s="15"/>
      <c r="C2762" s="15"/>
      <c r="D2762" s="15"/>
      <c r="E2762" s="15"/>
    </row>
    <row r="2763" spans="2:5" x14ac:dyDescent="0.2">
      <c r="B2763" s="15"/>
      <c r="C2763" s="15"/>
      <c r="D2763" s="15"/>
      <c r="E2763" s="15"/>
    </row>
    <row r="2764" spans="2:5" x14ac:dyDescent="0.2">
      <c r="B2764" s="15"/>
      <c r="C2764" s="15"/>
      <c r="D2764" s="15"/>
      <c r="E2764" s="15"/>
    </row>
    <row r="2765" spans="2:5" x14ac:dyDescent="0.2">
      <c r="B2765" s="15"/>
      <c r="C2765" s="15"/>
      <c r="D2765" s="15"/>
      <c r="E2765" s="15"/>
    </row>
    <row r="2766" spans="2:5" x14ac:dyDescent="0.2">
      <c r="B2766" s="15"/>
      <c r="C2766" s="15"/>
      <c r="D2766" s="15"/>
      <c r="E2766" s="15"/>
    </row>
    <row r="2767" spans="2:5" x14ac:dyDescent="0.2">
      <c r="B2767" s="15"/>
      <c r="C2767" s="15"/>
      <c r="D2767" s="15"/>
      <c r="E2767" s="15"/>
    </row>
    <row r="2768" spans="2:5" x14ac:dyDescent="0.2">
      <c r="B2768" s="15"/>
      <c r="C2768" s="15"/>
      <c r="D2768" s="15"/>
      <c r="E2768" s="15"/>
    </row>
    <row r="2769" spans="2:5" x14ac:dyDescent="0.2">
      <c r="B2769" s="15"/>
      <c r="C2769" s="15"/>
      <c r="D2769" s="15"/>
      <c r="E2769" s="15"/>
    </row>
    <row r="2770" spans="2:5" x14ac:dyDescent="0.2">
      <c r="B2770" s="15"/>
      <c r="C2770" s="15"/>
      <c r="D2770" s="15"/>
      <c r="E2770" s="15"/>
    </row>
    <row r="2771" spans="2:5" x14ac:dyDescent="0.2">
      <c r="B2771" s="15"/>
      <c r="C2771" s="15"/>
      <c r="D2771" s="15"/>
      <c r="E2771" s="15"/>
    </row>
    <row r="2772" spans="2:5" x14ac:dyDescent="0.2">
      <c r="B2772" s="15"/>
      <c r="C2772" s="15"/>
      <c r="D2772" s="15"/>
      <c r="E2772" s="15"/>
    </row>
    <row r="2773" spans="2:5" x14ac:dyDescent="0.2">
      <c r="B2773" s="15"/>
      <c r="C2773" s="15"/>
      <c r="D2773" s="15"/>
      <c r="E2773" s="15"/>
    </row>
    <row r="2774" spans="2:5" x14ac:dyDescent="0.2">
      <c r="B2774" s="15"/>
      <c r="C2774" s="15"/>
      <c r="D2774" s="15"/>
      <c r="E2774" s="15"/>
    </row>
    <row r="2775" spans="2:5" x14ac:dyDescent="0.2">
      <c r="B2775" s="15"/>
      <c r="C2775" s="15"/>
      <c r="D2775" s="15"/>
      <c r="E2775" s="15"/>
    </row>
    <row r="2776" spans="2:5" x14ac:dyDescent="0.2">
      <c r="B2776" s="15"/>
      <c r="C2776" s="15"/>
      <c r="D2776" s="15"/>
      <c r="E2776" s="15"/>
    </row>
    <row r="2777" spans="2:5" x14ac:dyDescent="0.2">
      <c r="B2777" s="15"/>
      <c r="C2777" s="15"/>
      <c r="D2777" s="15"/>
      <c r="E2777" s="15"/>
    </row>
    <row r="2778" spans="2:5" x14ac:dyDescent="0.2">
      <c r="B2778" s="15"/>
      <c r="C2778" s="15"/>
      <c r="D2778" s="15"/>
      <c r="E2778" s="15"/>
    </row>
    <row r="2779" spans="2:5" x14ac:dyDescent="0.2">
      <c r="B2779" s="15"/>
      <c r="C2779" s="15"/>
      <c r="D2779" s="15"/>
      <c r="E2779" s="15"/>
    </row>
    <row r="2780" spans="2:5" x14ac:dyDescent="0.2">
      <c r="B2780" s="15"/>
      <c r="C2780" s="15"/>
      <c r="D2780" s="15"/>
      <c r="E2780" s="15"/>
    </row>
    <row r="2781" spans="2:5" x14ac:dyDescent="0.2">
      <c r="B2781" s="15"/>
      <c r="C2781" s="15"/>
      <c r="D2781" s="15"/>
      <c r="E2781" s="15"/>
    </row>
    <row r="2782" spans="2:5" x14ac:dyDescent="0.2">
      <c r="B2782" s="15"/>
      <c r="C2782" s="15"/>
      <c r="D2782" s="15"/>
      <c r="E2782" s="15"/>
    </row>
    <row r="2783" spans="2:5" x14ac:dyDescent="0.2">
      <c r="B2783" s="15"/>
      <c r="C2783" s="15"/>
      <c r="D2783" s="15"/>
      <c r="E2783" s="15"/>
    </row>
    <row r="2784" spans="2:5" x14ac:dyDescent="0.2">
      <c r="B2784" s="15"/>
      <c r="C2784" s="15"/>
      <c r="D2784" s="15"/>
      <c r="E2784" s="15"/>
    </row>
    <row r="2785" spans="2:5" x14ac:dyDescent="0.2">
      <c r="B2785" s="15"/>
      <c r="C2785" s="15"/>
      <c r="D2785" s="15"/>
      <c r="E2785" s="15"/>
    </row>
    <row r="2786" spans="2:5" x14ac:dyDescent="0.2">
      <c r="B2786" s="15"/>
      <c r="C2786" s="15"/>
      <c r="D2786" s="15"/>
      <c r="E2786" s="15"/>
    </row>
    <row r="2787" spans="2:5" x14ac:dyDescent="0.2">
      <c r="B2787" s="15"/>
      <c r="C2787" s="15"/>
      <c r="D2787" s="15"/>
      <c r="E2787" s="15"/>
    </row>
    <row r="2788" spans="2:5" x14ac:dyDescent="0.2">
      <c r="B2788" s="15"/>
      <c r="C2788" s="15"/>
      <c r="D2788" s="15"/>
      <c r="E2788" s="15"/>
    </row>
    <row r="2789" spans="2:5" x14ac:dyDescent="0.2">
      <c r="B2789" s="15"/>
      <c r="C2789" s="15"/>
      <c r="D2789" s="15"/>
      <c r="E2789" s="15"/>
    </row>
    <row r="2790" spans="2:5" x14ac:dyDescent="0.2">
      <c r="B2790" s="15"/>
      <c r="C2790" s="15"/>
      <c r="D2790" s="15"/>
      <c r="E2790" s="15"/>
    </row>
    <row r="2791" spans="2:5" x14ac:dyDescent="0.2">
      <c r="B2791" s="15"/>
      <c r="C2791" s="15"/>
      <c r="D2791" s="15"/>
      <c r="E2791" s="15"/>
    </row>
    <row r="2792" spans="2:5" x14ac:dyDescent="0.2">
      <c r="B2792" s="15"/>
      <c r="C2792" s="15"/>
      <c r="D2792" s="15"/>
      <c r="E2792" s="15"/>
    </row>
    <row r="2793" spans="2:5" x14ac:dyDescent="0.2">
      <c r="B2793" s="15"/>
      <c r="C2793" s="15"/>
      <c r="D2793" s="15"/>
      <c r="E2793" s="15"/>
    </row>
    <row r="2794" spans="2:5" x14ac:dyDescent="0.2">
      <c r="B2794" s="15"/>
      <c r="C2794" s="15"/>
      <c r="D2794" s="15"/>
      <c r="E2794" s="15"/>
    </row>
    <row r="2795" spans="2:5" x14ac:dyDescent="0.2">
      <c r="B2795" s="15"/>
      <c r="C2795" s="15"/>
      <c r="D2795" s="15"/>
      <c r="E2795" s="15"/>
    </row>
    <row r="2796" spans="2:5" x14ac:dyDescent="0.2">
      <c r="B2796" s="15"/>
      <c r="C2796" s="15"/>
      <c r="D2796" s="15"/>
      <c r="E2796" s="15"/>
    </row>
    <row r="2797" spans="2:5" x14ac:dyDescent="0.2">
      <c r="B2797" s="15"/>
      <c r="C2797" s="15"/>
      <c r="D2797" s="15"/>
      <c r="E2797" s="15"/>
    </row>
    <row r="2798" spans="2:5" x14ac:dyDescent="0.2">
      <c r="B2798" s="15"/>
      <c r="C2798" s="15"/>
      <c r="D2798" s="15"/>
      <c r="E2798" s="15"/>
    </row>
    <row r="2799" spans="2:5" x14ac:dyDescent="0.2">
      <c r="B2799" s="15"/>
      <c r="C2799" s="15"/>
      <c r="D2799" s="15"/>
      <c r="E2799" s="15"/>
    </row>
    <row r="2800" spans="2:5" x14ac:dyDescent="0.2">
      <c r="B2800" s="15"/>
      <c r="C2800" s="15"/>
      <c r="D2800" s="15"/>
      <c r="E2800" s="15"/>
    </row>
    <row r="2801" spans="2:5" x14ac:dyDescent="0.2">
      <c r="B2801" s="15"/>
      <c r="C2801" s="15"/>
      <c r="D2801" s="15"/>
      <c r="E2801" s="15"/>
    </row>
    <row r="2802" spans="2:5" x14ac:dyDescent="0.2">
      <c r="B2802" s="15"/>
      <c r="C2802" s="15"/>
      <c r="D2802" s="15"/>
      <c r="E2802" s="15"/>
    </row>
    <row r="2803" spans="2:5" x14ac:dyDescent="0.2">
      <c r="B2803" s="15"/>
      <c r="C2803" s="15"/>
      <c r="D2803" s="15"/>
      <c r="E2803" s="15"/>
    </row>
    <row r="2804" spans="2:5" x14ac:dyDescent="0.2">
      <c r="B2804" s="15"/>
      <c r="C2804" s="15"/>
      <c r="D2804" s="15"/>
      <c r="E2804" s="15"/>
    </row>
    <row r="2805" spans="2:5" x14ac:dyDescent="0.2">
      <c r="B2805" s="15"/>
      <c r="C2805" s="15"/>
      <c r="D2805" s="15"/>
      <c r="E2805" s="15"/>
    </row>
    <row r="2806" spans="2:5" x14ac:dyDescent="0.2">
      <c r="B2806" s="15"/>
      <c r="C2806" s="15"/>
      <c r="D2806" s="15"/>
      <c r="E2806" s="15"/>
    </row>
    <row r="2807" spans="2:5" x14ac:dyDescent="0.2">
      <c r="B2807" s="15"/>
      <c r="C2807" s="15"/>
      <c r="D2807" s="15"/>
      <c r="E2807" s="15"/>
    </row>
    <row r="2808" spans="2:5" x14ac:dyDescent="0.2">
      <c r="B2808" s="15"/>
      <c r="C2808" s="15"/>
      <c r="D2808" s="15"/>
      <c r="E2808" s="15"/>
    </row>
    <row r="2809" spans="2:5" x14ac:dyDescent="0.2">
      <c r="B2809" s="15"/>
      <c r="C2809" s="15"/>
      <c r="D2809" s="15"/>
      <c r="E2809" s="15"/>
    </row>
    <row r="2810" spans="2:5" x14ac:dyDescent="0.2">
      <c r="B2810" s="15"/>
      <c r="C2810" s="15"/>
      <c r="D2810" s="15"/>
      <c r="E2810" s="15"/>
    </row>
    <row r="2811" spans="2:5" x14ac:dyDescent="0.2">
      <c r="B2811" s="15"/>
      <c r="C2811" s="15"/>
      <c r="D2811" s="15"/>
      <c r="E2811" s="15"/>
    </row>
    <row r="2812" spans="2:5" x14ac:dyDescent="0.2">
      <c r="B2812" s="15"/>
      <c r="C2812" s="15"/>
      <c r="D2812" s="15"/>
      <c r="E2812" s="15"/>
    </row>
    <row r="2813" spans="2:5" x14ac:dyDescent="0.2">
      <c r="B2813" s="15"/>
      <c r="C2813" s="15"/>
      <c r="D2813" s="15"/>
      <c r="E2813" s="15"/>
    </row>
    <row r="2814" spans="2:5" x14ac:dyDescent="0.2">
      <c r="B2814" s="15"/>
      <c r="C2814" s="15"/>
      <c r="D2814" s="15"/>
      <c r="E2814" s="15"/>
    </row>
    <row r="2815" spans="2:5" x14ac:dyDescent="0.2">
      <c r="B2815" s="15"/>
      <c r="C2815" s="15"/>
      <c r="D2815" s="15"/>
      <c r="E2815" s="15"/>
    </row>
    <row r="2816" spans="2:5" x14ac:dyDescent="0.2">
      <c r="B2816" s="15"/>
      <c r="C2816" s="15"/>
      <c r="D2816" s="15"/>
      <c r="E2816" s="15"/>
    </row>
    <row r="2817" spans="2:5" x14ac:dyDescent="0.2">
      <c r="B2817" s="15"/>
      <c r="C2817" s="15"/>
      <c r="D2817" s="15"/>
      <c r="E2817" s="15"/>
    </row>
    <row r="2818" spans="2:5" x14ac:dyDescent="0.2">
      <c r="B2818" s="15"/>
      <c r="C2818" s="15"/>
      <c r="D2818" s="15"/>
      <c r="E2818" s="15"/>
    </row>
    <row r="2819" spans="2:5" x14ac:dyDescent="0.2">
      <c r="B2819" s="15"/>
      <c r="C2819" s="15"/>
      <c r="D2819" s="15"/>
      <c r="E2819" s="15"/>
    </row>
    <row r="2820" spans="2:5" x14ac:dyDescent="0.2">
      <c r="B2820" s="15"/>
      <c r="C2820" s="15"/>
      <c r="D2820" s="15"/>
      <c r="E2820" s="15"/>
    </row>
    <row r="2821" spans="2:5" x14ac:dyDescent="0.2">
      <c r="B2821" s="15"/>
      <c r="C2821" s="15"/>
      <c r="D2821" s="15"/>
      <c r="E2821" s="15"/>
    </row>
    <row r="2822" spans="2:5" x14ac:dyDescent="0.2">
      <c r="B2822" s="15"/>
      <c r="C2822" s="15"/>
      <c r="D2822" s="15"/>
      <c r="E2822" s="15"/>
    </row>
    <row r="2823" spans="2:5" x14ac:dyDescent="0.2">
      <c r="B2823" s="15"/>
      <c r="C2823" s="15"/>
      <c r="D2823" s="15"/>
      <c r="E2823" s="15"/>
    </row>
    <row r="2824" spans="2:5" x14ac:dyDescent="0.2">
      <c r="B2824" s="15"/>
      <c r="C2824" s="15"/>
      <c r="D2824" s="15"/>
      <c r="E2824" s="15"/>
    </row>
    <row r="2825" spans="2:5" x14ac:dyDescent="0.2">
      <c r="B2825" s="15"/>
      <c r="C2825" s="15"/>
      <c r="D2825" s="15"/>
      <c r="E2825" s="15"/>
    </row>
    <row r="2826" spans="2:5" x14ac:dyDescent="0.2">
      <c r="B2826" s="15"/>
      <c r="C2826" s="15"/>
      <c r="D2826" s="15"/>
      <c r="E2826" s="15"/>
    </row>
    <row r="2827" spans="2:5" x14ac:dyDescent="0.2">
      <c r="B2827" s="15"/>
      <c r="C2827" s="15"/>
      <c r="D2827" s="15"/>
      <c r="E2827" s="15"/>
    </row>
    <row r="2828" spans="2:5" x14ac:dyDescent="0.2">
      <c r="B2828" s="15"/>
      <c r="C2828" s="15"/>
      <c r="D2828" s="15"/>
      <c r="E2828" s="15"/>
    </row>
    <row r="2829" spans="2:5" x14ac:dyDescent="0.2">
      <c r="B2829" s="15"/>
      <c r="C2829" s="15"/>
      <c r="D2829" s="15"/>
      <c r="E2829" s="15"/>
    </row>
    <row r="2830" spans="2:5" x14ac:dyDescent="0.2">
      <c r="B2830" s="15"/>
      <c r="C2830" s="15"/>
      <c r="D2830" s="15"/>
      <c r="E2830" s="15"/>
    </row>
    <row r="2831" spans="2:5" x14ac:dyDescent="0.2">
      <c r="B2831" s="15"/>
      <c r="C2831" s="15"/>
      <c r="D2831" s="15"/>
      <c r="E2831" s="15"/>
    </row>
    <row r="2832" spans="2:5" x14ac:dyDescent="0.2">
      <c r="B2832" s="15"/>
      <c r="C2832" s="15"/>
      <c r="D2832" s="15"/>
      <c r="E2832" s="15"/>
    </row>
    <row r="2833" spans="2:5" x14ac:dyDescent="0.2">
      <c r="B2833" s="15"/>
      <c r="C2833" s="15"/>
      <c r="D2833" s="15"/>
      <c r="E2833" s="15"/>
    </row>
    <row r="2834" spans="2:5" x14ac:dyDescent="0.2">
      <c r="B2834" s="15"/>
      <c r="C2834" s="15"/>
      <c r="D2834" s="15"/>
      <c r="E2834" s="15"/>
    </row>
    <row r="2835" spans="2:5" x14ac:dyDescent="0.2">
      <c r="B2835" s="15"/>
      <c r="C2835" s="15"/>
      <c r="D2835" s="15"/>
      <c r="E2835" s="15"/>
    </row>
    <row r="2836" spans="2:5" x14ac:dyDescent="0.2">
      <c r="B2836" s="15"/>
      <c r="C2836" s="15"/>
      <c r="D2836" s="15"/>
      <c r="E2836" s="15"/>
    </row>
    <row r="2837" spans="2:5" x14ac:dyDescent="0.2">
      <c r="B2837" s="15"/>
      <c r="C2837" s="15"/>
      <c r="D2837" s="15"/>
      <c r="E2837" s="15"/>
    </row>
    <row r="2838" spans="2:5" x14ac:dyDescent="0.2">
      <c r="B2838" s="15"/>
      <c r="C2838" s="15"/>
      <c r="D2838" s="15"/>
      <c r="E2838" s="15"/>
    </row>
    <row r="2839" spans="2:5" x14ac:dyDescent="0.2">
      <c r="B2839" s="15"/>
      <c r="C2839" s="15"/>
      <c r="D2839" s="15"/>
      <c r="E2839" s="15"/>
    </row>
    <row r="2840" spans="2:5" x14ac:dyDescent="0.2">
      <c r="B2840" s="15"/>
      <c r="C2840" s="15"/>
      <c r="D2840" s="15"/>
      <c r="E2840" s="15"/>
    </row>
    <row r="2841" spans="2:5" x14ac:dyDescent="0.2">
      <c r="B2841" s="15"/>
      <c r="C2841" s="15"/>
      <c r="D2841" s="15"/>
      <c r="E2841" s="15"/>
    </row>
    <row r="2842" spans="2:5" x14ac:dyDescent="0.2">
      <c r="B2842" s="15"/>
      <c r="C2842" s="15"/>
      <c r="D2842" s="15"/>
      <c r="E2842" s="15"/>
    </row>
    <row r="2843" spans="2:5" x14ac:dyDescent="0.2">
      <c r="B2843" s="15"/>
      <c r="C2843" s="15"/>
      <c r="D2843" s="15"/>
      <c r="E2843" s="15"/>
    </row>
    <row r="2844" spans="2:5" x14ac:dyDescent="0.2">
      <c r="B2844" s="15"/>
      <c r="C2844" s="15"/>
      <c r="D2844" s="15"/>
      <c r="E2844" s="15"/>
    </row>
    <row r="2845" spans="2:5" x14ac:dyDescent="0.2">
      <c r="B2845" s="15"/>
      <c r="C2845" s="15"/>
      <c r="D2845" s="15"/>
      <c r="E2845" s="15"/>
    </row>
    <row r="2846" spans="2:5" x14ac:dyDescent="0.2">
      <c r="B2846" s="15"/>
      <c r="C2846" s="15"/>
      <c r="D2846" s="15"/>
      <c r="E2846" s="15"/>
    </row>
    <row r="2847" spans="2:5" x14ac:dyDescent="0.2">
      <c r="B2847" s="15"/>
      <c r="C2847" s="15"/>
      <c r="D2847" s="15"/>
      <c r="E2847" s="15"/>
    </row>
    <row r="2848" spans="2:5" x14ac:dyDescent="0.2">
      <c r="B2848" s="15"/>
      <c r="C2848" s="15"/>
      <c r="D2848" s="15"/>
      <c r="E2848" s="15"/>
    </row>
    <row r="2849" spans="2:5" x14ac:dyDescent="0.2">
      <c r="B2849" s="15"/>
      <c r="C2849" s="15"/>
      <c r="D2849" s="15"/>
      <c r="E2849" s="15"/>
    </row>
    <row r="2850" spans="2:5" x14ac:dyDescent="0.2">
      <c r="B2850" s="15"/>
      <c r="C2850" s="15"/>
      <c r="D2850" s="15"/>
      <c r="E2850" s="15"/>
    </row>
    <row r="2851" spans="2:5" x14ac:dyDescent="0.2">
      <c r="B2851" s="15"/>
      <c r="C2851" s="15"/>
      <c r="D2851" s="15"/>
      <c r="E2851" s="15"/>
    </row>
    <row r="2852" spans="2:5" x14ac:dyDescent="0.2">
      <c r="B2852" s="15"/>
      <c r="C2852" s="15"/>
      <c r="D2852" s="15"/>
      <c r="E2852" s="15"/>
    </row>
    <row r="2853" spans="2:5" x14ac:dyDescent="0.2">
      <c r="B2853" s="15"/>
      <c r="C2853" s="15"/>
      <c r="D2853" s="15"/>
      <c r="E2853" s="15"/>
    </row>
    <row r="2854" spans="2:5" x14ac:dyDescent="0.2">
      <c r="B2854" s="15"/>
      <c r="C2854" s="15"/>
      <c r="D2854" s="15"/>
      <c r="E2854" s="15"/>
    </row>
    <row r="2855" spans="2:5" x14ac:dyDescent="0.2">
      <c r="B2855" s="15"/>
      <c r="C2855" s="15"/>
      <c r="D2855" s="15"/>
      <c r="E2855" s="15"/>
    </row>
    <row r="2856" spans="2:5" x14ac:dyDescent="0.2">
      <c r="B2856" s="15"/>
      <c r="C2856" s="15"/>
      <c r="D2856" s="15"/>
      <c r="E2856" s="15"/>
    </row>
    <row r="2857" spans="2:5" x14ac:dyDescent="0.2">
      <c r="B2857" s="15"/>
      <c r="C2857" s="15"/>
      <c r="D2857" s="15"/>
      <c r="E2857" s="15"/>
    </row>
    <row r="2858" spans="2:5" x14ac:dyDescent="0.2">
      <c r="B2858" s="15"/>
      <c r="C2858" s="15"/>
      <c r="D2858" s="15"/>
      <c r="E2858" s="15"/>
    </row>
    <row r="2859" spans="2:5" x14ac:dyDescent="0.2">
      <c r="B2859" s="15"/>
      <c r="C2859" s="15"/>
      <c r="D2859" s="15"/>
      <c r="E2859" s="15"/>
    </row>
    <row r="2860" spans="2:5" x14ac:dyDescent="0.2">
      <c r="B2860" s="15"/>
      <c r="C2860" s="15"/>
      <c r="D2860" s="15"/>
      <c r="E2860" s="15"/>
    </row>
    <row r="2861" spans="2:5" x14ac:dyDescent="0.2">
      <c r="B2861" s="15"/>
      <c r="C2861" s="15"/>
      <c r="D2861" s="15"/>
      <c r="E2861" s="15"/>
    </row>
    <row r="2862" spans="2:5" x14ac:dyDescent="0.2">
      <c r="B2862" s="15"/>
      <c r="C2862" s="15"/>
      <c r="D2862" s="15"/>
      <c r="E2862" s="15"/>
    </row>
    <row r="2863" spans="2:5" x14ac:dyDescent="0.2">
      <c r="B2863" s="15"/>
      <c r="C2863" s="15"/>
      <c r="D2863" s="15"/>
      <c r="E2863" s="15"/>
    </row>
    <row r="2864" spans="2:5" x14ac:dyDescent="0.2">
      <c r="B2864" s="15"/>
      <c r="C2864" s="15"/>
      <c r="D2864" s="15"/>
      <c r="E2864" s="15"/>
    </row>
    <row r="2865" spans="2:5" x14ac:dyDescent="0.2">
      <c r="B2865" s="15"/>
      <c r="C2865" s="15"/>
      <c r="D2865" s="15"/>
      <c r="E2865" s="15"/>
    </row>
    <row r="2866" spans="2:5" x14ac:dyDescent="0.2">
      <c r="B2866" s="15"/>
      <c r="C2866" s="15"/>
      <c r="D2866" s="15"/>
      <c r="E2866" s="15"/>
    </row>
    <row r="2867" spans="2:5" x14ac:dyDescent="0.2">
      <c r="B2867" s="15"/>
      <c r="C2867" s="15"/>
      <c r="D2867" s="15"/>
      <c r="E2867" s="15"/>
    </row>
    <row r="2868" spans="2:5" x14ac:dyDescent="0.2">
      <c r="B2868" s="15"/>
      <c r="C2868" s="15"/>
      <c r="D2868" s="15"/>
      <c r="E2868" s="15"/>
    </row>
    <row r="2869" spans="2:5" x14ac:dyDescent="0.2">
      <c r="B2869" s="15"/>
      <c r="C2869" s="15"/>
      <c r="D2869" s="15"/>
      <c r="E2869" s="15"/>
    </row>
    <row r="2870" spans="2:5" x14ac:dyDescent="0.2">
      <c r="B2870" s="15"/>
      <c r="C2870" s="15"/>
      <c r="D2870" s="15"/>
      <c r="E2870" s="15"/>
    </row>
    <row r="2871" spans="2:5" x14ac:dyDescent="0.2">
      <c r="B2871" s="15"/>
      <c r="C2871" s="15"/>
      <c r="D2871" s="15"/>
      <c r="E2871" s="15"/>
    </row>
    <row r="2872" spans="2:5" x14ac:dyDescent="0.2">
      <c r="B2872" s="15"/>
      <c r="C2872" s="15"/>
      <c r="D2872" s="15"/>
      <c r="E2872" s="15"/>
    </row>
    <row r="2873" spans="2:5" x14ac:dyDescent="0.2">
      <c r="B2873" s="15"/>
      <c r="C2873" s="15"/>
      <c r="D2873" s="15"/>
      <c r="E2873" s="15"/>
    </row>
    <row r="2874" spans="2:5" x14ac:dyDescent="0.2">
      <c r="B2874" s="15"/>
      <c r="C2874" s="15"/>
      <c r="D2874" s="15"/>
      <c r="E2874" s="15"/>
    </row>
    <row r="2875" spans="2:5" x14ac:dyDescent="0.2">
      <c r="B2875" s="15"/>
      <c r="C2875" s="15"/>
      <c r="D2875" s="15"/>
      <c r="E2875" s="15"/>
    </row>
    <row r="2876" spans="2:5" x14ac:dyDescent="0.2">
      <c r="B2876" s="15"/>
      <c r="C2876" s="15"/>
      <c r="D2876" s="15"/>
      <c r="E2876" s="15"/>
    </row>
    <row r="2877" spans="2:5" x14ac:dyDescent="0.2">
      <c r="B2877" s="15"/>
      <c r="C2877" s="15"/>
      <c r="D2877" s="15"/>
      <c r="E2877" s="15"/>
    </row>
    <row r="2878" spans="2:5" x14ac:dyDescent="0.2">
      <c r="B2878" s="15"/>
      <c r="C2878" s="15"/>
      <c r="D2878" s="15"/>
      <c r="E2878" s="15"/>
    </row>
    <row r="2879" spans="2:5" x14ac:dyDescent="0.2">
      <c r="B2879" s="15"/>
      <c r="C2879" s="15"/>
      <c r="D2879" s="15"/>
      <c r="E2879" s="15"/>
    </row>
    <row r="2880" spans="2:5" x14ac:dyDescent="0.2">
      <c r="B2880" s="15"/>
      <c r="C2880" s="15"/>
      <c r="D2880" s="15"/>
      <c r="E2880" s="15"/>
    </row>
    <row r="2881" spans="2:5" x14ac:dyDescent="0.2">
      <c r="B2881" s="15"/>
      <c r="C2881" s="15"/>
      <c r="D2881" s="15"/>
      <c r="E2881" s="15"/>
    </row>
    <row r="2882" spans="2:5" x14ac:dyDescent="0.2">
      <c r="B2882" s="15"/>
      <c r="C2882" s="15"/>
      <c r="D2882" s="15"/>
      <c r="E2882" s="15"/>
    </row>
    <row r="2883" spans="2:5" x14ac:dyDescent="0.2">
      <c r="B2883" s="15"/>
      <c r="C2883" s="15"/>
      <c r="D2883" s="15"/>
      <c r="E2883" s="15"/>
    </row>
    <row r="2884" spans="2:5" x14ac:dyDescent="0.2">
      <c r="B2884" s="15"/>
      <c r="C2884" s="15"/>
      <c r="D2884" s="15"/>
      <c r="E2884" s="15"/>
    </row>
    <row r="2885" spans="2:5" x14ac:dyDescent="0.2">
      <c r="B2885" s="15"/>
      <c r="C2885" s="15"/>
      <c r="D2885" s="15"/>
      <c r="E2885" s="15"/>
    </row>
    <row r="2886" spans="2:5" x14ac:dyDescent="0.2">
      <c r="B2886" s="15"/>
      <c r="C2886" s="15"/>
      <c r="D2886" s="15"/>
      <c r="E2886" s="15"/>
    </row>
    <row r="2887" spans="2:5" x14ac:dyDescent="0.2">
      <c r="B2887" s="15"/>
      <c r="C2887" s="15"/>
      <c r="D2887" s="15"/>
      <c r="E2887" s="15"/>
    </row>
    <row r="2888" spans="2:5" x14ac:dyDescent="0.2">
      <c r="B2888" s="15"/>
      <c r="C2888" s="15"/>
      <c r="D2888" s="15"/>
      <c r="E2888" s="15"/>
    </row>
    <row r="2889" spans="2:5" x14ac:dyDescent="0.2">
      <c r="B2889" s="15"/>
      <c r="C2889" s="15"/>
      <c r="D2889" s="15"/>
      <c r="E2889" s="15"/>
    </row>
    <row r="2890" spans="2:5" x14ac:dyDescent="0.2">
      <c r="B2890" s="15"/>
      <c r="C2890" s="15"/>
      <c r="D2890" s="15"/>
      <c r="E2890" s="15"/>
    </row>
    <row r="2891" spans="2:5" x14ac:dyDescent="0.2">
      <c r="B2891" s="15"/>
      <c r="C2891" s="15"/>
      <c r="D2891" s="15"/>
      <c r="E2891" s="15"/>
    </row>
    <row r="2892" spans="2:5" x14ac:dyDescent="0.2">
      <c r="B2892" s="15"/>
      <c r="C2892" s="15"/>
      <c r="D2892" s="15"/>
      <c r="E2892" s="15"/>
    </row>
    <row r="2893" spans="2:5" x14ac:dyDescent="0.2">
      <c r="B2893" s="15"/>
      <c r="C2893" s="15"/>
      <c r="D2893" s="15"/>
      <c r="E2893" s="15"/>
    </row>
    <row r="2894" spans="2:5" x14ac:dyDescent="0.2">
      <c r="B2894" s="15"/>
      <c r="C2894" s="15"/>
      <c r="D2894" s="15"/>
      <c r="E2894" s="15"/>
    </row>
    <row r="2895" spans="2:5" x14ac:dyDescent="0.2">
      <c r="B2895" s="15"/>
      <c r="C2895" s="15"/>
      <c r="D2895" s="15"/>
      <c r="E2895" s="15"/>
    </row>
    <row r="2896" spans="2:5" x14ac:dyDescent="0.2">
      <c r="B2896" s="15"/>
      <c r="C2896" s="15"/>
      <c r="D2896" s="15"/>
      <c r="E2896" s="15"/>
    </row>
    <row r="2897" spans="2:5" x14ac:dyDescent="0.2">
      <c r="B2897" s="15"/>
      <c r="C2897" s="15"/>
      <c r="D2897" s="15"/>
      <c r="E2897" s="15"/>
    </row>
    <row r="2898" spans="2:5" x14ac:dyDescent="0.2">
      <c r="B2898" s="15"/>
      <c r="C2898" s="15"/>
      <c r="D2898" s="15"/>
      <c r="E2898" s="15"/>
    </row>
    <row r="2899" spans="2:5" x14ac:dyDescent="0.2">
      <c r="B2899" s="15"/>
      <c r="C2899" s="15"/>
      <c r="D2899" s="15"/>
      <c r="E2899" s="15"/>
    </row>
    <row r="2900" spans="2:5" x14ac:dyDescent="0.2">
      <c r="B2900" s="15"/>
      <c r="C2900" s="15"/>
      <c r="D2900" s="15"/>
      <c r="E2900" s="15"/>
    </row>
    <row r="2901" spans="2:5" x14ac:dyDescent="0.2">
      <c r="B2901" s="15"/>
      <c r="C2901" s="15"/>
      <c r="D2901" s="15"/>
      <c r="E2901" s="15"/>
    </row>
    <row r="2902" spans="2:5" x14ac:dyDescent="0.2">
      <c r="B2902" s="15"/>
      <c r="C2902" s="15"/>
      <c r="D2902" s="15"/>
      <c r="E2902" s="15"/>
    </row>
    <row r="2903" spans="2:5" x14ac:dyDescent="0.2">
      <c r="B2903" s="15"/>
      <c r="C2903" s="15"/>
      <c r="D2903" s="15"/>
      <c r="E2903" s="15"/>
    </row>
    <row r="2904" spans="2:5" x14ac:dyDescent="0.2">
      <c r="B2904" s="15"/>
      <c r="C2904" s="15"/>
      <c r="D2904" s="15"/>
      <c r="E2904" s="15"/>
    </row>
    <row r="2905" spans="2:5" x14ac:dyDescent="0.2">
      <c r="B2905" s="15"/>
      <c r="C2905" s="15"/>
      <c r="D2905" s="15"/>
      <c r="E2905" s="15"/>
    </row>
    <row r="2906" spans="2:5" x14ac:dyDescent="0.2">
      <c r="B2906" s="15"/>
      <c r="C2906" s="15"/>
      <c r="D2906" s="15"/>
      <c r="E2906" s="15"/>
    </row>
    <row r="2907" spans="2:5" x14ac:dyDescent="0.2">
      <c r="B2907" s="15"/>
      <c r="C2907" s="15"/>
      <c r="D2907" s="15"/>
      <c r="E2907" s="15"/>
    </row>
    <row r="2908" spans="2:5" x14ac:dyDescent="0.2">
      <c r="B2908" s="15"/>
      <c r="C2908" s="15"/>
      <c r="D2908" s="15"/>
      <c r="E2908" s="15"/>
    </row>
    <row r="2909" spans="2:5" x14ac:dyDescent="0.2">
      <c r="B2909" s="15"/>
      <c r="C2909" s="15"/>
      <c r="D2909" s="15"/>
      <c r="E2909" s="15"/>
    </row>
    <row r="2910" spans="2:5" x14ac:dyDescent="0.2">
      <c r="B2910" s="15"/>
      <c r="C2910" s="15"/>
      <c r="D2910" s="15"/>
      <c r="E2910" s="15"/>
    </row>
    <row r="2911" spans="2:5" x14ac:dyDescent="0.2">
      <c r="B2911" s="15"/>
      <c r="C2911" s="15"/>
      <c r="D2911" s="15"/>
      <c r="E2911" s="15"/>
    </row>
    <row r="2912" spans="2:5" x14ac:dyDescent="0.2">
      <c r="B2912" s="15"/>
      <c r="C2912" s="15"/>
      <c r="D2912" s="15"/>
      <c r="E2912" s="15"/>
    </row>
    <row r="2913" spans="2:5" x14ac:dyDescent="0.2">
      <c r="B2913" s="15"/>
      <c r="C2913" s="15"/>
      <c r="D2913" s="15"/>
      <c r="E2913" s="15"/>
    </row>
    <row r="2914" spans="2:5" x14ac:dyDescent="0.2">
      <c r="B2914" s="15"/>
      <c r="C2914" s="15"/>
      <c r="D2914" s="15"/>
      <c r="E2914" s="15"/>
    </row>
    <row r="2915" spans="2:5" x14ac:dyDescent="0.2">
      <c r="B2915" s="15"/>
      <c r="C2915" s="15"/>
      <c r="D2915" s="15"/>
      <c r="E2915" s="15"/>
    </row>
    <row r="2916" spans="2:5" x14ac:dyDescent="0.2">
      <c r="B2916" s="15"/>
      <c r="C2916" s="15"/>
      <c r="D2916" s="15"/>
      <c r="E2916" s="15"/>
    </row>
    <row r="2917" spans="2:5" x14ac:dyDescent="0.2">
      <c r="B2917" s="15"/>
      <c r="C2917" s="15"/>
      <c r="D2917" s="15"/>
      <c r="E2917" s="15"/>
    </row>
    <row r="2918" spans="2:5" x14ac:dyDescent="0.2">
      <c r="B2918" s="15"/>
      <c r="C2918" s="15"/>
      <c r="D2918" s="15"/>
      <c r="E2918" s="15"/>
    </row>
    <row r="2919" spans="2:5" x14ac:dyDescent="0.2">
      <c r="B2919" s="15"/>
      <c r="C2919" s="15"/>
      <c r="D2919" s="15"/>
      <c r="E2919" s="15"/>
    </row>
    <row r="2920" spans="2:5" x14ac:dyDescent="0.2">
      <c r="B2920" s="15"/>
      <c r="C2920" s="15"/>
      <c r="D2920" s="15"/>
      <c r="E2920" s="15"/>
    </row>
    <row r="2921" spans="2:5" x14ac:dyDescent="0.2">
      <c r="B2921" s="15"/>
      <c r="C2921" s="15"/>
      <c r="D2921" s="15"/>
      <c r="E2921" s="15"/>
    </row>
    <row r="2922" spans="2:5" x14ac:dyDescent="0.2">
      <c r="B2922" s="15"/>
      <c r="C2922" s="15"/>
      <c r="D2922" s="15"/>
      <c r="E2922" s="15"/>
    </row>
    <row r="2923" spans="2:5" x14ac:dyDescent="0.2">
      <c r="B2923" s="15"/>
      <c r="C2923" s="15"/>
      <c r="D2923" s="15"/>
      <c r="E2923" s="15"/>
    </row>
    <row r="2924" spans="2:5" x14ac:dyDescent="0.2">
      <c r="B2924" s="15"/>
      <c r="C2924" s="15"/>
      <c r="D2924" s="15"/>
      <c r="E2924" s="15"/>
    </row>
    <row r="2925" spans="2:5" x14ac:dyDescent="0.2">
      <c r="B2925" s="15"/>
      <c r="C2925" s="15"/>
      <c r="D2925" s="15"/>
      <c r="E2925" s="15"/>
    </row>
    <row r="2926" spans="2:5" x14ac:dyDescent="0.2">
      <c r="B2926" s="15"/>
      <c r="C2926" s="15"/>
      <c r="D2926" s="15"/>
      <c r="E2926" s="15"/>
    </row>
    <row r="2927" spans="2:5" x14ac:dyDescent="0.2">
      <c r="B2927" s="15"/>
      <c r="C2927" s="15"/>
      <c r="D2927" s="15"/>
      <c r="E2927" s="15"/>
    </row>
    <row r="2928" spans="2:5" x14ac:dyDescent="0.2">
      <c r="B2928" s="15"/>
      <c r="C2928" s="15"/>
      <c r="D2928" s="15"/>
      <c r="E2928" s="15"/>
    </row>
    <row r="2929" spans="2:5" x14ac:dyDescent="0.2">
      <c r="B2929" s="15"/>
      <c r="C2929" s="15"/>
      <c r="D2929" s="15"/>
      <c r="E2929" s="15"/>
    </row>
    <row r="2930" spans="2:5" x14ac:dyDescent="0.2">
      <c r="B2930" s="15"/>
      <c r="C2930" s="15"/>
      <c r="D2930" s="15"/>
      <c r="E2930" s="15"/>
    </row>
    <row r="2931" spans="2:5" x14ac:dyDescent="0.2">
      <c r="B2931" s="15"/>
      <c r="C2931" s="15"/>
      <c r="D2931" s="15"/>
      <c r="E2931" s="15"/>
    </row>
    <row r="2932" spans="2:5" x14ac:dyDescent="0.2">
      <c r="B2932" s="15"/>
      <c r="C2932" s="15"/>
      <c r="D2932" s="15"/>
      <c r="E2932" s="15"/>
    </row>
    <row r="2933" spans="2:5" x14ac:dyDescent="0.2">
      <c r="B2933" s="15"/>
      <c r="C2933" s="15"/>
      <c r="D2933" s="15"/>
      <c r="E2933" s="15"/>
    </row>
    <row r="2934" spans="2:5" x14ac:dyDescent="0.2">
      <c r="B2934" s="15"/>
      <c r="C2934" s="15"/>
      <c r="D2934" s="15"/>
      <c r="E2934" s="15"/>
    </row>
    <row r="2935" spans="2:5" x14ac:dyDescent="0.2">
      <c r="B2935" s="15"/>
      <c r="C2935" s="15"/>
      <c r="D2935" s="15"/>
      <c r="E2935" s="15"/>
    </row>
    <row r="2936" spans="2:5" x14ac:dyDescent="0.2">
      <c r="B2936" s="15"/>
      <c r="C2936" s="15"/>
      <c r="D2936" s="15"/>
      <c r="E2936" s="15"/>
    </row>
    <row r="2937" spans="2:5" x14ac:dyDescent="0.2">
      <c r="B2937" s="15"/>
      <c r="C2937" s="15"/>
      <c r="D2937" s="15"/>
      <c r="E2937" s="15"/>
    </row>
    <row r="2938" spans="2:5" x14ac:dyDescent="0.2">
      <c r="B2938" s="15"/>
      <c r="C2938" s="15"/>
      <c r="D2938" s="15"/>
      <c r="E2938" s="15"/>
    </row>
    <row r="2939" spans="2:5" x14ac:dyDescent="0.2">
      <c r="B2939" s="15"/>
      <c r="C2939" s="15"/>
      <c r="D2939" s="15"/>
      <c r="E2939" s="15"/>
    </row>
    <row r="2940" spans="2:5" x14ac:dyDescent="0.2">
      <c r="B2940" s="15"/>
      <c r="C2940" s="15"/>
      <c r="D2940" s="15"/>
      <c r="E2940" s="15"/>
    </row>
    <row r="2941" spans="2:5" x14ac:dyDescent="0.2">
      <c r="B2941" s="15"/>
      <c r="C2941" s="15"/>
      <c r="D2941" s="15"/>
      <c r="E2941" s="15"/>
    </row>
    <row r="2942" spans="2:5" x14ac:dyDescent="0.2">
      <c r="B2942" s="15"/>
      <c r="C2942" s="15"/>
      <c r="D2942" s="15"/>
      <c r="E2942" s="15"/>
    </row>
    <row r="2943" spans="2:5" x14ac:dyDescent="0.2">
      <c r="B2943" s="15"/>
      <c r="C2943" s="15"/>
      <c r="D2943" s="15"/>
      <c r="E2943" s="15"/>
    </row>
    <row r="2944" spans="2:5" x14ac:dyDescent="0.2">
      <c r="B2944" s="15"/>
      <c r="C2944" s="15"/>
      <c r="D2944" s="15"/>
      <c r="E2944" s="15"/>
    </row>
    <row r="2945" spans="2:5" x14ac:dyDescent="0.2">
      <c r="B2945" s="15"/>
      <c r="C2945" s="15"/>
      <c r="D2945" s="15"/>
      <c r="E2945" s="15"/>
    </row>
    <row r="2946" spans="2:5" x14ac:dyDescent="0.2">
      <c r="B2946" s="15"/>
      <c r="C2946" s="15"/>
      <c r="D2946" s="15"/>
      <c r="E2946" s="15"/>
    </row>
    <row r="2947" spans="2:5" x14ac:dyDescent="0.2">
      <c r="B2947" s="15"/>
      <c r="C2947" s="15"/>
      <c r="D2947" s="15"/>
      <c r="E2947" s="15"/>
    </row>
    <row r="2948" spans="2:5" x14ac:dyDescent="0.2">
      <c r="B2948" s="15"/>
      <c r="C2948" s="15"/>
      <c r="D2948" s="15"/>
      <c r="E2948" s="15"/>
    </row>
    <row r="2949" spans="2:5" x14ac:dyDescent="0.2">
      <c r="B2949" s="15"/>
      <c r="C2949" s="15"/>
      <c r="D2949" s="15"/>
      <c r="E2949" s="15"/>
    </row>
    <row r="2950" spans="2:5" x14ac:dyDescent="0.2">
      <c r="B2950" s="15"/>
      <c r="C2950" s="15"/>
      <c r="D2950" s="15"/>
      <c r="E2950" s="15"/>
    </row>
    <row r="2951" spans="2:5" x14ac:dyDescent="0.2">
      <c r="B2951" s="15"/>
      <c r="C2951" s="15"/>
      <c r="D2951" s="15"/>
      <c r="E2951" s="15"/>
    </row>
    <row r="2952" spans="2:5" x14ac:dyDescent="0.2">
      <c r="B2952" s="15"/>
      <c r="C2952" s="15"/>
      <c r="D2952" s="15"/>
      <c r="E2952" s="15"/>
    </row>
    <row r="2953" spans="2:5" x14ac:dyDescent="0.2">
      <c r="B2953" s="15"/>
      <c r="C2953" s="15"/>
      <c r="D2953" s="15"/>
      <c r="E2953" s="15"/>
    </row>
    <row r="2954" spans="2:5" x14ac:dyDescent="0.2">
      <c r="B2954" s="15"/>
      <c r="C2954" s="15"/>
      <c r="D2954" s="15"/>
      <c r="E2954" s="15"/>
    </row>
    <row r="2955" spans="2:5" x14ac:dyDescent="0.2">
      <c r="B2955" s="15"/>
      <c r="C2955" s="15"/>
      <c r="D2955" s="15"/>
      <c r="E2955" s="15"/>
    </row>
    <row r="2956" spans="2:5" x14ac:dyDescent="0.2">
      <c r="B2956" s="15"/>
      <c r="C2956" s="15"/>
      <c r="D2956" s="15"/>
      <c r="E2956" s="15"/>
    </row>
    <row r="2957" spans="2:5" x14ac:dyDescent="0.2">
      <c r="B2957" s="15"/>
      <c r="C2957" s="15"/>
      <c r="D2957" s="15"/>
      <c r="E2957" s="15"/>
    </row>
    <row r="2958" spans="2:5" x14ac:dyDescent="0.2">
      <c r="B2958" s="15"/>
      <c r="C2958" s="15"/>
      <c r="D2958" s="15"/>
      <c r="E2958" s="15"/>
    </row>
    <row r="2959" spans="2:5" x14ac:dyDescent="0.2">
      <c r="B2959" s="15"/>
      <c r="C2959" s="15"/>
      <c r="D2959" s="15"/>
      <c r="E2959" s="15"/>
    </row>
    <row r="2960" spans="2:5" x14ac:dyDescent="0.2">
      <c r="B2960" s="15"/>
      <c r="C2960" s="15"/>
      <c r="D2960" s="15"/>
      <c r="E2960" s="15"/>
    </row>
    <row r="2961" spans="2:5" x14ac:dyDescent="0.2">
      <c r="B2961" s="15"/>
      <c r="C2961" s="15"/>
      <c r="D2961" s="15"/>
      <c r="E2961" s="15"/>
    </row>
    <row r="2962" spans="2:5" x14ac:dyDescent="0.2">
      <c r="B2962" s="15"/>
      <c r="C2962" s="15"/>
      <c r="D2962" s="15"/>
      <c r="E2962" s="15"/>
    </row>
    <row r="2963" spans="2:5" x14ac:dyDescent="0.2">
      <c r="B2963" s="15"/>
      <c r="C2963" s="15"/>
      <c r="D2963" s="15"/>
      <c r="E2963" s="15"/>
    </row>
    <row r="2964" spans="2:5" x14ac:dyDescent="0.2">
      <c r="B2964" s="15"/>
      <c r="C2964" s="15"/>
      <c r="D2964" s="15"/>
      <c r="E2964" s="15"/>
    </row>
    <row r="2965" spans="2:5" x14ac:dyDescent="0.2">
      <c r="B2965" s="15"/>
      <c r="C2965" s="15"/>
      <c r="D2965" s="15"/>
      <c r="E2965" s="15"/>
    </row>
    <row r="2966" spans="2:5" x14ac:dyDescent="0.2">
      <c r="B2966" s="15"/>
      <c r="C2966" s="15"/>
      <c r="D2966" s="15"/>
      <c r="E2966" s="15"/>
    </row>
    <row r="2967" spans="2:5" x14ac:dyDescent="0.2">
      <c r="B2967" s="15"/>
      <c r="C2967" s="15"/>
      <c r="D2967" s="15"/>
      <c r="E2967" s="15"/>
    </row>
    <row r="2968" spans="2:5" x14ac:dyDescent="0.2">
      <c r="B2968" s="15"/>
      <c r="C2968" s="15"/>
      <c r="D2968" s="15"/>
      <c r="E2968" s="15"/>
    </row>
    <row r="2969" spans="2:5" x14ac:dyDescent="0.2">
      <c r="B2969" s="15"/>
      <c r="C2969" s="15"/>
      <c r="D2969" s="15"/>
      <c r="E2969" s="15"/>
    </row>
    <row r="2970" spans="2:5" x14ac:dyDescent="0.2">
      <c r="B2970" s="15"/>
      <c r="C2970" s="15"/>
      <c r="D2970" s="15"/>
      <c r="E2970" s="15"/>
    </row>
    <row r="2971" spans="2:5" x14ac:dyDescent="0.2">
      <c r="B2971" s="15"/>
      <c r="C2971" s="15"/>
      <c r="D2971" s="15"/>
      <c r="E2971" s="15"/>
    </row>
    <row r="2972" spans="2:5" x14ac:dyDescent="0.2">
      <c r="B2972" s="15"/>
      <c r="C2972" s="15"/>
      <c r="D2972" s="15"/>
      <c r="E2972" s="15"/>
    </row>
    <row r="2973" spans="2:5" x14ac:dyDescent="0.2">
      <c r="B2973" s="15"/>
      <c r="C2973" s="15"/>
      <c r="D2973" s="15"/>
      <c r="E2973" s="15"/>
    </row>
    <row r="2974" spans="2:5" x14ac:dyDescent="0.2">
      <c r="B2974" s="15"/>
      <c r="C2974" s="15"/>
      <c r="D2974" s="15"/>
      <c r="E2974" s="15"/>
    </row>
    <row r="2975" spans="2:5" x14ac:dyDescent="0.2">
      <c r="B2975" s="15"/>
      <c r="C2975" s="15"/>
      <c r="D2975" s="15"/>
      <c r="E2975" s="15"/>
    </row>
    <row r="2976" spans="2:5" x14ac:dyDescent="0.2">
      <c r="B2976" s="15"/>
      <c r="C2976" s="15"/>
      <c r="D2976" s="15"/>
      <c r="E2976" s="15"/>
    </row>
    <row r="2977" spans="2:5" x14ac:dyDescent="0.2">
      <c r="B2977" s="15"/>
      <c r="C2977" s="15"/>
      <c r="D2977" s="15"/>
      <c r="E2977" s="15"/>
    </row>
    <row r="2978" spans="2:5" x14ac:dyDescent="0.2">
      <c r="B2978" s="15"/>
      <c r="C2978" s="15"/>
      <c r="D2978" s="15"/>
      <c r="E2978" s="15"/>
    </row>
    <row r="2979" spans="2:5" x14ac:dyDescent="0.2">
      <c r="B2979" s="15"/>
      <c r="C2979" s="15"/>
      <c r="D2979" s="15"/>
      <c r="E2979" s="15"/>
    </row>
    <row r="2980" spans="2:5" x14ac:dyDescent="0.2">
      <c r="B2980" s="15"/>
      <c r="C2980" s="15"/>
      <c r="D2980" s="15"/>
      <c r="E2980" s="15"/>
    </row>
    <row r="2981" spans="2:5" x14ac:dyDescent="0.2">
      <c r="B2981" s="15"/>
      <c r="C2981" s="15"/>
      <c r="D2981" s="15"/>
      <c r="E2981" s="15"/>
    </row>
    <row r="2982" spans="2:5" x14ac:dyDescent="0.2">
      <c r="B2982" s="15"/>
      <c r="C2982" s="15"/>
      <c r="D2982" s="15"/>
      <c r="E2982" s="15"/>
    </row>
    <row r="2983" spans="2:5" x14ac:dyDescent="0.2">
      <c r="B2983" s="15"/>
      <c r="C2983" s="15"/>
      <c r="D2983" s="15"/>
      <c r="E2983" s="15"/>
    </row>
    <row r="2984" spans="2:5" x14ac:dyDescent="0.2">
      <c r="B2984" s="15"/>
      <c r="C2984" s="15"/>
      <c r="D2984" s="15"/>
      <c r="E2984" s="15"/>
    </row>
    <row r="2985" spans="2:5" x14ac:dyDescent="0.2">
      <c r="B2985" s="15"/>
      <c r="C2985" s="15"/>
      <c r="D2985" s="15"/>
      <c r="E2985" s="15"/>
    </row>
    <row r="2986" spans="2:5" x14ac:dyDescent="0.2">
      <c r="B2986" s="15"/>
      <c r="C2986" s="15"/>
      <c r="D2986" s="15"/>
      <c r="E2986" s="15"/>
    </row>
    <row r="2987" spans="2:5" x14ac:dyDescent="0.2">
      <c r="B2987" s="15"/>
      <c r="C2987" s="15"/>
      <c r="D2987" s="15"/>
      <c r="E2987" s="15"/>
    </row>
    <row r="2988" spans="2:5" x14ac:dyDescent="0.2">
      <c r="B2988" s="15"/>
      <c r="C2988" s="15"/>
      <c r="D2988" s="15"/>
      <c r="E2988" s="15"/>
    </row>
    <row r="2989" spans="2:5" x14ac:dyDescent="0.2">
      <c r="B2989" s="15"/>
      <c r="C2989" s="15"/>
      <c r="D2989" s="15"/>
      <c r="E2989" s="15"/>
    </row>
    <row r="2990" spans="2:5" x14ac:dyDescent="0.2">
      <c r="B2990" s="15"/>
      <c r="C2990" s="15"/>
      <c r="D2990" s="15"/>
      <c r="E2990" s="15"/>
    </row>
    <row r="2991" spans="2:5" x14ac:dyDescent="0.2">
      <c r="B2991" s="15"/>
      <c r="C2991" s="15"/>
      <c r="D2991" s="15"/>
      <c r="E2991" s="15"/>
    </row>
    <row r="2992" spans="2:5" x14ac:dyDescent="0.2">
      <c r="B2992" s="15"/>
      <c r="C2992" s="15"/>
      <c r="D2992" s="15"/>
      <c r="E2992" s="15"/>
    </row>
    <row r="2993" spans="2:5" x14ac:dyDescent="0.2">
      <c r="B2993" s="15"/>
      <c r="C2993" s="15"/>
      <c r="D2993" s="15"/>
      <c r="E2993" s="15"/>
    </row>
    <row r="2994" spans="2:5" x14ac:dyDescent="0.2">
      <c r="B2994" s="15"/>
      <c r="C2994" s="15"/>
      <c r="D2994" s="15"/>
      <c r="E2994" s="15"/>
    </row>
    <row r="2995" spans="2:5" x14ac:dyDescent="0.2">
      <c r="B2995" s="15"/>
      <c r="C2995" s="15"/>
      <c r="D2995" s="15"/>
      <c r="E2995" s="15"/>
    </row>
    <row r="2996" spans="2:5" x14ac:dyDescent="0.2">
      <c r="B2996" s="15"/>
      <c r="C2996" s="15"/>
      <c r="D2996" s="15"/>
      <c r="E2996" s="15"/>
    </row>
    <row r="2997" spans="2:5" x14ac:dyDescent="0.2">
      <c r="B2997" s="15"/>
      <c r="C2997" s="15"/>
      <c r="D2997" s="15"/>
      <c r="E2997" s="15"/>
    </row>
    <row r="2998" spans="2:5" x14ac:dyDescent="0.2">
      <c r="B2998" s="15"/>
      <c r="C2998" s="15"/>
      <c r="D2998" s="15"/>
      <c r="E2998" s="15"/>
    </row>
    <row r="2999" spans="2:5" x14ac:dyDescent="0.2">
      <c r="B2999" s="15"/>
      <c r="C2999" s="15"/>
      <c r="D2999" s="15"/>
      <c r="E2999" s="15"/>
    </row>
    <row r="3000" spans="2:5" x14ac:dyDescent="0.2">
      <c r="B3000" s="15"/>
      <c r="C3000" s="15"/>
      <c r="D3000" s="15"/>
      <c r="E3000" s="15"/>
    </row>
  </sheetData>
  <conditionalFormatting sqref="B6:B11">
    <cfRule type="cellIs" dxfId="1" priority="1" stopIfTrue="1" operator="between">
      <formula>1</formula>
      <formula>1E+307</formula>
    </cfRule>
    <cfRule type="cellIs" dxfId="0" priority="2" stopIfTrue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573B7-BDC6-49B3-AB7D-B28EE245F622}">
  <dimension ref="A1:T473"/>
  <sheetViews>
    <sheetView workbookViewId="0"/>
  </sheetViews>
  <sheetFormatPr defaultRowHeight="12.75" x14ac:dyDescent="0.2"/>
  <cols>
    <col min="1" max="1" width="62.7109375" customWidth="1"/>
    <col min="10" max="10" width="3.7109375" customWidth="1"/>
    <col min="18" max="20" width="10.7109375" customWidth="1"/>
  </cols>
  <sheetData>
    <row r="1" spans="1:20" ht="27.95" customHeight="1" x14ac:dyDescent="0.3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">
      <c r="A2" s="4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">
      <c r="R3" s="7" t="s">
        <v>10</v>
      </c>
    </row>
    <row r="4" spans="1:20" x14ac:dyDescent="0.2">
      <c r="A4" s="5" t="s">
        <v>2</v>
      </c>
      <c r="J4" s="5" t="s">
        <v>3</v>
      </c>
      <c r="R4" s="8" t="s">
        <v>11</v>
      </c>
      <c r="S4" s="8" t="s">
        <v>12</v>
      </c>
      <c r="T4" s="8" t="s">
        <v>13</v>
      </c>
    </row>
    <row r="5" spans="1:20" x14ac:dyDescent="0.2">
      <c r="A5" s="6" t="s">
        <v>636</v>
      </c>
      <c r="J5" t="s">
        <v>4</v>
      </c>
      <c r="R5" cm="1">
        <f t="array" ref="R5:T376">_xlfn.LET(_xlpm.src,A1:H2000,_xlpm.a,INDEX(_xlpm.src,,1),_xlpm.line,IF(INDEX(_xlpm.src,,2)="",_xlpm.a,_xlpm.a&amp;","&amp;INDEX(_xlpm.src,,2)&amp;","&amp;INDEX(_xlpm.src,,3)&amp;","&amp;INDEX(_xlpm.src,,4)&amp;","&amp;INDEX(_xlpm.src,,5)&amp;","&amp;INDEX(_xlpm.src,,6)&amp;","&amp;INDEX(_xlpm.src,,7)&amp;","&amp;INDEX(_xlpm.src,,8)),_xlpm.t,","&amp;_xlpm.line&amp;",",_xlpm.lvl,IFERROR(_xlfn.TEXTBEFORE(_xlfn.TEXTAFTER(_xlpm.t,",",4),","),""),_xlpm.num,IFERROR(--_xlfn.TEXTBEFORE(_xlfn.TEXTAFTER(_xlpm.t,",",5),","),""),_xlpm.side,LOWER(IFERROR(_xlfn.TEXTBEFORE(_xlfn.TEXTAFTER(_xlpm.t,",",7),","),"")),_xlpm.tm,IFERROR(--_xlfn.TEXTBEFORE(_xlfn.TEXTAFTER(_xlpm.t,",",8),","),""),_xlpm.keep,ISNUMBER(_xlpm.num)*ISNUMBER(_xlpm.tm)*(_xlpm.lvl="qm")*((_xlpm.side="red")+(_xlpm.side="blue")),IFERROR(_xlfn._xlws.FILTER(_xlfn.HSTACK(_xlpm.num,PROPER(_xlpm.side),_xlpm.tm),_xlpm.keep),_xlfn.HSTACK("","","")))</f>
        <v>1</v>
      </c>
      <c r="S5" t="str">
        <v>Red</v>
      </c>
      <c r="T5">
        <v>2039</v>
      </c>
    </row>
    <row r="6" spans="1:20" x14ac:dyDescent="0.2">
      <c r="A6" t="s">
        <v>637</v>
      </c>
      <c r="J6" t="s">
        <v>5</v>
      </c>
      <c r="R6">
        <v>1</v>
      </c>
      <c r="S6" t="str">
        <v>Red</v>
      </c>
      <c r="T6">
        <v>6237</v>
      </c>
    </row>
    <row r="7" spans="1:20" x14ac:dyDescent="0.2">
      <c r="A7" t="s">
        <v>638</v>
      </c>
      <c r="J7" t="s">
        <v>6</v>
      </c>
      <c r="R7">
        <v>1</v>
      </c>
      <c r="S7" t="str">
        <v>Red</v>
      </c>
      <c r="T7">
        <v>4645</v>
      </c>
    </row>
    <row r="8" spans="1:20" x14ac:dyDescent="0.2">
      <c r="A8" t="s">
        <v>639</v>
      </c>
      <c r="J8" t="s">
        <v>7</v>
      </c>
      <c r="R8">
        <v>1</v>
      </c>
      <c r="S8" t="str">
        <v>Blue</v>
      </c>
      <c r="T8">
        <v>2022</v>
      </c>
    </row>
    <row r="9" spans="1:20" x14ac:dyDescent="0.2">
      <c r="A9" t="s">
        <v>640</v>
      </c>
      <c r="J9" t="s">
        <v>8</v>
      </c>
      <c r="R9">
        <v>1</v>
      </c>
      <c r="S9" t="str">
        <v>Blue</v>
      </c>
      <c r="T9">
        <v>2040</v>
      </c>
    </row>
    <row r="10" spans="1:20" x14ac:dyDescent="0.2">
      <c r="A10" t="s">
        <v>641</v>
      </c>
      <c r="J10" t="s">
        <v>9</v>
      </c>
      <c r="R10">
        <v>1</v>
      </c>
      <c r="S10" t="str">
        <v>Blue</v>
      </c>
      <c r="T10">
        <v>9082</v>
      </c>
    </row>
    <row r="11" spans="1:20" x14ac:dyDescent="0.2">
      <c r="A11" t="s">
        <v>642</v>
      </c>
      <c r="R11">
        <v>2</v>
      </c>
      <c r="S11" t="str">
        <v>Red</v>
      </c>
      <c r="T11">
        <v>3284</v>
      </c>
    </row>
    <row r="12" spans="1:20" x14ac:dyDescent="0.2">
      <c r="A12" t="s">
        <v>643</v>
      </c>
      <c r="R12">
        <v>2</v>
      </c>
      <c r="S12" t="str">
        <v>Red</v>
      </c>
      <c r="T12">
        <v>1756</v>
      </c>
    </row>
    <row r="13" spans="1:20" x14ac:dyDescent="0.2">
      <c r="A13" t="s">
        <v>644</v>
      </c>
      <c r="R13">
        <v>2</v>
      </c>
      <c r="S13" t="str">
        <v>Red</v>
      </c>
      <c r="T13">
        <v>4655</v>
      </c>
    </row>
    <row r="14" spans="1:20" x14ac:dyDescent="0.2">
      <c r="A14" t="s">
        <v>645</v>
      </c>
      <c r="R14">
        <v>2</v>
      </c>
      <c r="S14" t="str">
        <v>Blue</v>
      </c>
      <c r="T14">
        <v>3067</v>
      </c>
    </row>
    <row r="15" spans="1:20" x14ac:dyDescent="0.2">
      <c r="A15" t="s">
        <v>646</v>
      </c>
      <c r="R15">
        <v>2</v>
      </c>
      <c r="S15" t="str">
        <v>Blue</v>
      </c>
      <c r="T15">
        <v>4143</v>
      </c>
    </row>
    <row r="16" spans="1:20" x14ac:dyDescent="0.2">
      <c r="A16" t="s">
        <v>647</v>
      </c>
      <c r="R16">
        <v>2</v>
      </c>
      <c r="S16" t="str">
        <v>Blue</v>
      </c>
      <c r="T16">
        <v>7848</v>
      </c>
    </row>
    <row r="17" spans="1:20" x14ac:dyDescent="0.2">
      <c r="A17" t="s">
        <v>648</v>
      </c>
      <c r="R17">
        <v>3</v>
      </c>
      <c r="S17" t="str">
        <v>Red</v>
      </c>
      <c r="T17">
        <v>7417</v>
      </c>
    </row>
    <row r="18" spans="1:20" x14ac:dyDescent="0.2">
      <c r="A18" t="s">
        <v>649</v>
      </c>
      <c r="R18">
        <v>3</v>
      </c>
      <c r="S18" t="str">
        <v>Red</v>
      </c>
      <c r="T18">
        <v>4787</v>
      </c>
    </row>
    <row r="19" spans="1:20" x14ac:dyDescent="0.2">
      <c r="A19" t="s">
        <v>650</v>
      </c>
      <c r="R19">
        <v>3</v>
      </c>
      <c r="S19" t="str">
        <v>Red</v>
      </c>
      <c r="T19">
        <v>4213</v>
      </c>
    </row>
    <row r="20" spans="1:20" x14ac:dyDescent="0.2">
      <c r="A20" t="s">
        <v>651</v>
      </c>
      <c r="R20">
        <v>3</v>
      </c>
      <c r="S20" t="str">
        <v>Blue</v>
      </c>
      <c r="T20">
        <v>1736</v>
      </c>
    </row>
    <row r="21" spans="1:20" x14ac:dyDescent="0.2">
      <c r="A21" t="s">
        <v>652</v>
      </c>
      <c r="R21">
        <v>3</v>
      </c>
      <c r="S21" t="str">
        <v>Blue</v>
      </c>
      <c r="T21">
        <v>5442</v>
      </c>
    </row>
    <row r="22" spans="1:20" x14ac:dyDescent="0.2">
      <c r="A22" t="s">
        <v>653</v>
      </c>
      <c r="R22">
        <v>3</v>
      </c>
      <c r="S22" t="str">
        <v>Blue</v>
      </c>
      <c r="T22">
        <v>8719</v>
      </c>
    </row>
    <row r="23" spans="1:20" x14ac:dyDescent="0.2">
      <c r="A23" t="s">
        <v>654</v>
      </c>
      <c r="R23">
        <v>4</v>
      </c>
      <c r="S23" t="str">
        <v>Red</v>
      </c>
      <c r="T23">
        <v>1625</v>
      </c>
    </row>
    <row r="24" spans="1:20" x14ac:dyDescent="0.2">
      <c r="A24" t="s">
        <v>655</v>
      </c>
      <c r="R24">
        <v>4</v>
      </c>
      <c r="S24" t="str">
        <v>Red</v>
      </c>
      <c r="T24">
        <v>3488</v>
      </c>
    </row>
    <row r="25" spans="1:20" x14ac:dyDescent="0.2">
      <c r="A25" t="s">
        <v>656</v>
      </c>
      <c r="R25">
        <v>4</v>
      </c>
      <c r="S25" t="str">
        <v>Red</v>
      </c>
      <c r="T25">
        <v>4423</v>
      </c>
    </row>
    <row r="26" spans="1:20" x14ac:dyDescent="0.2">
      <c r="A26" t="s">
        <v>657</v>
      </c>
      <c r="R26">
        <v>4</v>
      </c>
      <c r="S26" t="str">
        <v>Blue</v>
      </c>
      <c r="T26">
        <v>8020</v>
      </c>
    </row>
    <row r="27" spans="1:20" x14ac:dyDescent="0.2">
      <c r="A27" t="s">
        <v>658</v>
      </c>
      <c r="R27">
        <v>4</v>
      </c>
      <c r="S27" t="str">
        <v>Blue</v>
      </c>
      <c r="T27">
        <v>2861</v>
      </c>
    </row>
    <row r="28" spans="1:20" x14ac:dyDescent="0.2">
      <c r="A28" t="s">
        <v>659</v>
      </c>
      <c r="R28">
        <v>4</v>
      </c>
      <c r="S28" t="str">
        <v>Blue</v>
      </c>
      <c r="T28">
        <v>648</v>
      </c>
    </row>
    <row r="29" spans="1:20" x14ac:dyDescent="0.2">
      <c r="A29" t="s">
        <v>660</v>
      </c>
      <c r="R29">
        <v>5</v>
      </c>
      <c r="S29" t="str">
        <v>Red</v>
      </c>
      <c r="T29">
        <v>8029</v>
      </c>
    </row>
    <row r="30" spans="1:20" x14ac:dyDescent="0.2">
      <c r="A30" t="s">
        <v>661</v>
      </c>
      <c r="R30">
        <v>5</v>
      </c>
      <c r="S30" t="str">
        <v>Red</v>
      </c>
      <c r="T30">
        <v>4096</v>
      </c>
    </row>
    <row r="31" spans="1:20" x14ac:dyDescent="0.2">
      <c r="A31" t="s">
        <v>662</v>
      </c>
      <c r="R31">
        <v>5</v>
      </c>
      <c r="S31" t="str">
        <v>Red</v>
      </c>
      <c r="T31">
        <v>4156</v>
      </c>
    </row>
    <row r="32" spans="1:20" x14ac:dyDescent="0.2">
      <c r="A32" t="s">
        <v>663</v>
      </c>
      <c r="R32">
        <v>5</v>
      </c>
      <c r="S32" t="str">
        <v>Blue</v>
      </c>
      <c r="T32">
        <v>8096</v>
      </c>
    </row>
    <row r="33" spans="1:20" x14ac:dyDescent="0.2">
      <c r="A33" t="s">
        <v>664</v>
      </c>
      <c r="R33">
        <v>5</v>
      </c>
      <c r="S33" t="str">
        <v>Blue</v>
      </c>
      <c r="T33">
        <v>7472</v>
      </c>
    </row>
    <row r="34" spans="1:20" x14ac:dyDescent="0.2">
      <c r="A34" t="s">
        <v>665</v>
      </c>
      <c r="R34">
        <v>5</v>
      </c>
      <c r="S34" t="str">
        <v>Blue</v>
      </c>
      <c r="T34">
        <v>2481</v>
      </c>
    </row>
    <row r="35" spans="1:20" x14ac:dyDescent="0.2">
      <c r="A35" t="s">
        <v>666</v>
      </c>
      <c r="R35">
        <v>6</v>
      </c>
      <c r="S35" t="str">
        <v>Red</v>
      </c>
      <c r="T35">
        <v>3284</v>
      </c>
    </row>
    <row r="36" spans="1:20" x14ac:dyDescent="0.2">
      <c r="A36" t="s">
        <v>667</v>
      </c>
      <c r="R36">
        <v>6</v>
      </c>
      <c r="S36" t="str">
        <v>Red</v>
      </c>
      <c r="T36">
        <v>5442</v>
      </c>
    </row>
    <row r="37" spans="1:20" x14ac:dyDescent="0.2">
      <c r="A37" t="s">
        <v>668</v>
      </c>
      <c r="R37">
        <v>6</v>
      </c>
      <c r="S37" t="str">
        <v>Red</v>
      </c>
      <c r="T37">
        <v>6651</v>
      </c>
    </row>
    <row r="38" spans="1:20" x14ac:dyDescent="0.2">
      <c r="A38" t="s">
        <v>669</v>
      </c>
      <c r="R38">
        <v>6</v>
      </c>
      <c r="S38" t="str">
        <v>Blue</v>
      </c>
      <c r="T38">
        <v>2039</v>
      </c>
    </row>
    <row r="39" spans="1:20" x14ac:dyDescent="0.2">
      <c r="A39" t="s">
        <v>670</v>
      </c>
      <c r="R39">
        <v>6</v>
      </c>
      <c r="S39" t="str">
        <v>Blue</v>
      </c>
      <c r="T39">
        <v>4655</v>
      </c>
    </row>
    <row r="40" spans="1:20" x14ac:dyDescent="0.2">
      <c r="A40" t="s">
        <v>671</v>
      </c>
      <c r="R40">
        <v>6</v>
      </c>
      <c r="S40" t="str">
        <v>Blue</v>
      </c>
      <c r="T40">
        <v>4213</v>
      </c>
    </row>
    <row r="41" spans="1:20" x14ac:dyDescent="0.2">
      <c r="A41" t="s">
        <v>672</v>
      </c>
      <c r="R41">
        <v>7</v>
      </c>
      <c r="S41" t="str">
        <v>Red</v>
      </c>
      <c r="T41">
        <v>2040</v>
      </c>
    </row>
    <row r="42" spans="1:20" x14ac:dyDescent="0.2">
      <c r="A42" t="s">
        <v>673</v>
      </c>
      <c r="R42">
        <v>7</v>
      </c>
      <c r="S42" t="str">
        <v>Red</v>
      </c>
      <c r="T42">
        <v>4143</v>
      </c>
    </row>
    <row r="43" spans="1:20" x14ac:dyDescent="0.2">
      <c r="A43" t="s">
        <v>674</v>
      </c>
      <c r="R43">
        <v>7</v>
      </c>
      <c r="S43" t="str">
        <v>Red</v>
      </c>
      <c r="T43">
        <v>4645</v>
      </c>
    </row>
    <row r="44" spans="1:20" x14ac:dyDescent="0.2">
      <c r="A44" t="s">
        <v>675</v>
      </c>
      <c r="R44">
        <v>7</v>
      </c>
      <c r="S44" t="str">
        <v>Blue</v>
      </c>
      <c r="T44">
        <v>2861</v>
      </c>
    </row>
    <row r="45" spans="1:20" x14ac:dyDescent="0.2">
      <c r="A45" t="s">
        <v>676</v>
      </c>
      <c r="R45">
        <v>7</v>
      </c>
      <c r="S45" t="str">
        <v>Blue</v>
      </c>
      <c r="T45">
        <v>3488</v>
      </c>
    </row>
    <row r="46" spans="1:20" x14ac:dyDescent="0.2">
      <c r="A46" t="s">
        <v>677</v>
      </c>
      <c r="R46">
        <v>7</v>
      </c>
      <c r="S46" t="str">
        <v>Blue</v>
      </c>
      <c r="T46">
        <v>1736</v>
      </c>
    </row>
    <row r="47" spans="1:20" x14ac:dyDescent="0.2">
      <c r="A47" t="s">
        <v>678</v>
      </c>
      <c r="R47">
        <v>8</v>
      </c>
      <c r="S47" t="str">
        <v>Red</v>
      </c>
      <c r="T47">
        <v>8719</v>
      </c>
    </row>
    <row r="48" spans="1:20" x14ac:dyDescent="0.2">
      <c r="A48" t="s">
        <v>679</v>
      </c>
      <c r="R48">
        <v>8</v>
      </c>
      <c r="S48" t="str">
        <v>Red</v>
      </c>
      <c r="T48">
        <v>1756</v>
      </c>
    </row>
    <row r="49" spans="1:20" x14ac:dyDescent="0.2">
      <c r="A49" t="s">
        <v>680</v>
      </c>
      <c r="R49">
        <v>8</v>
      </c>
      <c r="S49" t="str">
        <v>Red</v>
      </c>
      <c r="T49">
        <v>648</v>
      </c>
    </row>
    <row r="50" spans="1:20" x14ac:dyDescent="0.2">
      <c r="A50" t="s">
        <v>681</v>
      </c>
      <c r="R50">
        <v>8</v>
      </c>
      <c r="S50" t="str">
        <v>Blue</v>
      </c>
      <c r="T50">
        <v>8029</v>
      </c>
    </row>
    <row r="51" spans="1:20" x14ac:dyDescent="0.2">
      <c r="A51" t="s">
        <v>682</v>
      </c>
      <c r="R51">
        <v>8</v>
      </c>
      <c r="S51" t="str">
        <v>Blue</v>
      </c>
      <c r="T51">
        <v>9082</v>
      </c>
    </row>
    <row r="52" spans="1:20" x14ac:dyDescent="0.2">
      <c r="A52" t="s">
        <v>683</v>
      </c>
      <c r="R52">
        <v>8</v>
      </c>
      <c r="S52" t="str">
        <v>Blue</v>
      </c>
      <c r="T52">
        <v>2481</v>
      </c>
    </row>
    <row r="53" spans="1:20" x14ac:dyDescent="0.2">
      <c r="A53" t="s">
        <v>684</v>
      </c>
      <c r="R53">
        <v>9</v>
      </c>
      <c r="S53" t="str">
        <v>Red</v>
      </c>
      <c r="T53">
        <v>6651</v>
      </c>
    </row>
    <row r="54" spans="1:20" x14ac:dyDescent="0.2">
      <c r="A54" t="s">
        <v>685</v>
      </c>
      <c r="R54">
        <v>9</v>
      </c>
      <c r="S54" t="str">
        <v>Red</v>
      </c>
      <c r="T54">
        <v>8096</v>
      </c>
    </row>
    <row r="55" spans="1:20" x14ac:dyDescent="0.2">
      <c r="A55" t="s">
        <v>686</v>
      </c>
      <c r="R55">
        <v>9</v>
      </c>
      <c r="S55" t="str">
        <v>Red</v>
      </c>
      <c r="T55">
        <v>8020</v>
      </c>
    </row>
    <row r="56" spans="1:20" x14ac:dyDescent="0.2">
      <c r="A56" t="s">
        <v>687</v>
      </c>
      <c r="R56">
        <v>9</v>
      </c>
      <c r="S56" t="str">
        <v>Blue</v>
      </c>
      <c r="T56">
        <v>7848</v>
      </c>
    </row>
    <row r="57" spans="1:20" x14ac:dyDescent="0.2">
      <c r="A57" t="s">
        <v>688</v>
      </c>
      <c r="R57">
        <v>9</v>
      </c>
      <c r="S57" t="str">
        <v>Blue</v>
      </c>
      <c r="T57">
        <v>6237</v>
      </c>
    </row>
    <row r="58" spans="1:20" x14ac:dyDescent="0.2">
      <c r="A58" t="s">
        <v>689</v>
      </c>
      <c r="R58">
        <v>9</v>
      </c>
      <c r="S58" t="str">
        <v>Blue</v>
      </c>
      <c r="T58">
        <v>4787</v>
      </c>
    </row>
    <row r="59" spans="1:20" x14ac:dyDescent="0.2">
      <c r="A59" t="s">
        <v>690</v>
      </c>
      <c r="R59">
        <v>10</v>
      </c>
      <c r="S59" t="str">
        <v>Red</v>
      </c>
      <c r="T59">
        <v>1625</v>
      </c>
    </row>
    <row r="60" spans="1:20" x14ac:dyDescent="0.2">
      <c r="A60" t="s">
        <v>691</v>
      </c>
      <c r="R60">
        <v>10</v>
      </c>
      <c r="S60" t="str">
        <v>Red</v>
      </c>
      <c r="T60">
        <v>3067</v>
      </c>
    </row>
    <row r="61" spans="1:20" x14ac:dyDescent="0.2">
      <c r="A61" t="s">
        <v>692</v>
      </c>
      <c r="R61">
        <v>10</v>
      </c>
      <c r="S61" t="str">
        <v>Red</v>
      </c>
      <c r="T61">
        <v>7472</v>
      </c>
    </row>
    <row r="62" spans="1:20" x14ac:dyDescent="0.2">
      <c r="A62" t="s">
        <v>693</v>
      </c>
      <c r="R62">
        <v>10</v>
      </c>
      <c r="S62" t="str">
        <v>Blue</v>
      </c>
      <c r="T62">
        <v>2022</v>
      </c>
    </row>
    <row r="63" spans="1:20" x14ac:dyDescent="0.2">
      <c r="A63" t="s">
        <v>694</v>
      </c>
      <c r="R63">
        <v>10</v>
      </c>
      <c r="S63" t="str">
        <v>Blue</v>
      </c>
      <c r="T63">
        <v>4423</v>
      </c>
    </row>
    <row r="64" spans="1:20" x14ac:dyDescent="0.2">
      <c r="A64" t="s">
        <v>695</v>
      </c>
      <c r="R64">
        <v>10</v>
      </c>
      <c r="S64" t="str">
        <v>Blue</v>
      </c>
      <c r="T64">
        <v>7417</v>
      </c>
    </row>
    <row r="65" spans="1:20" x14ac:dyDescent="0.2">
      <c r="A65" t="s">
        <v>696</v>
      </c>
      <c r="R65">
        <v>11</v>
      </c>
      <c r="S65" t="str">
        <v>Red</v>
      </c>
      <c r="T65">
        <v>4156</v>
      </c>
    </row>
    <row r="66" spans="1:20" x14ac:dyDescent="0.2">
      <c r="A66" t="s">
        <v>697</v>
      </c>
      <c r="R66">
        <v>11</v>
      </c>
      <c r="S66" t="str">
        <v>Red</v>
      </c>
      <c r="T66">
        <v>4655</v>
      </c>
    </row>
    <row r="67" spans="1:20" x14ac:dyDescent="0.2">
      <c r="A67" t="s">
        <v>698</v>
      </c>
      <c r="R67">
        <v>11</v>
      </c>
      <c r="S67" t="str">
        <v>Red</v>
      </c>
      <c r="T67">
        <v>9082</v>
      </c>
    </row>
    <row r="68" spans="1:20" x14ac:dyDescent="0.2">
      <c r="A68" t="s">
        <v>699</v>
      </c>
      <c r="R68">
        <v>11</v>
      </c>
      <c r="S68" t="str">
        <v>Blue</v>
      </c>
      <c r="T68">
        <v>4096</v>
      </c>
    </row>
    <row r="69" spans="1:20" x14ac:dyDescent="0.2">
      <c r="A69" t="s">
        <v>700</v>
      </c>
      <c r="R69">
        <v>11</v>
      </c>
      <c r="S69" t="str">
        <v>Blue</v>
      </c>
      <c r="T69">
        <v>4645</v>
      </c>
    </row>
    <row r="70" spans="1:20" x14ac:dyDescent="0.2">
      <c r="A70" t="s">
        <v>701</v>
      </c>
      <c r="R70">
        <v>11</v>
      </c>
      <c r="S70" t="str">
        <v>Blue</v>
      </c>
      <c r="T70">
        <v>2481</v>
      </c>
    </row>
    <row r="71" spans="1:20" x14ac:dyDescent="0.2">
      <c r="A71" t="s">
        <v>702</v>
      </c>
      <c r="R71">
        <v>12</v>
      </c>
      <c r="S71" t="str">
        <v>Red</v>
      </c>
      <c r="T71">
        <v>8719</v>
      </c>
    </row>
    <row r="72" spans="1:20" x14ac:dyDescent="0.2">
      <c r="A72" t="s">
        <v>703</v>
      </c>
      <c r="R72">
        <v>12</v>
      </c>
      <c r="S72" t="str">
        <v>Red</v>
      </c>
      <c r="T72">
        <v>8020</v>
      </c>
    </row>
    <row r="73" spans="1:20" x14ac:dyDescent="0.2">
      <c r="A73" t="s">
        <v>704</v>
      </c>
      <c r="R73">
        <v>12</v>
      </c>
      <c r="S73" t="str">
        <v>Red</v>
      </c>
      <c r="T73">
        <v>2039</v>
      </c>
    </row>
    <row r="74" spans="1:20" x14ac:dyDescent="0.2">
      <c r="A74" t="s">
        <v>705</v>
      </c>
      <c r="R74">
        <v>12</v>
      </c>
      <c r="S74" t="str">
        <v>Blue</v>
      </c>
      <c r="T74">
        <v>2040</v>
      </c>
    </row>
    <row r="75" spans="1:20" x14ac:dyDescent="0.2">
      <c r="A75" t="s">
        <v>706</v>
      </c>
      <c r="R75">
        <v>12</v>
      </c>
      <c r="S75" t="str">
        <v>Blue</v>
      </c>
      <c r="T75">
        <v>648</v>
      </c>
    </row>
    <row r="76" spans="1:20" x14ac:dyDescent="0.2">
      <c r="A76" t="s">
        <v>707</v>
      </c>
      <c r="R76">
        <v>12</v>
      </c>
      <c r="S76" t="str">
        <v>Blue</v>
      </c>
      <c r="T76">
        <v>6651</v>
      </c>
    </row>
    <row r="77" spans="1:20" x14ac:dyDescent="0.2">
      <c r="A77" t="s">
        <v>708</v>
      </c>
      <c r="R77">
        <v>13</v>
      </c>
      <c r="S77" t="str">
        <v>Red</v>
      </c>
      <c r="T77">
        <v>4213</v>
      </c>
    </row>
    <row r="78" spans="1:20" x14ac:dyDescent="0.2">
      <c r="A78" t="s">
        <v>709</v>
      </c>
      <c r="R78">
        <v>13</v>
      </c>
      <c r="S78" t="str">
        <v>Red</v>
      </c>
      <c r="T78">
        <v>1736</v>
      </c>
    </row>
    <row r="79" spans="1:20" x14ac:dyDescent="0.2">
      <c r="A79" t="s">
        <v>710</v>
      </c>
      <c r="R79">
        <v>13</v>
      </c>
      <c r="S79" t="str">
        <v>Red</v>
      </c>
      <c r="T79">
        <v>2022</v>
      </c>
    </row>
    <row r="80" spans="1:20" x14ac:dyDescent="0.2">
      <c r="A80" t="s">
        <v>711</v>
      </c>
      <c r="R80">
        <v>13</v>
      </c>
      <c r="S80" t="str">
        <v>Blue</v>
      </c>
      <c r="T80">
        <v>3067</v>
      </c>
    </row>
    <row r="81" spans="1:20" x14ac:dyDescent="0.2">
      <c r="A81" t="s">
        <v>712</v>
      </c>
      <c r="R81">
        <v>13</v>
      </c>
      <c r="S81" t="str">
        <v>Blue</v>
      </c>
      <c r="T81">
        <v>8029</v>
      </c>
    </row>
    <row r="82" spans="1:20" x14ac:dyDescent="0.2">
      <c r="A82" t="s">
        <v>713</v>
      </c>
      <c r="R82">
        <v>13</v>
      </c>
      <c r="S82" t="str">
        <v>Blue</v>
      </c>
      <c r="T82">
        <v>3488</v>
      </c>
    </row>
    <row r="83" spans="1:20" x14ac:dyDescent="0.2">
      <c r="A83" t="s">
        <v>714</v>
      </c>
      <c r="R83">
        <v>14</v>
      </c>
      <c r="S83" t="str">
        <v>Red</v>
      </c>
      <c r="T83">
        <v>4156</v>
      </c>
    </row>
    <row r="84" spans="1:20" x14ac:dyDescent="0.2">
      <c r="A84" t="s">
        <v>715</v>
      </c>
      <c r="R84">
        <v>14</v>
      </c>
      <c r="S84" t="str">
        <v>Red</v>
      </c>
      <c r="T84">
        <v>3284</v>
      </c>
    </row>
    <row r="85" spans="1:20" x14ac:dyDescent="0.2">
      <c r="A85" t="s">
        <v>716</v>
      </c>
      <c r="R85">
        <v>14</v>
      </c>
      <c r="S85" t="str">
        <v>Red</v>
      </c>
      <c r="T85">
        <v>4787</v>
      </c>
    </row>
    <row r="86" spans="1:20" x14ac:dyDescent="0.2">
      <c r="A86" t="s">
        <v>717</v>
      </c>
      <c r="R86">
        <v>14</v>
      </c>
      <c r="S86" t="str">
        <v>Blue</v>
      </c>
      <c r="T86">
        <v>6237</v>
      </c>
    </row>
    <row r="87" spans="1:20" x14ac:dyDescent="0.2">
      <c r="A87" t="s">
        <v>718</v>
      </c>
      <c r="R87">
        <v>14</v>
      </c>
      <c r="S87" t="str">
        <v>Blue</v>
      </c>
      <c r="T87">
        <v>1756</v>
      </c>
    </row>
    <row r="88" spans="1:20" x14ac:dyDescent="0.2">
      <c r="A88" t="s">
        <v>719</v>
      </c>
      <c r="R88">
        <v>14</v>
      </c>
      <c r="S88" t="str">
        <v>Blue</v>
      </c>
      <c r="T88">
        <v>4423</v>
      </c>
    </row>
    <row r="89" spans="1:20" x14ac:dyDescent="0.2">
      <c r="A89" t="s">
        <v>720</v>
      </c>
      <c r="R89">
        <v>15</v>
      </c>
      <c r="S89" t="str">
        <v>Red</v>
      </c>
      <c r="T89">
        <v>5442</v>
      </c>
    </row>
    <row r="90" spans="1:20" x14ac:dyDescent="0.2">
      <c r="A90" t="s">
        <v>721</v>
      </c>
      <c r="R90">
        <v>15</v>
      </c>
      <c r="S90" t="str">
        <v>Red</v>
      </c>
      <c r="T90">
        <v>7848</v>
      </c>
    </row>
    <row r="91" spans="1:20" x14ac:dyDescent="0.2">
      <c r="A91" t="s">
        <v>722</v>
      </c>
      <c r="R91">
        <v>15</v>
      </c>
      <c r="S91" t="str">
        <v>Red</v>
      </c>
      <c r="T91">
        <v>2861</v>
      </c>
    </row>
    <row r="92" spans="1:20" x14ac:dyDescent="0.2">
      <c r="A92" t="s">
        <v>723</v>
      </c>
      <c r="R92">
        <v>15</v>
      </c>
      <c r="S92" t="str">
        <v>Blue</v>
      </c>
      <c r="T92">
        <v>7417</v>
      </c>
    </row>
    <row r="93" spans="1:20" x14ac:dyDescent="0.2">
      <c r="A93" t="s">
        <v>724</v>
      </c>
      <c r="R93">
        <v>15</v>
      </c>
      <c r="S93" t="str">
        <v>Blue</v>
      </c>
      <c r="T93">
        <v>1625</v>
      </c>
    </row>
    <row r="94" spans="1:20" x14ac:dyDescent="0.2">
      <c r="A94" t="s">
        <v>725</v>
      </c>
      <c r="R94">
        <v>15</v>
      </c>
      <c r="S94" t="str">
        <v>Blue</v>
      </c>
      <c r="T94">
        <v>4096</v>
      </c>
    </row>
    <row r="95" spans="1:20" x14ac:dyDescent="0.2">
      <c r="A95" t="s">
        <v>726</v>
      </c>
      <c r="R95">
        <v>16</v>
      </c>
      <c r="S95" t="str">
        <v>Red</v>
      </c>
      <c r="T95">
        <v>8096</v>
      </c>
    </row>
    <row r="96" spans="1:20" x14ac:dyDescent="0.2">
      <c r="A96" t="s">
        <v>727</v>
      </c>
      <c r="R96">
        <v>16</v>
      </c>
      <c r="S96" t="str">
        <v>Red</v>
      </c>
      <c r="T96">
        <v>4143</v>
      </c>
    </row>
    <row r="97" spans="1:20" x14ac:dyDescent="0.2">
      <c r="A97" t="s">
        <v>728</v>
      </c>
      <c r="R97">
        <v>16</v>
      </c>
      <c r="S97" t="str">
        <v>Red</v>
      </c>
      <c r="T97">
        <v>2022</v>
      </c>
    </row>
    <row r="98" spans="1:20" x14ac:dyDescent="0.2">
      <c r="A98" t="s">
        <v>729</v>
      </c>
      <c r="R98">
        <v>16</v>
      </c>
      <c r="S98" t="str">
        <v>Blue</v>
      </c>
      <c r="T98">
        <v>1736</v>
      </c>
    </row>
    <row r="99" spans="1:20" x14ac:dyDescent="0.2">
      <c r="A99" t="s">
        <v>730</v>
      </c>
      <c r="R99">
        <v>16</v>
      </c>
      <c r="S99" t="str">
        <v>Blue</v>
      </c>
      <c r="T99">
        <v>648</v>
      </c>
    </row>
    <row r="100" spans="1:20" x14ac:dyDescent="0.2">
      <c r="A100" t="s">
        <v>731</v>
      </c>
      <c r="R100">
        <v>16</v>
      </c>
      <c r="S100" t="str">
        <v>Blue</v>
      </c>
      <c r="T100">
        <v>7472</v>
      </c>
    </row>
    <row r="101" spans="1:20" x14ac:dyDescent="0.2">
      <c r="A101" t="s">
        <v>732</v>
      </c>
      <c r="R101">
        <v>17</v>
      </c>
      <c r="S101" t="str">
        <v>Red</v>
      </c>
      <c r="T101">
        <v>6237</v>
      </c>
    </row>
    <row r="102" spans="1:20" x14ac:dyDescent="0.2">
      <c r="A102" t="s">
        <v>733</v>
      </c>
      <c r="R102">
        <v>17</v>
      </c>
      <c r="S102" t="str">
        <v>Red</v>
      </c>
      <c r="T102">
        <v>2481</v>
      </c>
    </row>
    <row r="103" spans="1:20" x14ac:dyDescent="0.2">
      <c r="A103" t="s">
        <v>734</v>
      </c>
      <c r="R103">
        <v>17</v>
      </c>
      <c r="S103" t="str">
        <v>Red</v>
      </c>
      <c r="T103">
        <v>1756</v>
      </c>
    </row>
    <row r="104" spans="1:20" x14ac:dyDescent="0.2">
      <c r="A104" t="s">
        <v>735</v>
      </c>
      <c r="R104">
        <v>17</v>
      </c>
      <c r="S104" t="str">
        <v>Blue</v>
      </c>
      <c r="T104">
        <v>2039</v>
      </c>
    </row>
    <row r="105" spans="1:20" x14ac:dyDescent="0.2">
      <c r="A105" t="s">
        <v>736</v>
      </c>
      <c r="R105">
        <v>17</v>
      </c>
      <c r="S105" t="str">
        <v>Blue</v>
      </c>
      <c r="T105">
        <v>8719</v>
      </c>
    </row>
    <row r="106" spans="1:20" x14ac:dyDescent="0.2">
      <c r="A106" t="s">
        <v>737</v>
      </c>
      <c r="R106">
        <v>17</v>
      </c>
      <c r="S106" t="str">
        <v>Blue</v>
      </c>
      <c r="T106">
        <v>6651</v>
      </c>
    </row>
    <row r="107" spans="1:20" x14ac:dyDescent="0.2">
      <c r="A107" t="s">
        <v>738</v>
      </c>
      <c r="R107">
        <v>18</v>
      </c>
      <c r="S107" t="str">
        <v>Red</v>
      </c>
      <c r="T107">
        <v>4096</v>
      </c>
    </row>
    <row r="108" spans="1:20" x14ac:dyDescent="0.2">
      <c r="A108" t="s">
        <v>739</v>
      </c>
      <c r="R108">
        <v>18</v>
      </c>
      <c r="S108" t="str">
        <v>Red</v>
      </c>
      <c r="T108">
        <v>9082</v>
      </c>
    </row>
    <row r="109" spans="1:20" x14ac:dyDescent="0.2">
      <c r="A109" t="s">
        <v>740</v>
      </c>
      <c r="R109">
        <v>18</v>
      </c>
      <c r="S109" t="str">
        <v>Red</v>
      </c>
      <c r="T109">
        <v>5442</v>
      </c>
    </row>
    <row r="110" spans="1:20" x14ac:dyDescent="0.2">
      <c r="A110" t="s">
        <v>741</v>
      </c>
      <c r="R110">
        <v>18</v>
      </c>
      <c r="S110" t="str">
        <v>Blue</v>
      </c>
      <c r="T110">
        <v>3488</v>
      </c>
    </row>
    <row r="111" spans="1:20" x14ac:dyDescent="0.2">
      <c r="A111" t="s">
        <v>742</v>
      </c>
      <c r="R111">
        <v>18</v>
      </c>
      <c r="S111" t="str">
        <v>Blue</v>
      </c>
      <c r="T111">
        <v>2040</v>
      </c>
    </row>
    <row r="112" spans="1:20" x14ac:dyDescent="0.2">
      <c r="A112" t="s">
        <v>743</v>
      </c>
      <c r="R112">
        <v>18</v>
      </c>
      <c r="S112" t="str">
        <v>Blue</v>
      </c>
      <c r="T112">
        <v>4787</v>
      </c>
    </row>
    <row r="113" spans="1:20" x14ac:dyDescent="0.2">
      <c r="A113" t="s">
        <v>744</v>
      </c>
      <c r="R113">
        <v>19</v>
      </c>
      <c r="S113" t="str">
        <v>Red</v>
      </c>
      <c r="T113">
        <v>4213</v>
      </c>
    </row>
    <row r="114" spans="1:20" x14ac:dyDescent="0.2">
      <c r="A114" t="s">
        <v>745</v>
      </c>
      <c r="R114">
        <v>19</v>
      </c>
      <c r="S114" t="str">
        <v>Red</v>
      </c>
      <c r="T114">
        <v>8096</v>
      </c>
    </row>
    <row r="115" spans="1:20" x14ac:dyDescent="0.2">
      <c r="A115" t="s">
        <v>746</v>
      </c>
      <c r="R115">
        <v>19</v>
      </c>
      <c r="S115" t="str">
        <v>Red</v>
      </c>
      <c r="T115">
        <v>1625</v>
      </c>
    </row>
    <row r="116" spans="1:20" x14ac:dyDescent="0.2">
      <c r="A116" t="s">
        <v>747</v>
      </c>
      <c r="R116">
        <v>19</v>
      </c>
      <c r="S116" t="str">
        <v>Blue</v>
      </c>
      <c r="T116">
        <v>2861</v>
      </c>
    </row>
    <row r="117" spans="1:20" x14ac:dyDescent="0.2">
      <c r="A117" t="s">
        <v>748</v>
      </c>
      <c r="R117">
        <v>19</v>
      </c>
      <c r="S117" t="str">
        <v>Blue</v>
      </c>
      <c r="T117">
        <v>8020</v>
      </c>
    </row>
    <row r="118" spans="1:20" x14ac:dyDescent="0.2">
      <c r="A118" t="s">
        <v>749</v>
      </c>
      <c r="R118">
        <v>19</v>
      </c>
      <c r="S118" t="str">
        <v>Blue</v>
      </c>
      <c r="T118">
        <v>4655</v>
      </c>
    </row>
    <row r="119" spans="1:20" x14ac:dyDescent="0.2">
      <c r="A119" t="s">
        <v>750</v>
      </c>
      <c r="R119">
        <v>20</v>
      </c>
      <c r="S119" t="str">
        <v>Red</v>
      </c>
      <c r="T119">
        <v>7417</v>
      </c>
    </row>
    <row r="120" spans="1:20" x14ac:dyDescent="0.2">
      <c r="A120" t="s">
        <v>751</v>
      </c>
      <c r="R120">
        <v>20</v>
      </c>
      <c r="S120" t="str">
        <v>Red</v>
      </c>
      <c r="T120">
        <v>7848</v>
      </c>
    </row>
    <row r="121" spans="1:20" x14ac:dyDescent="0.2">
      <c r="A121" t="s">
        <v>752</v>
      </c>
      <c r="R121">
        <v>20</v>
      </c>
      <c r="S121" t="str">
        <v>Red</v>
      </c>
      <c r="T121">
        <v>8029</v>
      </c>
    </row>
    <row r="122" spans="1:20" x14ac:dyDescent="0.2">
      <c r="A122" t="s">
        <v>753</v>
      </c>
      <c r="R122">
        <v>20</v>
      </c>
      <c r="S122" t="str">
        <v>Blue</v>
      </c>
      <c r="T122">
        <v>4423</v>
      </c>
    </row>
    <row r="123" spans="1:20" x14ac:dyDescent="0.2">
      <c r="A123" t="s">
        <v>754</v>
      </c>
      <c r="R123">
        <v>20</v>
      </c>
      <c r="S123" t="str">
        <v>Blue</v>
      </c>
      <c r="T123">
        <v>3284</v>
      </c>
    </row>
    <row r="124" spans="1:20" x14ac:dyDescent="0.2">
      <c r="A124" t="s">
        <v>755</v>
      </c>
      <c r="R124">
        <v>20</v>
      </c>
      <c r="S124" t="str">
        <v>Blue</v>
      </c>
      <c r="T124">
        <v>4143</v>
      </c>
    </row>
    <row r="125" spans="1:20" x14ac:dyDescent="0.2">
      <c r="A125" t="s">
        <v>756</v>
      </c>
      <c r="R125">
        <v>21</v>
      </c>
      <c r="S125" t="str">
        <v>Red</v>
      </c>
      <c r="T125">
        <v>7472</v>
      </c>
    </row>
    <row r="126" spans="1:20" x14ac:dyDescent="0.2">
      <c r="A126" t="s">
        <v>757</v>
      </c>
      <c r="R126">
        <v>21</v>
      </c>
      <c r="S126" t="str">
        <v>Red</v>
      </c>
      <c r="T126">
        <v>4645</v>
      </c>
    </row>
    <row r="127" spans="1:20" x14ac:dyDescent="0.2">
      <c r="A127" t="s">
        <v>758</v>
      </c>
      <c r="R127">
        <v>21</v>
      </c>
      <c r="S127" t="str">
        <v>Red</v>
      </c>
      <c r="T127">
        <v>5442</v>
      </c>
    </row>
    <row r="128" spans="1:20" x14ac:dyDescent="0.2">
      <c r="A128" t="s">
        <v>759</v>
      </c>
      <c r="R128">
        <v>21</v>
      </c>
      <c r="S128" t="str">
        <v>Blue</v>
      </c>
      <c r="T128">
        <v>3067</v>
      </c>
    </row>
    <row r="129" spans="1:20" x14ac:dyDescent="0.2">
      <c r="A129" t="s">
        <v>760</v>
      </c>
      <c r="R129">
        <v>21</v>
      </c>
      <c r="S129" t="str">
        <v>Blue</v>
      </c>
      <c r="T129">
        <v>4156</v>
      </c>
    </row>
    <row r="130" spans="1:20" x14ac:dyDescent="0.2">
      <c r="A130" t="s">
        <v>761</v>
      </c>
      <c r="R130">
        <v>21</v>
      </c>
      <c r="S130" t="str">
        <v>Blue</v>
      </c>
      <c r="T130">
        <v>8719</v>
      </c>
    </row>
    <row r="131" spans="1:20" x14ac:dyDescent="0.2">
      <c r="A131" t="s">
        <v>762</v>
      </c>
      <c r="R131">
        <v>22</v>
      </c>
      <c r="S131" t="str">
        <v>Red</v>
      </c>
      <c r="T131">
        <v>9082</v>
      </c>
    </row>
    <row r="132" spans="1:20" x14ac:dyDescent="0.2">
      <c r="A132" t="s">
        <v>763</v>
      </c>
      <c r="R132">
        <v>22</v>
      </c>
      <c r="S132" t="str">
        <v>Red</v>
      </c>
      <c r="T132">
        <v>4787</v>
      </c>
    </row>
    <row r="133" spans="1:20" x14ac:dyDescent="0.2">
      <c r="A133" t="s">
        <v>764</v>
      </c>
      <c r="R133">
        <v>22</v>
      </c>
      <c r="S133" t="str">
        <v>Red</v>
      </c>
      <c r="T133">
        <v>2861</v>
      </c>
    </row>
    <row r="134" spans="1:20" x14ac:dyDescent="0.2">
      <c r="A134" t="s">
        <v>765</v>
      </c>
      <c r="R134">
        <v>22</v>
      </c>
      <c r="S134" t="str">
        <v>Blue</v>
      </c>
      <c r="T134">
        <v>648</v>
      </c>
    </row>
    <row r="135" spans="1:20" x14ac:dyDescent="0.2">
      <c r="A135" t="s">
        <v>766</v>
      </c>
      <c r="R135">
        <v>22</v>
      </c>
      <c r="S135" t="str">
        <v>Blue</v>
      </c>
      <c r="T135">
        <v>2022</v>
      </c>
    </row>
    <row r="136" spans="1:20" x14ac:dyDescent="0.2">
      <c r="A136" t="s">
        <v>767</v>
      </c>
      <c r="R136">
        <v>22</v>
      </c>
      <c r="S136" t="str">
        <v>Blue</v>
      </c>
      <c r="T136">
        <v>2039</v>
      </c>
    </row>
    <row r="137" spans="1:20" x14ac:dyDescent="0.2">
      <c r="A137" t="s">
        <v>768</v>
      </c>
      <c r="R137">
        <v>23</v>
      </c>
      <c r="S137" t="str">
        <v>Red</v>
      </c>
      <c r="T137">
        <v>4423</v>
      </c>
    </row>
    <row r="138" spans="1:20" x14ac:dyDescent="0.2">
      <c r="A138" t="s">
        <v>769</v>
      </c>
      <c r="R138">
        <v>23</v>
      </c>
      <c r="S138" t="str">
        <v>Red</v>
      </c>
      <c r="T138">
        <v>2481</v>
      </c>
    </row>
    <row r="139" spans="1:20" x14ac:dyDescent="0.2">
      <c r="A139" t="s">
        <v>770</v>
      </c>
      <c r="R139">
        <v>23</v>
      </c>
      <c r="S139" t="str">
        <v>Red</v>
      </c>
      <c r="T139">
        <v>4655</v>
      </c>
    </row>
    <row r="140" spans="1:20" x14ac:dyDescent="0.2">
      <c r="A140" t="s">
        <v>771</v>
      </c>
      <c r="R140">
        <v>23</v>
      </c>
      <c r="S140" t="str">
        <v>Blue</v>
      </c>
      <c r="T140">
        <v>8096</v>
      </c>
    </row>
    <row r="141" spans="1:20" x14ac:dyDescent="0.2">
      <c r="A141" t="s">
        <v>772</v>
      </c>
      <c r="R141">
        <v>23</v>
      </c>
      <c r="S141" t="str">
        <v>Blue</v>
      </c>
      <c r="T141">
        <v>4096</v>
      </c>
    </row>
    <row r="142" spans="1:20" x14ac:dyDescent="0.2">
      <c r="A142" t="s">
        <v>773</v>
      </c>
      <c r="R142">
        <v>23</v>
      </c>
      <c r="S142" t="str">
        <v>Blue</v>
      </c>
      <c r="T142">
        <v>2040</v>
      </c>
    </row>
    <row r="143" spans="1:20" x14ac:dyDescent="0.2">
      <c r="A143" t="s">
        <v>774</v>
      </c>
      <c r="R143">
        <v>24</v>
      </c>
      <c r="S143" t="str">
        <v>Red</v>
      </c>
      <c r="T143">
        <v>1756</v>
      </c>
    </row>
    <row r="144" spans="1:20" x14ac:dyDescent="0.2">
      <c r="A144" t="s">
        <v>775</v>
      </c>
      <c r="R144">
        <v>24</v>
      </c>
      <c r="S144" t="str">
        <v>Red</v>
      </c>
      <c r="T144">
        <v>7417</v>
      </c>
    </row>
    <row r="145" spans="1:20" x14ac:dyDescent="0.2">
      <c r="A145" t="s">
        <v>776</v>
      </c>
      <c r="R145">
        <v>24</v>
      </c>
      <c r="S145" t="str">
        <v>Red</v>
      </c>
      <c r="T145">
        <v>3067</v>
      </c>
    </row>
    <row r="146" spans="1:20" x14ac:dyDescent="0.2">
      <c r="A146" t="s">
        <v>777</v>
      </c>
      <c r="R146">
        <v>24</v>
      </c>
      <c r="S146" t="str">
        <v>Blue</v>
      </c>
      <c r="T146">
        <v>1625</v>
      </c>
    </row>
    <row r="147" spans="1:20" x14ac:dyDescent="0.2">
      <c r="A147" t="s">
        <v>778</v>
      </c>
      <c r="R147">
        <v>24</v>
      </c>
      <c r="S147" t="str">
        <v>Blue</v>
      </c>
      <c r="T147">
        <v>8029</v>
      </c>
    </row>
    <row r="148" spans="1:20" x14ac:dyDescent="0.2">
      <c r="A148" t="s">
        <v>779</v>
      </c>
      <c r="R148">
        <v>24</v>
      </c>
      <c r="S148" t="str">
        <v>Blue</v>
      </c>
      <c r="T148">
        <v>4645</v>
      </c>
    </row>
    <row r="149" spans="1:20" x14ac:dyDescent="0.2">
      <c r="A149" t="s">
        <v>780</v>
      </c>
      <c r="R149">
        <v>25</v>
      </c>
      <c r="S149" t="str">
        <v>Red</v>
      </c>
      <c r="T149">
        <v>3284</v>
      </c>
    </row>
    <row r="150" spans="1:20" x14ac:dyDescent="0.2">
      <c r="A150" t="s">
        <v>781</v>
      </c>
      <c r="R150">
        <v>25</v>
      </c>
      <c r="S150" t="str">
        <v>Red</v>
      </c>
      <c r="T150">
        <v>4213</v>
      </c>
    </row>
    <row r="151" spans="1:20" x14ac:dyDescent="0.2">
      <c r="A151" t="s">
        <v>782</v>
      </c>
      <c r="R151">
        <v>25</v>
      </c>
      <c r="S151" t="str">
        <v>Red</v>
      </c>
      <c r="T151">
        <v>6237</v>
      </c>
    </row>
    <row r="152" spans="1:20" x14ac:dyDescent="0.2">
      <c r="A152" t="s">
        <v>783</v>
      </c>
      <c r="R152">
        <v>25</v>
      </c>
      <c r="S152" t="str">
        <v>Blue</v>
      </c>
      <c r="T152">
        <v>8020</v>
      </c>
    </row>
    <row r="153" spans="1:20" x14ac:dyDescent="0.2">
      <c r="A153" t="s">
        <v>784</v>
      </c>
      <c r="R153">
        <v>25</v>
      </c>
      <c r="S153" t="str">
        <v>Blue</v>
      </c>
      <c r="T153">
        <v>3488</v>
      </c>
    </row>
    <row r="154" spans="1:20" x14ac:dyDescent="0.2">
      <c r="A154" t="s">
        <v>785</v>
      </c>
      <c r="R154">
        <v>25</v>
      </c>
      <c r="S154" t="str">
        <v>Blue</v>
      </c>
      <c r="T154">
        <v>4156</v>
      </c>
    </row>
    <row r="155" spans="1:20" x14ac:dyDescent="0.2">
      <c r="A155" t="s">
        <v>786</v>
      </c>
      <c r="R155">
        <v>26</v>
      </c>
      <c r="S155" t="str">
        <v>Red</v>
      </c>
      <c r="T155">
        <v>6651</v>
      </c>
    </row>
    <row r="156" spans="1:20" x14ac:dyDescent="0.2">
      <c r="A156" t="s">
        <v>787</v>
      </c>
      <c r="R156">
        <v>26</v>
      </c>
      <c r="S156" t="str">
        <v>Red</v>
      </c>
      <c r="T156">
        <v>7472</v>
      </c>
    </row>
    <row r="157" spans="1:20" x14ac:dyDescent="0.2">
      <c r="A157" t="s">
        <v>788</v>
      </c>
      <c r="R157">
        <v>26</v>
      </c>
      <c r="S157" t="str">
        <v>Red</v>
      </c>
      <c r="T157">
        <v>7848</v>
      </c>
    </row>
    <row r="158" spans="1:20" x14ac:dyDescent="0.2">
      <c r="A158" t="s">
        <v>789</v>
      </c>
      <c r="R158">
        <v>26</v>
      </c>
      <c r="S158" t="str">
        <v>Blue</v>
      </c>
      <c r="T158">
        <v>1736</v>
      </c>
    </row>
    <row r="159" spans="1:20" x14ac:dyDescent="0.2">
      <c r="A159" t="s">
        <v>790</v>
      </c>
      <c r="R159">
        <v>26</v>
      </c>
      <c r="S159" t="str">
        <v>Blue</v>
      </c>
      <c r="T159">
        <v>4143</v>
      </c>
    </row>
    <row r="160" spans="1:20" x14ac:dyDescent="0.2">
      <c r="A160" t="s">
        <v>791</v>
      </c>
      <c r="R160">
        <v>26</v>
      </c>
      <c r="S160" t="str">
        <v>Blue</v>
      </c>
      <c r="T160">
        <v>9082</v>
      </c>
    </row>
    <row r="161" spans="1:20" x14ac:dyDescent="0.2">
      <c r="A161" t="s">
        <v>792</v>
      </c>
      <c r="R161">
        <v>27</v>
      </c>
      <c r="S161" t="str">
        <v>Red</v>
      </c>
      <c r="T161">
        <v>8029</v>
      </c>
    </row>
    <row r="162" spans="1:20" x14ac:dyDescent="0.2">
      <c r="A162" t="s">
        <v>793</v>
      </c>
      <c r="R162">
        <v>27</v>
      </c>
      <c r="S162" t="str">
        <v>Red</v>
      </c>
      <c r="T162">
        <v>4423</v>
      </c>
    </row>
    <row r="163" spans="1:20" x14ac:dyDescent="0.2">
      <c r="A163" t="s">
        <v>794</v>
      </c>
      <c r="R163">
        <v>27</v>
      </c>
      <c r="S163" t="str">
        <v>Red</v>
      </c>
      <c r="T163">
        <v>648</v>
      </c>
    </row>
    <row r="164" spans="1:20" x14ac:dyDescent="0.2">
      <c r="A164" t="s">
        <v>795</v>
      </c>
      <c r="R164">
        <v>27</v>
      </c>
      <c r="S164" t="str">
        <v>Blue</v>
      </c>
      <c r="T164">
        <v>4655</v>
      </c>
    </row>
    <row r="165" spans="1:20" x14ac:dyDescent="0.2">
      <c r="A165" t="s">
        <v>796</v>
      </c>
      <c r="R165">
        <v>27</v>
      </c>
      <c r="S165" t="str">
        <v>Blue</v>
      </c>
      <c r="T165">
        <v>5442</v>
      </c>
    </row>
    <row r="166" spans="1:20" x14ac:dyDescent="0.2">
      <c r="A166" t="s">
        <v>797</v>
      </c>
      <c r="R166">
        <v>27</v>
      </c>
      <c r="S166" t="str">
        <v>Blue</v>
      </c>
      <c r="T166">
        <v>8096</v>
      </c>
    </row>
    <row r="167" spans="1:20" x14ac:dyDescent="0.2">
      <c r="A167" t="s">
        <v>798</v>
      </c>
      <c r="R167">
        <v>28</v>
      </c>
      <c r="S167" t="str">
        <v>Red</v>
      </c>
      <c r="T167">
        <v>2481</v>
      </c>
    </row>
    <row r="168" spans="1:20" x14ac:dyDescent="0.2">
      <c r="A168" t="s">
        <v>799</v>
      </c>
      <c r="R168">
        <v>28</v>
      </c>
      <c r="S168" t="str">
        <v>Red</v>
      </c>
      <c r="T168">
        <v>3284</v>
      </c>
    </row>
    <row r="169" spans="1:20" x14ac:dyDescent="0.2">
      <c r="A169" t="s">
        <v>800</v>
      </c>
      <c r="R169">
        <v>28</v>
      </c>
      <c r="S169" t="str">
        <v>Red</v>
      </c>
      <c r="T169">
        <v>1625</v>
      </c>
    </row>
    <row r="170" spans="1:20" x14ac:dyDescent="0.2">
      <c r="A170" t="s">
        <v>801</v>
      </c>
      <c r="R170">
        <v>28</v>
      </c>
      <c r="S170" t="str">
        <v>Blue</v>
      </c>
      <c r="T170">
        <v>4213</v>
      </c>
    </row>
    <row r="171" spans="1:20" x14ac:dyDescent="0.2">
      <c r="A171" t="s">
        <v>802</v>
      </c>
      <c r="R171">
        <v>28</v>
      </c>
      <c r="S171" t="str">
        <v>Blue</v>
      </c>
      <c r="T171">
        <v>2040</v>
      </c>
    </row>
    <row r="172" spans="1:20" x14ac:dyDescent="0.2">
      <c r="A172" t="s">
        <v>803</v>
      </c>
      <c r="R172">
        <v>28</v>
      </c>
      <c r="S172" t="str">
        <v>Blue</v>
      </c>
      <c r="T172">
        <v>2039</v>
      </c>
    </row>
    <row r="173" spans="1:20" x14ac:dyDescent="0.2">
      <c r="A173" t="s">
        <v>804</v>
      </c>
      <c r="R173">
        <v>29</v>
      </c>
      <c r="S173" t="str">
        <v>Red</v>
      </c>
      <c r="T173">
        <v>4143</v>
      </c>
    </row>
    <row r="174" spans="1:20" x14ac:dyDescent="0.2">
      <c r="A174" t="s">
        <v>805</v>
      </c>
      <c r="R174">
        <v>29</v>
      </c>
      <c r="S174" t="str">
        <v>Red</v>
      </c>
      <c r="T174">
        <v>8719</v>
      </c>
    </row>
    <row r="175" spans="1:20" x14ac:dyDescent="0.2">
      <c r="A175" t="s">
        <v>806</v>
      </c>
      <c r="R175">
        <v>29</v>
      </c>
      <c r="S175" t="str">
        <v>Red</v>
      </c>
      <c r="T175">
        <v>3488</v>
      </c>
    </row>
    <row r="176" spans="1:20" x14ac:dyDescent="0.2">
      <c r="A176" t="s">
        <v>807</v>
      </c>
      <c r="R176">
        <v>29</v>
      </c>
      <c r="S176" t="str">
        <v>Blue</v>
      </c>
      <c r="T176">
        <v>6651</v>
      </c>
    </row>
    <row r="177" spans="1:20" x14ac:dyDescent="0.2">
      <c r="A177" t="s">
        <v>808</v>
      </c>
      <c r="R177">
        <v>29</v>
      </c>
      <c r="S177" t="str">
        <v>Blue</v>
      </c>
      <c r="T177">
        <v>4787</v>
      </c>
    </row>
    <row r="178" spans="1:20" x14ac:dyDescent="0.2">
      <c r="A178" t="s">
        <v>809</v>
      </c>
      <c r="R178">
        <v>29</v>
      </c>
      <c r="S178" t="str">
        <v>Blue</v>
      </c>
      <c r="T178">
        <v>3067</v>
      </c>
    </row>
    <row r="179" spans="1:20" x14ac:dyDescent="0.2">
      <c r="A179" t="s">
        <v>810</v>
      </c>
      <c r="R179">
        <v>30</v>
      </c>
      <c r="S179" t="str">
        <v>Red</v>
      </c>
      <c r="T179">
        <v>2022</v>
      </c>
    </row>
    <row r="180" spans="1:20" x14ac:dyDescent="0.2">
      <c r="A180" t="s">
        <v>811</v>
      </c>
      <c r="R180">
        <v>30</v>
      </c>
      <c r="S180" t="str">
        <v>Red</v>
      </c>
      <c r="T180">
        <v>4096</v>
      </c>
    </row>
    <row r="181" spans="1:20" x14ac:dyDescent="0.2">
      <c r="A181" t="s">
        <v>812</v>
      </c>
      <c r="R181">
        <v>30</v>
      </c>
      <c r="S181" t="str">
        <v>Red</v>
      </c>
      <c r="T181">
        <v>8020</v>
      </c>
    </row>
    <row r="182" spans="1:20" x14ac:dyDescent="0.2">
      <c r="A182" t="s">
        <v>813</v>
      </c>
      <c r="R182">
        <v>30</v>
      </c>
      <c r="S182" t="str">
        <v>Blue</v>
      </c>
      <c r="T182">
        <v>7848</v>
      </c>
    </row>
    <row r="183" spans="1:20" x14ac:dyDescent="0.2">
      <c r="A183" t="s">
        <v>814</v>
      </c>
      <c r="R183">
        <v>30</v>
      </c>
      <c r="S183" t="str">
        <v>Blue</v>
      </c>
      <c r="T183">
        <v>1736</v>
      </c>
    </row>
    <row r="184" spans="1:20" x14ac:dyDescent="0.2">
      <c r="A184" t="s">
        <v>815</v>
      </c>
      <c r="R184">
        <v>30</v>
      </c>
      <c r="S184" t="str">
        <v>Blue</v>
      </c>
      <c r="T184">
        <v>4645</v>
      </c>
    </row>
    <row r="185" spans="1:20" x14ac:dyDescent="0.2">
      <c r="A185" t="s">
        <v>816</v>
      </c>
      <c r="R185">
        <v>31</v>
      </c>
      <c r="S185" t="str">
        <v>Red</v>
      </c>
      <c r="T185">
        <v>7417</v>
      </c>
    </row>
    <row r="186" spans="1:20" x14ac:dyDescent="0.2">
      <c r="A186" t="s">
        <v>817</v>
      </c>
      <c r="R186">
        <v>31</v>
      </c>
      <c r="S186" t="str">
        <v>Red</v>
      </c>
      <c r="T186">
        <v>2861</v>
      </c>
    </row>
    <row r="187" spans="1:20" x14ac:dyDescent="0.2">
      <c r="A187" t="s">
        <v>818</v>
      </c>
      <c r="R187">
        <v>31</v>
      </c>
      <c r="S187" t="str">
        <v>Red</v>
      </c>
      <c r="T187">
        <v>1756</v>
      </c>
    </row>
    <row r="188" spans="1:20" x14ac:dyDescent="0.2">
      <c r="A188" t="s">
        <v>819</v>
      </c>
      <c r="R188">
        <v>31</v>
      </c>
      <c r="S188" t="str">
        <v>Blue</v>
      </c>
      <c r="T188">
        <v>4156</v>
      </c>
    </row>
    <row r="189" spans="1:20" x14ac:dyDescent="0.2">
      <c r="A189" t="s">
        <v>820</v>
      </c>
      <c r="R189">
        <v>31</v>
      </c>
      <c r="S189" t="str">
        <v>Blue</v>
      </c>
      <c r="T189">
        <v>7472</v>
      </c>
    </row>
    <row r="190" spans="1:20" x14ac:dyDescent="0.2">
      <c r="A190" t="s">
        <v>821</v>
      </c>
      <c r="R190">
        <v>31</v>
      </c>
      <c r="S190" t="str">
        <v>Blue</v>
      </c>
      <c r="T190">
        <v>6237</v>
      </c>
    </row>
    <row r="191" spans="1:20" x14ac:dyDescent="0.2">
      <c r="A191" t="s">
        <v>822</v>
      </c>
      <c r="R191">
        <v>32</v>
      </c>
      <c r="S191" t="str">
        <v>Red</v>
      </c>
      <c r="T191">
        <v>1625</v>
      </c>
    </row>
    <row r="192" spans="1:20" x14ac:dyDescent="0.2">
      <c r="A192" t="s">
        <v>823</v>
      </c>
      <c r="R192">
        <v>32</v>
      </c>
      <c r="S192" t="str">
        <v>Red</v>
      </c>
      <c r="T192">
        <v>9082</v>
      </c>
    </row>
    <row r="193" spans="1:20" x14ac:dyDescent="0.2">
      <c r="A193" t="s">
        <v>824</v>
      </c>
      <c r="R193">
        <v>32</v>
      </c>
      <c r="S193" t="str">
        <v>Red</v>
      </c>
      <c r="T193">
        <v>2039</v>
      </c>
    </row>
    <row r="194" spans="1:20" x14ac:dyDescent="0.2">
      <c r="A194" t="s">
        <v>825</v>
      </c>
      <c r="R194">
        <v>32</v>
      </c>
      <c r="S194" t="str">
        <v>Blue</v>
      </c>
      <c r="T194">
        <v>3284</v>
      </c>
    </row>
    <row r="195" spans="1:20" x14ac:dyDescent="0.2">
      <c r="A195" t="s">
        <v>826</v>
      </c>
      <c r="R195">
        <v>32</v>
      </c>
      <c r="S195" t="str">
        <v>Blue</v>
      </c>
      <c r="T195">
        <v>8029</v>
      </c>
    </row>
    <row r="196" spans="1:20" x14ac:dyDescent="0.2">
      <c r="A196" t="s">
        <v>827</v>
      </c>
      <c r="R196">
        <v>32</v>
      </c>
      <c r="S196" t="str">
        <v>Blue</v>
      </c>
      <c r="T196">
        <v>8096</v>
      </c>
    </row>
    <row r="197" spans="1:20" x14ac:dyDescent="0.2">
      <c r="A197" t="s">
        <v>828</v>
      </c>
      <c r="R197">
        <v>33</v>
      </c>
      <c r="S197" t="str">
        <v>Red</v>
      </c>
      <c r="T197">
        <v>2481</v>
      </c>
    </row>
    <row r="198" spans="1:20" x14ac:dyDescent="0.2">
      <c r="A198" t="s">
        <v>829</v>
      </c>
      <c r="R198">
        <v>33</v>
      </c>
      <c r="S198" t="str">
        <v>Red</v>
      </c>
      <c r="T198">
        <v>3488</v>
      </c>
    </row>
    <row r="199" spans="1:20" x14ac:dyDescent="0.2">
      <c r="A199" t="s">
        <v>830</v>
      </c>
      <c r="R199">
        <v>33</v>
      </c>
      <c r="S199" t="str">
        <v>Red</v>
      </c>
      <c r="T199">
        <v>2022</v>
      </c>
    </row>
    <row r="200" spans="1:20" x14ac:dyDescent="0.2">
      <c r="A200" t="s">
        <v>831</v>
      </c>
      <c r="R200">
        <v>33</v>
      </c>
      <c r="S200" t="str">
        <v>Blue</v>
      </c>
      <c r="T200">
        <v>8020</v>
      </c>
    </row>
    <row r="201" spans="1:20" x14ac:dyDescent="0.2">
      <c r="A201" t="s">
        <v>832</v>
      </c>
      <c r="R201">
        <v>33</v>
      </c>
      <c r="S201" t="str">
        <v>Blue</v>
      </c>
      <c r="T201">
        <v>1736</v>
      </c>
    </row>
    <row r="202" spans="1:20" x14ac:dyDescent="0.2">
      <c r="A202" t="s">
        <v>833</v>
      </c>
      <c r="R202">
        <v>33</v>
      </c>
      <c r="S202" t="str">
        <v>Blue</v>
      </c>
      <c r="T202">
        <v>4787</v>
      </c>
    </row>
    <row r="203" spans="1:20" x14ac:dyDescent="0.2">
      <c r="A203" t="s">
        <v>834</v>
      </c>
      <c r="R203">
        <v>34</v>
      </c>
      <c r="S203" t="str">
        <v>Red</v>
      </c>
      <c r="T203">
        <v>2040</v>
      </c>
    </row>
    <row r="204" spans="1:20" x14ac:dyDescent="0.2">
      <c r="A204" t="s">
        <v>835</v>
      </c>
      <c r="R204">
        <v>34</v>
      </c>
      <c r="S204" t="str">
        <v>Red</v>
      </c>
      <c r="T204">
        <v>648</v>
      </c>
    </row>
    <row r="205" spans="1:20" x14ac:dyDescent="0.2">
      <c r="A205" t="s">
        <v>836</v>
      </c>
      <c r="R205">
        <v>34</v>
      </c>
      <c r="S205" t="str">
        <v>Red</v>
      </c>
      <c r="T205">
        <v>6237</v>
      </c>
    </row>
    <row r="206" spans="1:20" x14ac:dyDescent="0.2">
      <c r="A206" t="s">
        <v>837</v>
      </c>
      <c r="R206">
        <v>34</v>
      </c>
      <c r="S206" t="str">
        <v>Blue</v>
      </c>
      <c r="T206">
        <v>4143</v>
      </c>
    </row>
    <row r="207" spans="1:20" x14ac:dyDescent="0.2">
      <c r="A207" t="s">
        <v>838</v>
      </c>
      <c r="R207">
        <v>34</v>
      </c>
      <c r="S207" t="str">
        <v>Blue</v>
      </c>
      <c r="T207">
        <v>4645</v>
      </c>
    </row>
    <row r="208" spans="1:20" x14ac:dyDescent="0.2">
      <c r="A208" t="s">
        <v>839</v>
      </c>
      <c r="R208">
        <v>34</v>
      </c>
      <c r="S208" t="str">
        <v>Blue</v>
      </c>
      <c r="T208">
        <v>7417</v>
      </c>
    </row>
    <row r="209" spans="1:20" x14ac:dyDescent="0.2">
      <c r="A209" t="s">
        <v>840</v>
      </c>
      <c r="R209">
        <v>35</v>
      </c>
      <c r="S209" t="str">
        <v>Red</v>
      </c>
      <c r="T209">
        <v>5442</v>
      </c>
    </row>
    <row r="210" spans="1:20" x14ac:dyDescent="0.2">
      <c r="A210" t="s">
        <v>841</v>
      </c>
      <c r="R210">
        <v>35</v>
      </c>
      <c r="S210" t="str">
        <v>Red</v>
      </c>
      <c r="T210">
        <v>3067</v>
      </c>
    </row>
    <row r="211" spans="1:20" x14ac:dyDescent="0.2">
      <c r="A211" t="s">
        <v>842</v>
      </c>
      <c r="R211">
        <v>35</v>
      </c>
      <c r="S211" t="str">
        <v>Red</v>
      </c>
      <c r="T211">
        <v>4423</v>
      </c>
    </row>
    <row r="212" spans="1:20" x14ac:dyDescent="0.2">
      <c r="A212" t="s">
        <v>843</v>
      </c>
      <c r="R212">
        <v>35</v>
      </c>
      <c r="S212" t="str">
        <v>Blue</v>
      </c>
      <c r="T212">
        <v>4096</v>
      </c>
    </row>
    <row r="213" spans="1:20" x14ac:dyDescent="0.2">
      <c r="A213" t="s">
        <v>844</v>
      </c>
      <c r="R213">
        <v>35</v>
      </c>
      <c r="S213" t="str">
        <v>Blue</v>
      </c>
      <c r="T213">
        <v>6651</v>
      </c>
    </row>
    <row r="214" spans="1:20" x14ac:dyDescent="0.2">
      <c r="A214" t="s">
        <v>845</v>
      </c>
      <c r="R214">
        <v>35</v>
      </c>
      <c r="S214" t="str">
        <v>Blue</v>
      </c>
      <c r="T214">
        <v>1756</v>
      </c>
    </row>
    <row r="215" spans="1:20" x14ac:dyDescent="0.2">
      <c r="A215" t="s">
        <v>846</v>
      </c>
      <c r="R215">
        <v>36</v>
      </c>
      <c r="S215" t="str">
        <v>Red</v>
      </c>
      <c r="T215">
        <v>4655</v>
      </c>
    </row>
    <row r="216" spans="1:20" x14ac:dyDescent="0.2">
      <c r="A216" t="s">
        <v>847</v>
      </c>
      <c r="R216">
        <v>36</v>
      </c>
      <c r="S216" t="str">
        <v>Red</v>
      </c>
      <c r="T216">
        <v>4156</v>
      </c>
    </row>
    <row r="217" spans="1:20" x14ac:dyDescent="0.2">
      <c r="A217" t="s">
        <v>848</v>
      </c>
      <c r="R217">
        <v>36</v>
      </c>
      <c r="S217" t="str">
        <v>Red</v>
      </c>
      <c r="T217">
        <v>7848</v>
      </c>
    </row>
    <row r="218" spans="1:20" x14ac:dyDescent="0.2">
      <c r="A218" t="s">
        <v>849</v>
      </c>
      <c r="R218">
        <v>36</v>
      </c>
      <c r="S218" t="str">
        <v>Blue</v>
      </c>
      <c r="T218">
        <v>4213</v>
      </c>
    </row>
    <row r="219" spans="1:20" x14ac:dyDescent="0.2">
      <c r="A219" t="s">
        <v>850</v>
      </c>
      <c r="R219">
        <v>36</v>
      </c>
      <c r="S219" t="str">
        <v>Blue</v>
      </c>
      <c r="T219">
        <v>2861</v>
      </c>
    </row>
    <row r="220" spans="1:20" x14ac:dyDescent="0.2">
      <c r="A220" t="s">
        <v>851</v>
      </c>
      <c r="R220">
        <v>36</v>
      </c>
      <c r="S220" t="str">
        <v>Blue</v>
      </c>
      <c r="T220">
        <v>8719</v>
      </c>
    </row>
    <row r="221" spans="1:20" x14ac:dyDescent="0.2">
      <c r="A221" t="s">
        <v>852</v>
      </c>
      <c r="R221">
        <v>37</v>
      </c>
      <c r="S221" t="str">
        <v>Red</v>
      </c>
      <c r="T221">
        <v>2040</v>
      </c>
    </row>
    <row r="222" spans="1:20" x14ac:dyDescent="0.2">
      <c r="A222" t="s">
        <v>853</v>
      </c>
      <c r="R222">
        <v>37</v>
      </c>
      <c r="S222" t="str">
        <v>Red</v>
      </c>
      <c r="T222">
        <v>7417</v>
      </c>
    </row>
    <row r="223" spans="1:20" x14ac:dyDescent="0.2">
      <c r="A223" t="s">
        <v>854</v>
      </c>
      <c r="R223">
        <v>37</v>
      </c>
      <c r="S223" t="str">
        <v>Red</v>
      </c>
      <c r="T223">
        <v>1736</v>
      </c>
    </row>
    <row r="224" spans="1:20" x14ac:dyDescent="0.2">
      <c r="A224" t="s">
        <v>855</v>
      </c>
      <c r="R224">
        <v>37</v>
      </c>
      <c r="S224" t="str">
        <v>Blue</v>
      </c>
      <c r="T224">
        <v>7472</v>
      </c>
    </row>
    <row r="225" spans="1:20" x14ac:dyDescent="0.2">
      <c r="A225" t="s">
        <v>856</v>
      </c>
      <c r="R225">
        <v>37</v>
      </c>
      <c r="S225" t="str">
        <v>Blue</v>
      </c>
      <c r="T225">
        <v>9082</v>
      </c>
    </row>
    <row r="226" spans="1:20" x14ac:dyDescent="0.2">
      <c r="A226" t="s">
        <v>857</v>
      </c>
      <c r="R226">
        <v>37</v>
      </c>
      <c r="S226" t="str">
        <v>Blue</v>
      </c>
      <c r="T226">
        <v>8096</v>
      </c>
    </row>
    <row r="227" spans="1:20" x14ac:dyDescent="0.2">
      <c r="A227" t="s">
        <v>858</v>
      </c>
      <c r="R227">
        <v>38</v>
      </c>
      <c r="S227" t="str">
        <v>Red</v>
      </c>
      <c r="T227">
        <v>5442</v>
      </c>
    </row>
    <row r="228" spans="1:20" x14ac:dyDescent="0.2">
      <c r="A228" t="s">
        <v>859</v>
      </c>
      <c r="R228">
        <v>38</v>
      </c>
      <c r="S228" t="str">
        <v>Red</v>
      </c>
      <c r="T228">
        <v>1625</v>
      </c>
    </row>
    <row r="229" spans="1:20" x14ac:dyDescent="0.2">
      <c r="A229" t="s">
        <v>860</v>
      </c>
      <c r="R229">
        <v>38</v>
      </c>
      <c r="S229" t="str">
        <v>Red</v>
      </c>
      <c r="T229">
        <v>8020</v>
      </c>
    </row>
    <row r="230" spans="1:20" x14ac:dyDescent="0.2">
      <c r="A230" t="s">
        <v>861</v>
      </c>
      <c r="R230">
        <v>38</v>
      </c>
      <c r="S230" t="str">
        <v>Blue</v>
      </c>
      <c r="T230">
        <v>4787</v>
      </c>
    </row>
    <row r="231" spans="1:20" x14ac:dyDescent="0.2">
      <c r="A231" t="s">
        <v>862</v>
      </c>
      <c r="R231">
        <v>38</v>
      </c>
      <c r="S231" t="str">
        <v>Blue</v>
      </c>
      <c r="T231">
        <v>1756</v>
      </c>
    </row>
    <row r="232" spans="1:20" x14ac:dyDescent="0.2">
      <c r="A232" t="s">
        <v>863</v>
      </c>
      <c r="R232">
        <v>38</v>
      </c>
      <c r="S232" t="str">
        <v>Blue</v>
      </c>
      <c r="T232">
        <v>4143</v>
      </c>
    </row>
    <row r="233" spans="1:20" x14ac:dyDescent="0.2">
      <c r="A233" t="s">
        <v>864</v>
      </c>
      <c r="R233">
        <v>39</v>
      </c>
      <c r="S233" t="str">
        <v>Red</v>
      </c>
      <c r="T233">
        <v>648</v>
      </c>
    </row>
    <row r="234" spans="1:20" x14ac:dyDescent="0.2">
      <c r="A234" t="s">
        <v>865</v>
      </c>
      <c r="R234">
        <v>39</v>
      </c>
      <c r="S234" t="str">
        <v>Red</v>
      </c>
      <c r="T234">
        <v>2481</v>
      </c>
    </row>
    <row r="235" spans="1:20" x14ac:dyDescent="0.2">
      <c r="A235" t="s">
        <v>866</v>
      </c>
      <c r="R235">
        <v>39</v>
      </c>
      <c r="S235" t="str">
        <v>Red</v>
      </c>
      <c r="T235">
        <v>3067</v>
      </c>
    </row>
    <row r="236" spans="1:20" x14ac:dyDescent="0.2">
      <c r="A236" t="s">
        <v>867</v>
      </c>
      <c r="R236">
        <v>39</v>
      </c>
      <c r="S236" t="str">
        <v>Blue</v>
      </c>
      <c r="T236">
        <v>2022</v>
      </c>
    </row>
    <row r="237" spans="1:20" x14ac:dyDescent="0.2">
      <c r="A237" t="s">
        <v>868</v>
      </c>
      <c r="R237">
        <v>39</v>
      </c>
      <c r="S237" t="str">
        <v>Blue</v>
      </c>
      <c r="T237">
        <v>6237</v>
      </c>
    </row>
    <row r="238" spans="1:20" x14ac:dyDescent="0.2">
      <c r="A238" t="s">
        <v>869</v>
      </c>
      <c r="R238">
        <v>39</v>
      </c>
      <c r="S238" t="str">
        <v>Blue</v>
      </c>
      <c r="T238">
        <v>2861</v>
      </c>
    </row>
    <row r="239" spans="1:20" x14ac:dyDescent="0.2">
      <c r="A239" t="s">
        <v>870</v>
      </c>
      <c r="R239">
        <v>40</v>
      </c>
      <c r="S239" t="str">
        <v>Red</v>
      </c>
      <c r="T239">
        <v>4645</v>
      </c>
    </row>
    <row r="240" spans="1:20" x14ac:dyDescent="0.2">
      <c r="A240" t="s">
        <v>871</v>
      </c>
      <c r="R240">
        <v>40</v>
      </c>
      <c r="S240" t="str">
        <v>Red</v>
      </c>
      <c r="T240">
        <v>4156</v>
      </c>
    </row>
    <row r="241" spans="1:20" x14ac:dyDescent="0.2">
      <c r="A241" t="s">
        <v>872</v>
      </c>
      <c r="R241">
        <v>40</v>
      </c>
      <c r="S241" t="str">
        <v>Red</v>
      </c>
      <c r="T241">
        <v>6651</v>
      </c>
    </row>
    <row r="242" spans="1:20" x14ac:dyDescent="0.2">
      <c r="A242" t="s">
        <v>873</v>
      </c>
      <c r="R242">
        <v>40</v>
      </c>
      <c r="S242" t="str">
        <v>Blue</v>
      </c>
      <c r="T242">
        <v>4423</v>
      </c>
    </row>
    <row r="243" spans="1:20" x14ac:dyDescent="0.2">
      <c r="A243" t="s">
        <v>874</v>
      </c>
      <c r="R243">
        <v>40</v>
      </c>
      <c r="S243" t="str">
        <v>Blue</v>
      </c>
      <c r="T243">
        <v>4213</v>
      </c>
    </row>
    <row r="244" spans="1:20" x14ac:dyDescent="0.2">
      <c r="A244" t="s">
        <v>875</v>
      </c>
      <c r="R244">
        <v>40</v>
      </c>
      <c r="S244" t="str">
        <v>Blue</v>
      </c>
      <c r="T244">
        <v>8029</v>
      </c>
    </row>
    <row r="245" spans="1:20" x14ac:dyDescent="0.2">
      <c r="A245" t="s">
        <v>876</v>
      </c>
      <c r="R245">
        <v>41</v>
      </c>
      <c r="S245" t="str">
        <v>Red</v>
      </c>
      <c r="T245">
        <v>7848</v>
      </c>
    </row>
    <row r="246" spans="1:20" x14ac:dyDescent="0.2">
      <c r="A246" t="s">
        <v>877</v>
      </c>
      <c r="R246">
        <v>41</v>
      </c>
      <c r="S246" t="str">
        <v>Red</v>
      </c>
      <c r="T246">
        <v>2039</v>
      </c>
    </row>
    <row r="247" spans="1:20" x14ac:dyDescent="0.2">
      <c r="A247" t="s">
        <v>878</v>
      </c>
      <c r="R247">
        <v>41</v>
      </c>
      <c r="S247" t="str">
        <v>Red</v>
      </c>
      <c r="T247">
        <v>8719</v>
      </c>
    </row>
    <row r="248" spans="1:20" x14ac:dyDescent="0.2">
      <c r="A248" t="s">
        <v>879</v>
      </c>
      <c r="R248">
        <v>41</v>
      </c>
      <c r="S248" t="str">
        <v>Blue</v>
      </c>
      <c r="T248">
        <v>3488</v>
      </c>
    </row>
    <row r="249" spans="1:20" x14ac:dyDescent="0.2">
      <c r="A249" t="s">
        <v>880</v>
      </c>
      <c r="R249">
        <v>41</v>
      </c>
      <c r="S249" t="str">
        <v>Blue</v>
      </c>
      <c r="T249">
        <v>4655</v>
      </c>
    </row>
    <row r="250" spans="1:20" x14ac:dyDescent="0.2">
      <c r="A250" t="s">
        <v>881</v>
      </c>
      <c r="R250">
        <v>41</v>
      </c>
      <c r="S250" t="str">
        <v>Blue</v>
      </c>
      <c r="T250">
        <v>4096</v>
      </c>
    </row>
    <row r="251" spans="1:20" x14ac:dyDescent="0.2">
      <c r="A251" t="s">
        <v>882</v>
      </c>
      <c r="R251">
        <v>42</v>
      </c>
      <c r="S251" t="str">
        <v>Red</v>
      </c>
      <c r="T251">
        <v>648</v>
      </c>
    </row>
    <row r="252" spans="1:20" x14ac:dyDescent="0.2">
      <c r="A252" t="s">
        <v>883</v>
      </c>
      <c r="R252">
        <v>42</v>
      </c>
      <c r="S252" t="str">
        <v>Red</v>
      </c>
      <c r="T252">
        <v>3284</v>
      </c>
    </row>
    <row r="253" spans="1:20" x14ac:dyDescent="0.2">
      <c r="A253" t="s">
        <v>884</v>
      </c>
      <c r="R253">
        <v>42</v>
      </c>
      <c r="S253" t="str">
        <v>Red</v>
      </c>
      <c r="T253">
        <v>9082</v>
      </c>
    </row>
    <row r="254" spans="1:20" x14ac:dyDescent="0.2">
      <c r="A254" t="s">
        <v>885</v>
      </c>
      <c r="R254">
        <v>42</v>
      </c>
      <c r="S254" t="str">
        <v>Blue</v>
      </c>
      <c r="T254">
        <v>7472</v>
      </c>
    </row>
    <row r="255" spans="1:20" x14ac:dyDescent="0.2">
      <c r="A255" t="s">
        <v>886</v>
      </c>
      <c r="R255">
        <v>42</v>
      </c>
      <c r="S255" t="str">
        <v>Blue</v>
      </c>
      <c r="T255">
        <v>8020</v>
      </c>
    </row>
    <row r="256" spans="1:20" x14ac:dyDescent="0.2">
      <c r="A256" t="s">
        <v>887</v>
      </c>
      <c r="R256">
        <v>42</v>
      </c>
      <c r="S256" t="str">
        <v>Blue</v>
      </c>
      <c r="T256">
        <v>1756</v>
      </c>
    </row>
    <row r="257" spans="1:20" x14ac:dyDescent="0.2">
      <c r="A257" t="s">
        <v>888</v>
      </c>
      <c r="R257">
        <v>43</v>
      </c>
      <c r="S257" t="str">
        <v>Red</v>
      </c>
      <c r="T257">
        <v>5442</v>
      </c>
    </row>
    <row r="258" spans="1:20" x14ac:dyDescent="0.2">
      <c r="A258" t="s">
        <v>889</v>
      </c>
      <c r="R258">
        <v>43</v>
      </c>
      <c r="S258" t="str">
        <v>Red</v>
      </c>
      <c r="T258">
        <v>7417</v>
      </c>
    </row>
    <row r="259" spans="1:20" x14ac:dyDescent="0.2">
      <c r="A259" t="s">
        <v>890</v>
      </c>
      <c r="R259">
        <v>43</v>
      </c>
      <c r="S259" t="str">
        <v>Red</v>
      </c>
      <c r="T259">
        <v>6237</v>
      </c>
    </row>
    <row r="260" spans="1:20" x14ac:dyDescent="0.2">
      <c r="A260" t="s">
        <v>891</v>
      </c>
      <c r="R260">
        <v>43</v>
      </c>
      <c r="S260" t="str">
        <v>Blue</v>
      </c>
      <c r="T260">
        <v>4156</v>
      </c>
    </row>
    <row r="261" spans="1:20" x14ac:dyDescent="0.2">
      <c r="A261" t="s">
        <v>892</v>
      </c>
      <c r="R261">
        <v>43</v>
      </c>
      <c r="S261" t="str">
        <v>Blue</v>
      </c>
      <c r="T261">
        <v>2481</v>
      </c>
    </row>
    <row r="262" spans="1:20" x14ac:dyDescent="0.2">
      <c r="A262" t="s">
        <v>893</v>
      </c>
      <c r="R262">
        <v>43</v>
      </c>
      <c r="S262" t="str">
        <v>Blue</v>
      </c>
      <c r="T262">
        <v>1736</v>
      </c>
    </row>
    <row r="263" spans="1:20" x14ac:dyDescent="0.2">
      <c r="A263" t="s">
        <v>894</v>
      </c>
      <c r="R263">
        <v>44</v>
      </c>
      <c r="S263" t="str">
        <v>Red</v>
      </c>
      <c r="T263">
        <v>8719</v>
      </c>
    </row>
    <row r="264" spans="1:20" x14ac:dyDescent="0.2">
      <c r="A264" t="s">
        <v>895</v>
      </c>
      <c r="R264">
        <v>44</v>
      </c>
      <c r="S264" t="str">
        <v>Red</v>
      </c>
      <c r="T264">
        <v>4787</v>
      </c>
    </row>
    <row r="265" spans="1:20" x14ac:dyDescent="0.2">
      <c r="A265" t="s">
        <v>896</v>
      </c>
      <c r="R265">
        <v>44</v>
      </c>
      <c r="S265" t="str">
        <v>Red</v>
      </c>
      <c r="T265">
        <v>8029</v>
      </c>
    </row>
    <row r="266" spans="1:20" x14ac:dyDescent="0.2">
      <c r="A266" t="s">
        <v>897</v>
      </c>
      <c r="R266">
        <v>44</v>
      </c>
      <c r="S266" t="str">
        <v>Blue</v>
      </c>
      <c r="T266">
        <v>7848</v>
      </c>
    </row>
    <row r="267" spans="1:20" x14ac:dyDescent="0.2">
      <c r="A267" t="s">
        <v>898</v>
      </c>
      <c r="R267">
        <v>44</v>
      </c>
      <c r="S267" t="str">
        <v>Blue</v>
      </c>
      <c r="T267">
        <v>1625</v>
      </c>
    </row>
    <row r="268" spans="1:20" x14ac:dyDescent="0.2">
      <c r="A268" t="s">
        <v>899</v>
      </c>
      <c r="R268">
        <v>44</v>
      </c>
      <c r="S268" t="str">
        <v>Blue</v>
      </c>
      <c r="T268">
        <v>2040</v>
      </c>
    </row>
    <row r="269" spans="1:20" x14ac:dyDescent="0.2">
      <c r="A269" t="s">
        <v>900</v>
      </c>
      <c r="R269">
        <v>45</v>
      </c>
      <c r="S269" t="str">
        <v>Red</v>
      </c>
      <c r="T269">
        <v>4143</v>
      </c>
    </row>
    <row r="270" spans="1:20" x14ac:dyDescent="0.2">
      <c r="A270" t="s">
        <v>901</v>
      </c>
      <c r="R270">
        <v>45</v>
      </c>
      <c r="S270" t="str">
        <v>Red</v>
      </c>
      <c r="T270">
        <v>4096</v>
      </c>
    </row>
    <row r="271" spans="1:20" x14ac:dyDescent="0.2">
      <c r="A271" t="s">
        <v>902</v>
      </c>
      <c r="R271">
        <v>45</v>
      </c>
      <c r="S271" t="str">
        <v>Red</v>
      </c>
      <c r="T271">
        <v>7472</v>
      </c>
    </row>
    <row r="272" spans="1:20" x14ac:dyDescent="0.2">
      <c r="A272" t="s">
        <v>903</v>
      </c>
      <c r="R272">
        <v>45</v>
      </c>
      <c r="S272" t="str">
        <v>Blue</v>
      </c>
      <c r="T272">
        <v>2861</v>
      </c>
    </row>
    <row r="273" spans="1:20" x14ac:dyDescent="0.2">
      <c r="A273" t="s">
        <v>904</v>
      </c>
      <c r="R273">
        <v>45</v>
      </c>
      <c r="S273" t="str">
        <v>Blue</v>
      </c>
      <c r="T273">
        <v>2022</v>
      </c>
    </row>
    <row r="274" spans="1:20" x14ac:dyDescent="0.2">
      <c r="A274" t="s">
        <v>905</v>
      </c>
      <c r="R274">
        <v>45</v>
      </c>
      <c r="S274" t="str">
        <v>Blue</v>
      </c>
      <c r="T274">
        <v>3284</v>
      </c>
    </row>
    <row r="275" spans="1:20" x14ac:dyDescent="0.2">
      <c r="A275" t="s">
        <v>906</v>
      </c>
      <c r="R275">
        <v>46</v>
      </c>
      <c r="S275" t="str">
        <v>Red</v>
      </c>
      <c r="T275">
        <v>2039</v>
      </c>
    </row>
    <row r="276" spans="1:20" x14ac:dyDescent="0.2">
      <c r="A276" t="s">
        <v>907</v>
      </c>
      <c r="R276">
        <v>46</v>
      </c>
      <c r="S276" t="str">
        <v>Red</v>
      </c>
      <c r="T276">
        <v>8096</v>
      </c>
    </row>
    <row r="277" spans="1:20" x14ac:dyDescent="0.2">
      <c r="A277" t="s">
        <v>908</v>
      </c>
      <c r="R277">
        <v>46</v>
      </c>
      <c r="S277" t="str">
        <v>Red</v>
      </c>
      <c r="T277">
        <v>3067</v>
      </c>
    </row>
    <row r="278" spans="1:20" x14ac:dyDescent="0.2">
      <c r="A278" t="s">
        <v>909</v>
      </c>
      <c r="R278">
        <v>46</v>
      </c>
      <c r="S278" t="str">
        <v>Blue</v>
      </c>
      <c r="T278">
        <v>4645</v>
      </c>
    </row>
    <row r="279" spans="1:20" x14ac:dyDescent="0.2">
      <c r="A279" t="s">
        <v>910</v>
      </c>
      <c r="R279">
        <v>46</v>
      </c>
      <c r="S279" t="str">
        <v>Blue</v>
      </c>
      <c r="T279">
        <v>4213</v>
      </c>
    </row>
    <row r="280" spans="1:20" x14ac:dyDescent="0.2">
      <c r="A280" t="s">
        <v>911</v>
      </c>
      <c r="R280">
        <v>46</v>
      </c>
      <c r="S280" t="str">
        <v>Blue</v>
      </c>
      <c r="T280">
        <v>3488</v>
      </c>
    </row>
    <row r="281" spans="1:20" x14ac:dyDescent="0.2">
      <c r="A281" t="s">
        <v>912</v>
      </c>
      <c r="R281">
        <v>47</v>
      </c>
      <c r="S281" t="str">
        <v>Red</v>
      </c>
      <c r="T281">
        <v>6651</v>
      </c>
    </row>
    <row r="282" spans="1:20" x14ac:dyDescent="0.2">
      <c r="A282" t="s">
        <v>913</v>
      </c>
      <c r="R282">
        <v>47</v>
      </c>
      <c r="S282" t="str">
        <v>Red</v>
      </c>
      <c r="T282">
        <v>4423</v>
      </c>
    </row>
    <row r="283" spans="1:20" x14ac:dyDescent="0.2">
      <c r="A283" t="s">
        <v>914</v>
      </c>
      <c r="R283">
        <v>47</v>
      </c>
      <c r="S283" t="str">
        <v>Red</v>
      </c>
      <c r="T283">
        <v>1736</v>
      </c>
    </row>
    <row r="284" spans="1:20" x14ac:dyDescent="0.2">
      <c r="A284" t="s">
        <v>915</v>
      </c>
      <c r="R284">
        <v>47</v>
      </c>
      <c r="S284" t="str">
        <v>Blue</v>
      </c>
      <c r="T284">
        <v>4655</v>
      </c>
    </row>
    <row r="285" spans="1:20" x14ac:dyDescent="0.2">
      <c r="A285" t="s">
        <v>916</v>
      </c>
      <c r="R285">
        <v>47</v>
      </c>
      <c r="S285" t="str">
        <v>Blue</v>
      </c>
      <c r="T285">
        <v>6237</v>
      </c>
    </row>
    <row r="286" spans="1:20" x14ac:dyDescent="0.2">
      <c r="A286" t="s">
        <v>917</v>
      </c>
      <c r="R286">
        <v>47</v>
      </c>
      <c r="S286" t="str">
        <v>Blue</v>
      </c>
      <c r="T286">
        <v>1625</v>
      </c>
    </row>
    <row r="287" spans="1:20" x14ac:dyDescent="0.2">
      <c r="A287" t="s">
        <v>918</v>
      </c>
      <c r="R287">
        <v>48</v>
      </c>
      <c r="S287" t="str">
        <v>Red</v>
      </c>
      <c r="T287">
        <v>8719</v>
      </c>
    </row>
    <row r="288" spans="1:20" x14ac:dyDescent="0.2">
      <c r="A288" t="s">
        <v>919</v>
      </c>
      <c r="R288">
        <v>48</v>
      </c>
      <c r="S288" t="str">
        <v>Red</v>
      </c>
      <c r="T288">
        <v>648</v>
      </c>
    </row>
    <row r="289" spans="1:20" x14ac:dyDescent="0.2">
      <c r="A289" t="s">
        <v>920</v>
      </c>
      <c r="R289">
        <v>48</v>
      </c>
      <c r="S289" t="str">
        <v>Red</v>
      </c>
      <c r="T289">
        <v>4096</v>
      </c>
    </row>
    <row r="290" spans="1:20" x14ac:dyDescent="0.2">
      <c r="A290" t="s">
        <v>921</v>
      </c>
      <c r="R290">
        <v>48</v>
      </c>
      <c r="S290" t="str">
        <v>Blue</v>
      </c>
      <c r="T290">
        <v>8020</v>
      </c>
    </row>
    <row r="291" spans="1:20" x14ac:dyDescent="0.2">
      <c r="A291" t="s">
        <v>922</v>
      </c>
      <c r="R291">
        <v>48</v>
      </c>
      <c r="S291" t="str">
        <v>Blue</v>
      </c>
      <c r="T291">
        <v>7848</v>
      </c>
    </row>
    <row r="292" spans="1:20" x14ac:dyDescent="0.2">
      <c r="A292" t="s">
        <v>923</v>
      </c>
      <c r="R292">
        <v>48</v>
      </c>
      <c r="S292" t="str">
        <v>Blue</v>
      </c>
      <c r="T292">
        <v>3284</v>
      </c>
    </row>
    <row r="293" spans="1:20" x14ac:dyDescent="0.2">
      <c r="A293" t="s">
        <v>924</v>
      </c>
      <c r="R293">
        <v>49</v>
      </c>
      <c r="S293" t="str">
        <v>Red</v>
      </c>
      <c r="T293">
        <v>3488</v>
      </c>
    </row>
    <row r="294" spans="1:20" x14ac:dyDescent="0.2">
      <c r="A294" t="s">
        <v>925</v>
      </c>
      <c r="R294">
        <v>49</v>
      </c>
      <c r="S294" t="str">
        <v>Red</v>
      </c>
      <c r="T294">
        <v>2039</v>
      </c>
    </row>
    <row r="295" spans="1:20" x14ac:dyDescent="0.2">
      <c r="A295" t="s">
        <v>926</v>
      </c>
      <c r="R295">
        <v>49</v>
      </c>
      <c r="S295" t="str">
        <v>Red</v>
      </c>
      <c r="T295">
        <v>4143</v>
      </c>
    </row>
    <row r="296" spans="1:20" x14ac:dyDescent="0.2">
      <c r="A296" t="s">
        <v>927</v>
      </c>
      <c r="R296">
        <v>49</v>
      </c>
      <c r="S296" t="str">
        <v>Blue</v>
      </c>
      <c r="T296">
        <v>3067</v>
      </c>
    </row>
    <row r="297" spans="1:20" x14ac:dyDescent="0.2">
      <c r="A297" t="s">
        <v>928</v>
      </c>
      <c r="R297">
        <v>49</v>
      </c>
      <c r="S297" t="str">
        <v>Blue</v>
      </c>
      <c r="T297">
        <v>2040</v>
      </c>
    </row>
    <row r="298" spans="1:20" x14ac:dyDescent="0.2">
      <c r="A298" t="s">
        <v>929</v>
      </c>
      <c r="R298">
        <v>49</v>
      </c>
      <c r="S298" t="str">
        <v>Blue</v>
      </c>
      <c r="T298">
        <v>4156</v>
      </c>
    </row>
    <row r="299" spans="1:20" x14ac:dyDescent="0.2">
      <c r="A299" t="s">
        <v>930</v>
      </c>
      <c r="R299">
        <v>50</v>
      </c>
      <c r="S299" t="str">
        <v>Red</v>
      </c>
      <c r="T299">
        <v>4787</v>
      </c>
    </row>
    <row r="300" spans="1:20" x14ac:dyDescent="0.2">
      <c r="A300" t="s">
        <v>931</v>
      </c>
      <c r="R300">
        <v>50</v>
      </c>
      <c r="S300" t="str">
        <v>Red</v>
      </c>
      <c r="T300">
        <v>4645</v>
      </c>
    </row>
    <row r="301" spans="1:20" x14ac:dyDescent="0.2">
      <c r="A301" t="s">
        <v>932</v>
      </c>
      <c r="R301">
        <v>50</v>
      </c>
      <c r="S301" t="str">
        <v>Red</v>
      </c>
      <c r="T301">
        <v>8096</v>
      </c>
    </row>
    <row r="302" spans="1:20" x14ac:dyDescent="0.2">
      <c r="A302" t="s">
        <v>933</v>
      </c>
      <c r="R302">
        <v>50</v>
      </c>
      <c r="S302" t="str">
        <v>Blue</v>
      </c>
      <c r="T302">
        <v>2481</v>
      </c>
    </row>
    <row r="303" spans="1:20" x14ac:dyDescent="0.2">
      <c r="A303" t="s">
        <v>934</v>
      </c>
      <c r="R303">
        <v>50</v>
      </c>
      <c r="S303" t="str">
        <v>Blue</v>
      </c>
      <c r="T303">
        <v>6651</v>
      </c>
    </row>
    <row r="304" spans="1:20" x14ac:dyDescent="0.2">
      <c r="A304" t="s">
        <v>935</v>
      </c>
      <c r="R304">
        <v>50</v>
      </c>
      <c r="S304" t="str">
        <v>Blue</v>
      </c>
      <c r="T304">
        <v>7417</v>
      </c>
    </row>
    <row r="305" spans="1:20" x14ac:dyDescent="0.2">
      <c r="A305" t="s">
        <v>936</v>
      </c>
      <c r="R305">
        <v>51</v>
      </c>
      <c r="S305" t="str">
        <v>Red</v>
      </c>
      <c r="T305">
        <v>7472</v>
      </c>
    </row>
    <row r="306" spans="1:20" x14ac:dyDescent="0.2">
      <c r="A306" t="s">
        <v>937</v>
      </c>
      <c r="R306">
        <v>51</v>
      </c>
      <c r="S306" t="str">
        <v>Red</v>
      </c>
      <c r="T306">
        <v>2022</v>
      </c>
    </row>
    <row r="307" spans="1:20" x14ac:dyDescent="0.2">
      <c r="A307" t="s">
        <v>938</v>
      </c>
      <c r="R307">
        <v>51</v>
      </c>
      <c r="S307" t="str">
        <v>Red</v>
      </c>
      <c r="T307">
        <v>4655</v>
      </c>
    </row>
    <row r="308" spans="1:20" x14ac:dyDescent="0.2">
      <c r="A308" t="s">
        <v>939</v>
      </c>
      <c r="R308">
        <v>51</v>
      </c>
      <c r="S308" t="str">
        <v>Blue</v>
      </c>
      <c r="T308">
        <v>1756</v>
      </c>
    </row>
    <row r="309" spans="1:20" x14ac:dyDescent="0.2">
      <c r="A309" t="s">
        <v>940</v>
      </c>
      <c r="R309">
        <v>51</v>
      </c>
      <c r="S309" t="str">
        <v>Blue</v>
      </c>
      <c r="T309">
        <v>8029</v>
      </c>
    </row>
    <row r="310" spans="1:20" x14ac:dyDescent="0.2">
      <c r="A310" t="s">
        <v>941</v>
      </c>
      <c r="R310">
        <v>51</v>
      </c>
      <c r="S310" t="str">
        <v>Blue</v>
      </c>
      <c r="T310">
        <v>5442</v>
      </c>
    </row>
    <row r="311" spans="1:20" x14ac:dyDescent="0.2">
      <c r="A311" t="s">
        <v>942</v>
      </c>
      <c r="R311">
        <v>52</v>
      </c>
      <c r="S311" t="str">
        <v>Red</v>
      </c>
      <c r="T311">
        <v>4423</v>
      </c>
    </row>
    <row r="312" spans="1:20" x14ac:dyDescent="0.2">
      <c r="A312" t="s">
        <v>943</v>
      </c>
      <c r="R312">
        <v>52</v>
      </c>
      <c r="S312" t="str">
        <v>Red</v>
      </c>
      <c r="T312">
        <v>2861</v>
      </c>
    </row>
    <row r="313" spans="1:20" x14ac:dyDescent="0.2">
      <c r="A313" t="s">
        <v>944</v>
      </c>
      <c r="R313">
        <v>52</v>
      </c>
      <c r="S313" t="str">
        <v>Red</v>
      </c>
      <c r="T313">
        <v>2040</v>
      </c>
    </row>
    <row r="314" spans="1:20" x14ac:dyDescent="0.2">
      <c r="A314" t="s">
        <v>945</v>
      </c>
      <c r="R314">
        <v>52</v>
      </c>
      <c r="S314" t="str">
        <v>Blue</v>
      </c>
      <c r="T314">
        <v>9082</v>
      </c>
    </row>
    <row r="315" spans="1:20" x14ac:dyDescent="0.2">
      <c r="A315" t="s">
        <v>946</v>
      </c>
      <c r="R315">
        <v>52</v>
      </c>
      <c r="S315" t="str">
        <v>Blue</v>
      </c>
      <c r="T315">
        <v>4213</v>
      </c>
    </row>
    <row r="316" spans="1:20" x14ac:dyDescent="0.2">
      <c r="A316" t="s">
        <v>947</v>
      </c>
      <c r="R316">
        <v>52</v>
      </c>
      <c r="S316" t="str">
        <v>Blue</v>
      </c>
      <c r="T316">
        <v>7848</v>
      </c>
    </row>
    <row r="317" spans="1:20" x14ac:dyDescent="0.2">
      <c r="A317" t="s">
        <v>948</v>
      </c>
      <c r="R317">
        <v>53</v>
      </c>
      <c r="S317" t="str">
        <v>Red</v>
      </c>
      <c r="T317">
        <v>4645</v>
      </c>
    </row>
    <row r="318" spans="1:20" x14ac:dyDescent="0.2">
      <c r="A318" t="s">
        <v>949</v>
      </c>
      <c r="R318">
        <v>53</v>
      </c>
      <c r="S318" t="str">
        <v>Red</v>
      </c>
      <c r="T318">
        <v>3067</v>
      </c>
    </row>
    <row r="319" spans="1:20" x14ac:dyDescent="0.2">
      <c r="A319" t="s">
        <v>950</v>
      </c>
      <c r="R319">
        <v>53</v>
      </c>
      <c r="S319" t="str">
        <v>Red</v>
      </c>
      <c r="T319">
        <v>8020</v>
      </c>
    </row>
    <row r="320" spans="1:20" x14ac:dyDescent="0.2">
      <c r="A320" t="s">
        <v>951</v>
      </c>
      <c r="R320">
        <v>53</v>
      </c>
      <c r="S320" t="str">
        <v>Blue</v>
      </c>
      <c r="T320">
        <v>4096</v>
      </c>
    </row>
    <row r="321" spans="1:20" x14ac:dyDescent="0.2">
      <c r="A321" t="s">
        <v>952</v>
      </c>
      <c r="R321">
        <v>53</v>
      </c>
      <c r="S321" t="str">
        <v>Blue</v>
      </c>
      <c r="T321">
        <v>8719</v>
      </c>
    </row>
    <row r="322" spans="1:20" x14ac:dyDescent="0.2">
      <c r="A322" t="s">
        <v>953</v>
      </c>
      <c r="R322">
        <v>53</v>
      </c>
      <c r="S322" t="str">
        <v>Blue</v>
      </c>
      <c r="T322">
        <v>3284</v>
      </c>
    </row>
    <row r="323" spans="1:20" x14ac:dyDescent="0.2">
      <c r="A323" t="s">
        <v>954</v>
      </c>
      <c r="R323">
        <v>54</v>
      </c>
      <c r="S323" t="str">
        <v>Red</v>
      </c>
      <c r="T323">
        <v>3488</v>
      </c>
    </row>
    <row r="324" spans="1:20" x14ac:dyDescent="0.2">
      <c r="A324" t="s">
        <v>955</v>
      </c>
      <c r="R324">
        <v>54</v>
      </c>
      <c r="S324" t="str">
        <v>Red</v>
      </c>
      <c r="T324">
        <v>8096</v>
      </c>
    </row>
    <row r="325" spans="1:20" x14ac:dyDescent="0.2">
      <c r="A325" t="s">
        <v>956</v>
      </c>
      <c r="R325">
        <v>54</v>
      </c>
      <c r="S325" t="str">
        <v>Red</v>
      </c>
      <c r="T325">
        <v>4156</v>
      </c>
    </row>
    <row r="326" spans="1:20" x14ac:dyDescent="0.2">
      <c r="A326" t="s">
        <v>957</v>
      </c>
      <c r="R326">
        <v>54</v>
      </c>
      <c r="S326" t="str">
        <v>Blue</v>
      </c>
      <c r="T326">
        <v>1756</v>
      </c>
    </row>
    <row r="327" spans="1:20" x14ac:dyDescent="0.2">
      <c r="A327" t="s">
        <v>958</v>
      </c>
      <c r="R327">
        <v>54</v>
      </c>
      <c r="S327" t="str">
        <v>Blue</v>
      </c>
      <c r="T327">
        <v>2022</v>
      </c>
    </row>
    <row r="328" spans="1:20" x14ac:dyDescent="0.2">
      <c r="A328" t="s">
        <v>959</v>
      </c>
      <c r="R328">
        <v>54</v>
      </c>
      <c r="S328" t="str">
        <v>Blue</v>
      </c>
      <c r="T328">
        <v>1625</v>
      </c>
    </row>
    <row r="329" spans="1:20" x14ac:dyDescent="0.2">
      <c r="A329" t="s">
        <v>960</v>
      </c>
      <c r="R329">
        <v>55</v>
      </c>
      <c r="S329" t="str">
        <v>Red</v>
      </c>
      <c r="T329">
        <v>6237</v>
      </c>
    </row>
    <row r="330" spans="1:20" x14ac:dyDescent="0.2">
      <c r="A330" t="s">
        <v>961</v>
      </c>
      <c r="R330">
        <v>55</v>
      </c>
      <c r="S330" t="str">
        <v>Red</v>
      </c>
      <c r="T330">
        <v>1736</v>
      </c>
    </row>
    <row r="331" spans="1:20" x14ac:dyDescent="0.2">
      <c r="A331" t="s">
        <v>962</v>
      </c>
      <c r="R331">
        <v>55</v>
      </c>
      <c r="S331" t="str">
        <v>Red</v>
      </c>
      <c r="T331">
        <v>8029</v>
      </c>
    </row>
    <row r="332" spans="1:20" x14ac:dyDescent="0.2">
      <c r="A332" t="s">
        <v>963</v>
      </c>
      <c r="R332">
        <v>55</v>
      </c>
      <c r="S332" t="str">
        <v>Blue</v>
      </c>
      <c r="T332">
        <v>648</v>
      </c>
    </row>
    <row r="333" spans="1:20" x14ac:dyDescent="0.2">
      <c r="A333" t="s">
        <v>964</v>
      </c>
      <c r="R333">
        <v>55</v>
      </c>
      <c r="S333" t="str">
        <v>Blue</v>
      </c>
      <c r="T333">
        <v>5442</v>
      </c>
    </row>
    <row r="334" spans="1:20" x14ac:dyDescent="0.2">
      <c r="A334" t="s">
        <v>965</v>
      </c>
      <c r="R334">
        <v>55</v>
      </c>
      <c r="S334" t="str">
        <v>Blue</v>
      </c>
      <c r="T334">
        <v>4213</v>
      </c>
    </row>
    <row r="335" spans="1:20" x14ac:dyDescent="0.2">
      <c r="A335" t="s">
        <v>966</v>
      </c>
      <c r="R335">
        <v>56</v>
      </c>
      <c r="S335" t="str">
        <v>Red</v>
      </c>
      <c r="T335">
        <v>4787</v>
      </c>
    </row>
    <row r="336" spans="1:20" x14ac:dyDescent="0.2">
      <c r="A336" t="s">
        <v>967</v>
      </c>
      <c r="R336">
        <v>56</v>
      </c>
      <c r="S336" t="str">
        <v>Red</v>
      </c>
      <c r="T336">
        <v>4423</v>
      </c>
    </row>
    <row r="337" spans="1:20" x14ac:dyDescent="0.2">
      <c r="A337" t="s">
        <v>968</v>
      </c>
      <c r="R337">
        <v>56</v>
      </c>
      <c r="S337" t="str">
        <v>Red</v>
      </c>
      <c r="T337">
        <v>7472</v>
      </c>
    </row>
    <row r="338" spans="1:20" x14ac:dyDescent="0.2">
      <c r="A338" t="s">
        <v>969</v>
      </c>
      <c r="R338">
        <v>56</v>
      </c>
      <c r="S338" t="str">
        <v>Blue</v>
      </c>
      <c r="T338">
        <v>2861</v>
      </c>
    </row>
    <row r="339" spans="1:20" x14ac:dyDescent="0.2">
      <c r="A339" t="s">
        <v>970</v>
      </c>
      <c r="R339">
        <v>56</v>
      </c>
      <c r="S339" t="str">
        <v>Blue</v>
      </c>
      <c r="T339">
        <v>2039</v>
      </c>
    </row>
    <row r="340" spans="1:20" x14ac:dyDescent="0.2">
      <c r="A340" t="s">
        <v>971</v>
      </c>
      <c r="R340">
        <v>56</v>
      </c>
      <c r="S340" t="str">
        <v>Blue</v>
      </c>
      <c r="T340">
        <v>2481</v>
      </c>
    </row>
    <row r="341" spans="1:20" x14ac:dyDescent="0.2">
      <c r="A341" t="s">
        <v>972</v>
      </c>
      <c r="R341">
        <v>57</v>
      </c>
      <c r="S341" t="str">
        <v>Red</v>
      </c>
      <c r="T341">
        <v>4655</v>
      </c>
    </row>
    <row r="342" spans="1:20" x14ac:dyDescent="0.2">
      <c r="A342" t="s">
        <v>973</v>
      </c>
      <c r="R342">
        <v>57</v>
      </c>
      <c r="S342" t="str">
        <v>Red</v>
      </c>
      <c r="T342">
        <v>6651</v>
      </c>
    </row>
    <row r="343" spans="1:20" x14ac:dyDescent="0.2">
      <c r="A343" t="s">
        <v>974</v>
      </c>
      <c r="R343">
        <v>57</v>
      </c>
      <c r="S343" t="str">
        <v>Red</v>
      </c>
      <c r="T343">
        <v>4143</v>
      </c>
    </row>
    <row r="344" spans="1:20" x14ac:dyDescent="0.2">
      <c r="A344" t="s">
        <v>975</v>
      </c>
      <c r="R344">
        <v>57</v>
      </c>
      <c r="S344" t="str">
        <v>Blue</v>
      </c>
      <c r="T344">
        <v>9082</v>
      </c>
    </row>
    <row r="345" spans="1:20" x14ac:dyDescent="0.2">
      <c r="A345" t="s">
        <v>976</v>
      </c>
      <c r="R345">
        <v>57</v>
      </c>
      <c r="S345" t="str">
        <v>Blue</v>
      </c>
      <c r="T345">
        <v>7417</v>
      </c>
    </row>
    <row r="346" spans="1:20" x14ac:dyDescent="0.2">
      <c r="A346" t="s">
        <v>977</v>
      </c>
      <c r="R346">
        <v>57</v>
      </c>
      <c r="S346" t="str">
        <v>Blue</v>
      </c>
      <c r="T346">
        <v>2022</v>
      </c>
    </row>
    <row r="347" spans="1:20" x14ac:dyDescent="0.2">
      <c r="A347" t="s">
        <v>978</v>
      </c>
      <c r="R347">
        <v>58</v>
      </c>
      <c r="S347" t="str">
        <v>Red</v>
      </c>
      <c r="T347">
        <v>8029</v>
      </c>
    </row>
    <row r="348" spans="1:20" x14ac:dyDescent="0.2">
      <c r="A348" t="s">
        <v>979</v>
      </c>
      <c r="R348">
        <v>58</v>
      </c>
      <c r="S348" t="str">
        <v>Red</v>
      </c>
      <c r="T348">
        <v>8020</v>
      </c>
    </row>
    <row r="349" spans="1:20" x14ac:dyDescent="0.2">
      <c r="A349" t="s">
        <v>980</v>
      </c>
      <c r="R349">
        <v>58</v>
      </c>
      <c r="S349" t="str">
        <v>Red</v>
      </c>
      <c r="T349">
        <v>2040</v>
      </c>
    </row>
    <row r="350" spans="1:20" x14ac:dyDescent="0.2">
      <c r="A350" t="s">
        <v>981</v>
      </c>
      <c r="R350">
        <v>58</v>
      </c>
      <c r="S350" t="str">
        <v>Blue</v>
      </c>
      <c r="T350">
        <v>6237</v>
      </c>
    </row>
    <row r="351" spans="1:20" x14ac:dyDescent="0.2">
      <c r="A351" t="s">
        <v>982</v>
      </c>
      <c r="R351">
        <v>58</v>
      </c>
      <c r="S351" t="str">
        <v>Blue</v>
      </c>
      <c r="T351">
        <v>3067</v>
      </c>
    </row>
    <row r="352" spans="1:20" x14ac:dyDescent="0.2">
      <c r="A352" t="s">
        <v>983</v>
      </c>
      <c r="R352">
        <v>58</v>
      </c>
      <c r="S352" t="str">
        <v>Blue</v>
      </c>
      <c r="T352">
        <v>4096</v>
      </c>
    </row>
    <row r="353" spans="1:20" x14ac:dyDescent="0.2">
      <c r="A353" t="s">
        <v>984</v>
      </c>
      <c r="R353">
        <v>59</v>
      </c>
      <c r="S353" t="str">
        <v>Red</v>
      </c>
      <c r="T353">
        <v>1736</v>
      </c>
    </row>
    <row r="354" spans="1:20" x14ac:dyDescent="0.2">
      <c r="A354" t="s">
        <v>985</v>
      </c>
      <c r="R354">
        <v>59</v>
      </c>
      <c r="S354" t="str">
        <v>Red</v>
      </c>
      <c r="T354">
        <v>2039</v>
      </c>
    </row>
    <row r="355" spans="1:20" x14ac:dyDescent="0.2">
      <c r="A355" t="s">
        <v>986</v>
      </c>
      <c r="R355">
        <v>59</v>
      </c>
      <c r="S355" t="str">
        <v>Red</v>
      </c>
      <c r="T355">
        <v>3284</v>
      </c>
    </row>
    <row r="356" spans="1:20" x14ac:dyDescent="0.2">
      <c r="A356" t="s">
        <v>987</v>
      </c>
      <c r="R356">
        <v>59</v>
      </c>
      <c r="S356" t="str">
        <v>Blue</v>
      </c>
      <c r="T356">
        <v>2481</v>
      </c>
    </row>
    <row r="357" spans="1:20" x14ac:dyDescent="0.2">
      <c r="A357" t="s">
        <v>988</v>
      </c>
      <c r="R357">
        <v>59</v>
      </c>
      <c r="S357" t="str">
        <v>Blue</v>
      </c>
      <c r="T357">
        <v>7848</v>
      </c>
    </row>
    <row r="358" spans="1:20" x14ac:dyDescent="0.2">
      <c r="A358" t="s">
        <v>989</v>
      </c>
      <c r="R358">
        <v>59</v>
      </c>
      <c r="S358" t="str">
        <v>Blue</v>
      </c>
      <c r="T358">
        <v>5442</v>
      </c>
    </row>
    <row r="359" spans="1:20" x14ac:dyDescent="0.2">
      <c r="A359" t="s">
        <v>990</v>
      </c>
      <c r="R359">
        <v>60</v>
      </c>
      <c r="S359" t="str">
        <v>Red</v>
      </c>
      <c r="T359">
        <v>9082</v>
      </c>
    </row>
    <row r="360" spans="1:20" x14ac:dyDescent="0.2">
      <c r="A360" t="s">
        <v>991</v>
      </c>
      <c r="R360">
        <v>60</v>
      </c>
      <c r="S360" t="str">
        <v>Red</v>
      </c>
      <c r="T360">
        <v>6651</v>
      </c>
    </row>
    <row r="361" spans="1:20" x14ac:dyDescent="0.2">
      <c r="A361" t="s">
        <v>992</v>
      </c>
      <c r="R361">
        <v>60</v>
      </c>
      <c r="S361" t="str">
        <v>Red</v>
      </c>
      <c r="T361">
        <v>3488</v>
      </c>
    </row>
    <row r="362" spans="1:20" x14ac:dyDescent="0.2">
      <c r="A362" t="s">
        <v>993</v>
      </c>
      <c r="R362">
        <v>60</v>
      </c>
      <c r="S362" t="str">
        <v>Blue</v>
      </c>
      <c r="T362">
        <v>4645</v>
      </c>
    </row>
    <row r="363" spans="1:20" x14ac:dyDescent="0.2">
      <c r="A363" t="s">
        <v>994</v>
      </c>
      <c r="R363">
        <v>60</v>
      </c>
      <c r="S363" t="str">
        <v>Blue</v>
      </c>
      <c r="T363">
        <v>4655</v>
      </c>
    </row>
    <row r="364" spans="1:20" x14ac:dyDescent="0.2">
      <c r="A364" t="s">
        <v>995</v>
      </c>
      <c r="R364">
        <v>60</v>
      </c>
      <c r="S364" t="str">
        <v>Blue</v>
      </c>
      <c r="T364">
        <v>7417</v>
      </c>
    </row>
    <row r="365" spans="1:20" x14ac:dyDescent="0.2">
      <c r="A365" t="s">
        <v>996</v>
      </c>
      <c r="R365">
        <v>61</v>
      </c>
      <c r="S365" t="str">
        <v>Red</v>
      </c>
      <c r="T365">
        <v>4143</v>
      </c>
    </row>
    <row r="366" spans="1:20" x14ac:dyDescent="0.2">
      <c r="A366" t="s">
        <v>997</v>
      </c>
      <c r="R366">
        <v>61</v>
      </c>
      <c r="S366" t="str">
        <v>Red</v>
      </c>
      <c r="T366">
        <v>4156</v>
      </c>
    </row>
    <row r="367" spans="1:20" x14ac:dyDescent="0.2">
      <c r="A367" t="s">
        <v>998</v>
      </c>
      <c r="R367">
        <v>61</v>
      </c>
      <c r="S367" t="str">
        <v>Red</v>
      </c>
      <c r="T367">
        <v>2861</v>
      </c>
    </row>
    <row r="368" spans="1:20" x14ac:dyDescent="0.2">
      <c r="A368" t="s">
        <v>999</v>
      </c>
      <c r="R368">
        <v>61</v>
      </c>
      <c r="S368" t="str">
        <v>Blue</v>
      </c>
      <c r="T368">
        <v>8096</v>
      </c>
    </row>
    <row r="369" spans="1:20" x14ac:dyDescent="0.2">
      <c r="A369" t="s">
        <v>1000</v>
      </c>
      <c r="R369">
        <v>61</v>
      </c>
      <c r="S369" t="str">
        <v>Blue</v>
      </c>
      <c r="T369">
        <v>8719</v>
      </c>
    </row>
    <row r="370" spans="1:20" x14ac:dyDescent="0.2">
      <c r="A370" t="s">
        <v>1001</v>
      </c>
      <c r="R370">
        <v>61</v>
      </c>
      <c r="S370" t="str">
        <v>Blue</v>
      </c>
      <c r="T370">
        <v>4423</v>
      </c>
    </row>
    <row r="371" spans="1:20" x14ac:dyDescent="0.2">
      <c r="A371" t="s">
        <v>1002</v>
      </c>
      <c r="R371">
        <v>62</v>
      </c>
      <c r="S371" t="str">
        <v>Red</v>
      </c>
      <c r="T371">
        <v>1756</v>
      </c>
    </row>
    <row r="372" spans="1:20" x14ac:dyDescent="0.2">
      <c r="A372" t="s">
        <v>1003</v>
      </c>
      <c r="R372">
        <v>62</v>
      </c>
      <c r="S372" t="str">
        <v>Red</v>
      </c>
      <c r="T372">
        <v>7472</v>
      </c>
    </row>
    <row r="373" spans="1:20" x14ac:dyDescent="0.2">
      <c r="A373" t="s">
        <v>1004</v>
      </c>
      <c r="R373">
        <v>62</v>
      </c>
      <c r="S373" t="str">
        <v>Red</v>
      </c>
      <c r="T373">
        <v>4213</v>
      </c>
    </row>
    <row r="374" spans="1:20" x14ac:dyDescent="0.2">
      <c r="A374" t="s">
        <v>1005</v>
      </c>
      <c r="R374">
        <v>62</v>
      </c>
      <c r="S374" t="str">
        <v>Blue</v>
      </c>
      <c r="T374">
        <v>4787</v>
      </c>
    </row>
    <row r="375" spans="1:20" x14ac:dyDescent="0.2">
      <c r="A375" t="s">
        <v>1006</v>
      </c>
      <c r="R375">
        <v>62</v>
      </c>
      <c r="S375" t="str">
        <v>Blue</v>
      </c>
      <c r="T375">
        <v>1625</v>
      </c>
    </row>
    <row r="376" spans="1:20" x14ac:dyDescent="0.2">
      <c r="A376" t="s">
        <v>1007</v>
      </c>
      <c r="R376">
        <v>62</v>
      </c>
      <c r="S376" t="str">
        <v>Blue</v>
      </c>
      <c r="T376">
        <v>648</v>
      </c>
    </row>
    <row r="377" spans="1:20" x14ac:dyDescent="0.2">
      <c r="A377" t="s">
        <v>1008</v>
      </c>
    </row>
    <row r="378" spans="1:20" x14ac:dyDescent="0.2">
      <c r="A378" t="s">
        <v>1009</v>
      </c>
    </row>
    <row r="379" spans="1:20" x14ac:dyDescent="0.2">
      <c r="A379" t="s">
        <v>1010</v>
      </c>
    </row>
    <row r="380" spans="1:20" x14ac:dyDescent="0.2">
      <c r="A380" t="s">
        <v>1011</v>
      </c>
    </row>
    <row r="381" spans="1:20" x14ac:dyDescent="0.2">
      <c r="A381" t="s">
        <v>1012</v>
      </c>
    </row>
    <row r="382" spans="1:20" x14ac:dyDescent="0.2">
      <c r="A382" t="s">
        <v>1013</v>
      </c>
    </row>
    <row r="383" spans="1:20" x14ac:dyDescent="0.2">
      <c r="A383" t="s">
        <v>1014</v>
      </c>
    </row>
    <row r="384" spans="1:20" x14ac:dyDescent="0.2">
      <c r="A384" t="s">
        <v>1015</v>
      </c>
    </row>
    <row r="385" spans="1:1" x14ac:dyDescent="0.2">
      <c r="A385" t="s">
        <v>1016</v>
      </c>
    </row>
    <row r="386" spans="1:1" x14ac:dyDescent="0.2">
      <c r="A386" t="s">
        <v>1017</v>
      </c>
    </row>
    <row r="387" spans="1:1" x14ac:dyDescent="0.2">
      <c r="A387" t="s">
        <v>1018</v>
      </c>
    </row>
    <row r="388" spans="1:1" x14ac:dyDescent="0.2">
      <c r="A388" t="s">
        <v>1019</v>
      </c>
    </row>
    <row r="389" spans="1:1" x14ac:dyDescent="0.2">
      <c r="A389" t="s">
        <v>1020</v>
      </c>
    </row>
    <row r="390" spans="1:1" x14ac:dyDescent="0.2">
      <c r="A390" t="s">
        <v>1021</v>
      </c>
    </row>
    <row r="391" spans="1:1" x14ac:dyDescent="0.2">
      <c r="A391" t="s">
        <v>1022</v>
      </c>
    </row>
    <row r="392" spans="1:1" x14ac:dyDescent="0.2">
      <c r="A392" t="s">
        <v>1023</v>
      </c>
    </row>
    <row r="393" spans="1:1" x14ac:dyDescent="0.2">
      <c r="A393" t="s">
        <v>1024</v>
      </c>
    </row>
    <row r="394" spans="1:1" x14ac:dyDescent="0.2">
      <c r="A394" t="s">
        <v>1025</v>
      </c>
    </row>
    <row r="395" spans="1:1" x14ac:dyDescent="0.2">
      <c r="A395" t="s">
        <v>1026</v>
      </c>
    </row>
    <row r="396" spans="1:1" x14ac:dyDescent="0.2">
      <c r="A396" t="s">
        <v>1027</v>
      </c>
    </row>
    <row r="397" spans="1:1" x14ac:dyDescent="0.2">
      <c r="A397" t="s">
        <v>1028</v>
      </c>
    </row>
    <row r="398" spans="1:1" x14ac:dyDescent="0.2">
      <c r="A398" t="s">
        <v>1029</v>
      </c>
    </row>
    <row r="399" spans="1:1" x14ac:dyDescent="0.2">
      <c r="A399" t="s">
        <v>1030</v>
      </c>
    </row>
    <row r="400" spans="1:1" x14ac:dyDescent="0.2">
      <c r="A400" t="s">
        <v>1031</v>
      </c>
    </row>
    <row r="401" spans="1:1" x14ac:dyDescent="0.2">
      <c r="A401" t="s">
        <v>1032</v>
      </c>
    </row>
    <row r="402" spans="1:1" x14ac:dyDescent="0.2">
      <c r="A402" t="s">
        <v>1033</v>
      </c>
    </row>
    <row r="403" spans="1:1" x14ac:dyDescent="0.2">
      <c r="A403" t="s">
        <v>1034</v>
      </c>
    </row>
    <row r="404" spans="1:1" x14ac:dyDescent="0.2">
      <c r="A404" t="s">
        <v>1035</v>
      </c>
    </row>
    <row r="405" spans="1:1" x14ac:dyDescent="0.2">
      <c r="A405" t="s">
        <v>1036</v>
      </c>
    </row>
    <row r="406" spans="1:1" x14ac:dyDescent="0.2">
      <c r="A406" t="s">
        <v>1037</v>
      </c>
    </row>
    <row r="407" spans="1:1" x14ac:dyDescent="0.2">
      <c r="A407" t="s">
        <v>1038</v>
      </c>
    </row>
    <row r="408" spans="1:1" x14ac:dyDescent="0.2">
      <c r="A408" t="s">
        <v>1039</v>
      </c>
    </row>
    <row r="409" spans="1:1" x14ac:dyDescent="0.2">
      <c r="A409" t="s">
        <v>1040</v>
      </c>
    </row>
    <row r="410" spans="1:1" x14ac:dyDescent="0.2">
      <c r="A410" t="s">
        <v>1041</v>
      </c>
    </row>
    <row r="411" spans="1:1" x14ac:dyDescent="0.2">
      <c r="A411" t="s">
        <v>1042</v>
      </c>
    </row>
    <row r="412" spans="1:1" x14ac:dyDescent="0.2">
      <c r="A412" t="s">
        <v>1043</v>
      </c>
    </row>
    <row r="413" spans="1:1" x14ac:dyDescent="0.2">
      <c r="A413" t="s">
        <v>1044</v>
      </c>
    </row>
    <row r="414" spans="1:1" x14ac:dyDescent="0.2">
      <c r="A414" t="s">
        <v>1045</v>
      </c>
    </row>
    <row r="415" spans="1:1" x14ac:dyDescent="0.2">
      <c r="A415" t="s">
        <v>1046</v>
      </c>
    </row>
    <row r="416" spans="1:1" x14ac:dyDescent="0.2">
      <c r="A416" t="s">
        <v>1047</v>
      </c>
    </row>
    <row r="417" spans="1:1" x14ac:dyDescent="0.2">
      <c r="A417" t="s">
        <v>1048</v>
      </c>
    </row>
    <row r="418" spans="1:1" x14ac:dyDescent="0.2">
      <c r="A418" t="s">
        <v>1049</v>
      </c>
    </row>
    <row r="419" spans="1:1" x14ac:dyDescent="0.2">
      <c r="A419" t="s">
        <v>1050</v>
      </c>
    </row>
    <row r="420" spans="1:1" x14ac:dyDescent="0.2">
      <c r="A420" t="s">
        <v>1051</v>
      </c>
    </row>
    <row r="421" spans="1:1" x14ac:dyDescent="0.2">
      <c r="A421" t="s">
        <v>1052</v>
      </c>
    </row>
    <row r="422" spans="1:1" x14ac:dyDescent="0.2">
      <c r="A422" t="s">
        <v>1053</v>
      </c>
    </row>
    <row r="423" spans="1:1" x14ac:dyDescent="0.2">
      <c r="A423" t="s">
        <v>1054</v>
      </c>
    </row>
    <row r="424" spans="1:1" x14ac:dyDescent="0.2">
      <c r="A424" t="s">
        <v>1055</v>
      </c>
    </row>
    <row r="425" spans="1:1" x14ac:dyDescent="0.2">
      <c r="A425" t="s">
        <v>1056</v>
      </c>
    </row>
    <row r="426" spans="1:1" x14ac:dyDescent="0.2">
      <c r="A426" t="s">
        <v>1057</v>
      </c>
    </row>
    <row r="427" spans="1:1" x14ac:dyDescent="0.2">
      <c r="A427" t="s">
        <v>1058</v>
      </c>
    </row>
    <row r="428" spans="1:1" x14ac:dyDescent="0.2">
      <c r="A428" t="s">
        <v>1059</v>
      </c>
    </row>
    <row r="429" spans="1:1" x14ac:dyDescent="0.2">
      <c r="A429" t="s">
        <v>1060</v>
      </c>
    </row>
    <row r="430" spans="1:1" x14ac:dyDescent="0.2">
      <c r="A430" t="s">
        <v>1061</v>
      </c>
    </row>
    <row r="431" spans="1:1" x14ac:dyDescent="0.2">
      <c r="A431" t="s">
        <v>1062</v>
      </c>
    </row>
    <row r="432" spans="1:1" x14ac:dyDescent="0.2">
      <c r="A432" t="s">
        <v>1063</v>
      </c>
    </row>
    <row r="433" spans="1:1" x14ac:dyDescent="0.2">
      <c r="A433" t="s">
        <v>1064</v>
      </c>
    </row>
    <row r="434" spans="1:1" x14ac:dyDescent="0.2">
      <c r="A434" t="s">
        <v>1065</v>
      </c>
    </row>
    <row r="435" spans="1:1" x14ac:dyDescent="0.2">
      <c r="A435" t="s">
        <v>1066</v>
      </c>
    </row>
    <row r="436" spans="1:1" x14ac:dyDescent="0.2">
      <c r="A436" t="s">
        <v>1067</v>
      </c>
    </row>
    <row r="437" spans="1:1" x14ac:dyDescent="0.2">
      <c r="A437" t="s">
        <v>1068</v>
      </c>
    </row>
    <row r="438" spans="1:1" x14ac:dyDescent="0.2">
      <c r="A438" t="s">
        <v>1069</v>
      </c>
    </row>
    <row r="439" spans="1:1" x14ac:dyDescent="0.2">
      <c r="A439" t="s">
        <v>1070</v>
      </c>
    </row>
    <row r="440" spans="1:1" x14ac:dyDescent="0.2">
      <c r="A440" t="s">
        <v>1071</v>
      </c>
    </row>
    <row r="441" spans="1:1" x14ac:dyDescent="0.2">
      <c r="A441" t="s">
        <v>1072</v>
      </c>
    </row>
    <row r="442" spans="1:1" x14ac:dyDescent="0.2">
      <c r="A442" t="s">
        <v>1073</v>
      </c>
    </row>
    <row r="443" spans="1:1" x14ac:dyDescent="0.2">
      <c r="A443" t="s">
        <v>1074</v>
      </c>
    </row>
    <row r="444" spans="1:1" x14ac:dyDescent="0.2">
      <c r="A444" t="s">
        <v>1075</v>
      </c>
    </row>
    <row r="445" spans="1:1" x14ac:dyDescent="0.2">
      <c r="A445" t="s">
        <v>1076</v>
      </c>
    </row>
    <row r="446" spans="1:1" x14ac:dyDescent="0.2">
      <c r="A446" t="s">
        <v>1077</v>
      </c>
    </row>
    <row r="447" spans="1:1" x14ac:dyDescent="0.2">
      <c r="A447" t="s">
        <v>1078</v>
      </c>
    </row>
    <row r="448" spans="1:1" x14ac:dyDescent="0.2">
      <c r="A448" t="s">
        <v>1079</v>
      </c>
    </row>
    <row r="449" spans="1:1" x14ac:dyDescent="0.2">
      <c r="A449" t="s">
        <v>1080</v>
      </c>
    </row>
    <row r="450" spans="1:1" x14ac:dyDescent="0.2">
      <c r="A450" t="s">
        <v>1081</v>
      </c>
    </row>
    <row r="451" spans="1:1" x14ac:dyDescent="0.2">
      <c r="A451" t="s">
        <v>1082</v>
      </c>
    </row>
    <row r="452" spans="1:1" x14ac:dyDescent="0.2">
      <c r="A452" t="s">
        <v>1083</v>
      </c>
    </row>
    <row r="453" spans="1:1" x14ac:dyDescent="0.2">
      <c r="A453" t="s">
        <v>1084</v>
      </c>
    </row>
    <row r="454" spans="1:1" x14ac:dyDescent="0.2">
      <c r="A454" t="s">
        <v>1085</v>
      </c>
    </row>
    <row r="455" spans="1:1" x14ac:dyDescent="0.2">
      <c r="A455" t="s">
        <v>1086</v>
      </c>
    </row>
    <row r="456" spans="1:1" x14ac:dyDescent="0.2">
      <c r="A456" t="s">
        <v>1087</v>
      </c>
    </row>
    <row r="457" spans="1:1" x14ac:dyDescent="0.2">
      <c r="A457" t="s">
        <v>1088</v>
      </c>
    </row>
    <row r="458" spans="1:1" x14ac:dyDescent="0.2">
      <c r="A458" t="s">
        <v>1089</v>
      </c>
    </row>
    <row r="459" spans="1:1" x14ac:dyDescent="0.2">
      <c r="A459" t="s">
        <v>1090</v>
      </c>
    </row>
    <row r="460" spans="1:1" x14ac:dyDescent="0.2">
      <c r="A460" t="s">
        <v>1091</v>
      </c>
    </row>
    <row r="461" spans="1:1" x14ac:dyDescent="0.2">
      <c r="A461" t="s">
        <v>1092</v>
      </c>
    </row>
    <row r="462" spans="1:1" x14ac:dyDescent="0.2">
      <c r="A462" t="s">
        <v>1093</v>
      </c>
    </row>
    <row r="463" spans="1:1" x14ac:dyDescent="0.2">
      <c r="A463" t="s">
        <v>1094</v>
      </c>
    </row>
    <row r="464" spans="1:1" x14ac:dyDescent="0.2">
      <c r="A464" t="s">
        <v>1095</v>
      </c>
    </row>
    <row r="465" spans="1:1" x14ac:dyDescent="0.2">
      <c r="A465" t="s">
        <v>1096</v>
      </c>
    </row>
    <row r="466" spans="1:1" x14ac:dyDescent="0.2">
      <c r="A466" t="s">
        <v>1097</v>
      </c>
    </row>
    <row r="467" spans="1:1" x14ac:dyDescent="0.2">
      <c r="A467" t="s">
        <v>1098</v>
      </c>
    </row>
    <row r="468" spans="1:1" x14ac:dyDescent="0.2">
      <c r="A468" t="s">
        <v>1099</v>
      </c>
    </row>
    <row r="469" spans="1:1" x14ac:dyDescent="0.2">
      <c r="A469" t="s">
        <v>1100</v>
      </c>
    </row>
    <row r="470" spans="1:1" x14ac:dyDescent="0.2">
      <c r="A470" t="s">
        <v>1101</v>
      </c>
    </row>
    <row r="471" spans="1:1" x14ac:dyDescent="0.2">
      <c r="A471" t="s">
        <v>1102</v>
      </c>
    </row>
    <row r="472" spans="1:1" x14ac:dyDescent="0.2">
      <c r="A472" t="s">
        <v>1103</v>
      </c>
    </row>
    <row r="473" spans="1:1" x14ac:dyDescent="0.2">
      <c r="A473" t="s">
        <v>1104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FB87A-E3D5-4673-A30E-E9B7BE200E0B}">
  <dimension ref="A1:S36"/>
  <sheetViews>
    <sheetView workbookViewId="0"/>
  </sheetViews>
  <sheetFormatPr defaultRowHeight="12.75" x14ac:dyDescent="0.2"/>
  <cols>
    <col min="1" max="1" width="62.7109375" customWidth="1"/>
    <col min="10" max="10" width="3.7109375" customWidth="1"/>
    <col min="18" max="18" width="10.7109375" customWidth="1"/>
    <col min="19" max="19" width="36.7109375" customWidth="1"/>
  </cols>
  <sheetData>
    <row r="1" spans="1:19" ht="27.95" customHeight="1" x14ac:dyDescent="0.3">
      <c r="A1" s="2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">
      <c r="A2" s="4" t="s">
        <v>15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">
      <c r="R3" s="7" t="s">
        <v>10</v>
      </c>
    </row>
    <row r="4" spans="1:19" x14ac:dyDescent="0.2">
      <c r="A4" s="5" t="s">
        <v>16</v>
      </c>
      <c r="J4" s="5" t="s">
        <v>17</v>
      </c>
      <c r="R4" s="8" t="s">
        <v>13</v>
      </c>
      <c r="S4" s="8" t="s">
        <v>21</v>
      </c>
    </row>
    <row r="5" spans="1:19" x14ac:dyDescent="0.2">
      <c r="A5" s="6" t="s">
        <v>1105</v>
      </c>
      <c r="J5" t="s">
        <v>4</v>
      </c>
      <c r="R5" cm="1">
        <f t="array" ref="R5:S35">_xlfn.LET(_xlpm.src,A1:F1000,_xlpm.a,INDEX(_xlpm.src,,1),_xlpm.b,INDEX(_xlpm.src,,2),_xlpm.split,_xlpm.b&lt;&gt;"",_xlpm.num,IFERROR(--IF(_xlpm.split,_xlpm.a,_xlfn.TEXTBEFORE(_xlpm.a&amp;",",",")),""),_xlpm.rest,IFERROR(_xlfn.TEXTAFTER(_xlpm.a,","),""),_xlpm.name,IF(_xlpm.split,_xlpm.b,IF(LEFT(_xlpm.rest,1)="""",IFERROR(_xlfn.TEXTBEFORE(MID(_xlpm.rest,2,500),""""),""),IFERROR(_xlfn.TEXTBEFORE(_xlpm.rest&amp;",",","),""))),IFERROR(_xlfn._xlws.FILTER(_xlfn.HSTACK(_xlpm.num,_xlpm.name),ISNUMBER(_xlpm.num)),_xlfn.HSTACK("","")))</f>
        <v>648</v>
      </c>
      <c r="S5" t="str">
        <v>QC ELITE  Flaming Squirrels</v>
      </c>
    </row>
    <row r="6" spans="1:19" x14ac:dyDescent="0.2">
      <c r="A6" t="s">
        <v>1106</v>
      </c>
      <c r="J6" t="s">
        <v>18</v>
      </c>
      <c r="R6">
        <v>1625</v>
      </c>
      <c r="S6" t="str">
        <v>Winnovation</v>
      </c>
    </row>
    <row r="7" spans="1:19" x14ac:dyDescent="0.2">
      <c r="A7" t="s">
        <v>1107</v>
      </c>
      <c r="J7" t="s">
        <v>6</v>
      </c>
      <c r="R7">
        <v>1736</v>
      </c>
      <c r="S7" t="str">
        <v>Robot Casserole</v>
      </c>
    </row>
    <row r="8" spans="1:19" x14ac:dyDescent="0.2">
      <c r="A8" t="s">
        <v>1108</v>
      </c>
      <c r="J8" t="s">
        <v>19</v>
      </c>
      <c r="R8">
        <v>1756</v>
      </c>
      <c r="S8" t="str">
        <v>Argos</v>
      </c>
    </row>
    <row r="9" spans="1:19" x14ac:dyDescent="0.2">
      <c r="A9" t="s">
        <v>1109</v>
      </c>
      <c r="J9" t="s">
        <v>20</v>
      </c>
      <c r="R9">
        <v>2022</v>
      </c>
      <c r="S9" t="str">
        <v>Titan Robotics</v>
      </c>
    </row>
    <row r="10" spans="1:19" x14ac:dyDescent="0.2">
      <c r="A10" t="s">
        <v>1110</v>
      </c>
      <c r="R10">
        <v>2039</v>
      </c>
      <c r="S10" t="str">
        <v>Rockford Robotics</v>
      </c>
    </row>
    <row r="11" spans="1:19" x14ac:dyDescent="0.2">
      <c r="A11" t="s">
        <v>1111</v>
      </c>
      <c r="R11">
        <v>2040</v>
      </c>
      <c r="S11" t="str">
        <v>DERT - Dunlap Eagles Robotics Team</v>
      </c>
    </row>
    <row r="12" spans="1:19" x14ac:dyDescent="0.2">
      <c r="A12" t="s">
        <v>1112</v>
      </c>
      <c r="R12">
        <v>2481</v>
      </c>
      <c r="S12" t="str">
        <v>Roboteers</v>
      </c>
    </row>
    <row r="13" spans="1:19" x14ac:dyDescent="0.2">
      <c r="A13" t="s">
        <v>1113</v>
      </c>
      <c r="R13">
        <v>2861</v>
      </c>
      <c r="S13" t="str">
        <v>Infinity's End</v>
      </c>
    </row>
    <row r="14" spans="1:19" x14ac:dyDescent="0.2">
      <c r="A14" t="s">
        <v>1114</v>
      </c>
      <c r="R14">
        <v>3067</v>
      </c>
      <c r="S14" t="str">
        <v>Robovikes</v>
      </c>
    </row>
    <row r="15" spans="1:19" x14ac:dyDescent="0.2">
      <c r="A15" t="s">
        <v>1115</v>
      </c>
      <c r="R15">
        <v>3284</v>
      </c>
      <c r="S15" t="str">
        <v>Camdenton  LASER 3284</v>
      </c>
    </row>
    <row r="16" spans="1:19" x14ac:dyDescent="0.2">
      <c r="A16" t="s">
        <v>1116</v>
      </c>
      <c r="R16">
        <v>3488</v>
      </c>
      <c r="S16" t="str">
        <v>Eagle Army 3488</v>
      </c>
    </row>
    <row r="17" spans="1:19" x14ac:dyDescent="0.2">
      <c r="A17" t="s">
        <v>1117</v>
      </c>
      <c r="R17">
        <v>4096</v>
      </c>
      <c r="S17" t="str">
        <v>Ctrl-Z</v>
      </c>
    </row>
    <row r="18" spans="1:19" x14ac:dyDescent="0.2">
      <c r="A18" t="s">
        <v>1118</v>
      </c>
      <c r="R18">
        <v>4143</v>
      </c>
      <c r="S18" t="str">
        <v>MARS/WARS</v>
      </c>
    </row>
    <row r="19" spans="1:19" x14ac:dyDescent="0.2">
      <c r="A19" t="s">
        <v>1119</v>
      </c>
      <c r="R19">
        <v>4156</v>
      </c>
      <c r="S19" t="str">
        <v>Ninjaneers</v>
      </c>
    </row>
    <row r="20" spans="1:19" x14ac:dyDescent="0.2">
      <c r="A20" t="s">
        <v>1120</v>
      </c>
      <c r="R20">
        <v>4213</v>
      </c>
      <c r="S20" t="str">
        <v>MetalCow Robotics</v>
      </c>
    </row>
    <row r="21" spans="1:19" x14ac:dyDescent="0.2">
      <c r="A21" t="s">
        <v>1121</v>
      </c>
      <c r="R21">
        <v>4423</v>
      </c>
      <c r="S21" t="str">
        <v>MARS' Minions</v>
      </c>
    </row>
    <row r="22" spans="1:19" x14ac:dyDescent="0.2">
      <c r="A22" t="s">
        <v>1122</v>
      </c>
      <c r="R22">
        <v>4645</v>
      </c>
      <c r="S22" t="str">
        <v>The Chicago Style BotDogs</v>
      </c>
    </row>
    <row r="23" spans="1:19" x14ac:dyDescent="0.2">
      <c r="A23" t="s">
        <v>1123</v>
      </c>
      <c r="R23">
        <v>4655</v>
      </c>
      <c r="S23" t="str">
        <v>Stateline Robotics</v>
      </c>
    </row>
    <row r="24" spans="1:19" x14ac:dyDescent="0.2">
      <c r="A24" t="s">
        <v>1124</v>
      </c>
      <c r="R24">
        <v>4787</v>
      </c>
      <c r="S24" t="str">
        <v>Axiom</v>
      </c>
    </row>
    <row r="25" spans="1:19" x14ac:dyDescent="0.2">
      <c r="A25" t="s">
        <v>1125</v>
      </c>
      <c r="R25">
        <v>5442</v>
      </c>
      <c r="S25" t="str">
        <v>Mechanical Monarchy</v>
      </c>
    </row>
    <row r="26" spans="1:19" x14ac:dyDescent="0.2">
      <c r="A26" t="s">
        <v>1126</v>
      </c>
      <c r="R26">
        <v>6237</v>
      </c>
      <c r="S26" t="str">
        <v>Martin Motion</v>
      </c>
    </row>
    <row r="27" spans="1:19" x14ac:dyDescent="0.2">
      <c r="A27" t="s">
        <v>1127</v>
      </c>
      <c r="R27">
        <v>6651</v>
      </c>
      <c r="S27" t="str">
        <v>Golden Bots</v>
      </c>
    </row>
    <row r="28" spans="1:19" x14ac:dyDescent="0.2">
      <c r="A28" t="s">
        <v>1128</v>
      </c>
      <c r="R28">
        <v>7417</v>
      </c>
      <c r="S28" t="str">
        <v>Bionic Bombers</v>
      </c>
    </row>
    <row r="29" spans="1:19" x14ac:dyDescent="0.2">
      <c r="A29" t="s">
        <v>1129</v>
      </c>
      <c r="R29">
        <v>7472</v>
      </c>
      <c r="S29" t="str">
        <v>R2JESU Robotics</v>
      </c>
    </row>
    <row r="30" spans="1:19" x14ac:dyDescent="0.2">
      <c r="A30" t="s">
        <v>1130</v>
      </c>
      <c r="R30">
        <v>7848</v>
      </c>
      <c r="S30" t="str">
        <v>WI-FIghterz</v>
      </c>
    </row>
    <row r="31" spans="1:19" x14ac:dyDescent="0.2">
      <c r="A31" t="s">
        <v>1131</v>
      </c>
      <c r="R31">
        <v>8020</v>
      </c>
      <c r="S31" t="str">
        <v>CyberpunK</v>
      </c>
    </row>
    <row r="32" spans="1:19" x14ac:dyDescent="0.2">
      <c r="A32" t="s">
        <v>1132</v>
      </c>
      <c r="R32">
        <v>8029</v>
      </c>
      <c r="S32" t="str">
        <v>Steel Bronco Robotics</v>
      </c>
    </row>
    <row r="33" spans="1:19" x14ac:dyDescent="0.2">
      <c r="A33" t="s">
        <v>1133</v>
      </c>
      <c r="R33">
        <v>8096</v>
      </c>
      <c r="S33" t="str">
        <v>Cache Money</v>
      </c>
    </row>
    <row r="34" spans="1:19" x14ac:dyDescent="0.2">
      <c r="A34" t="s">
        <v>1134</v>
      </c>
      <c r="R34">
        <v>8719</v>
      </c>
      <c r="S34" t="str">
        <v>Oakville Dynamics</v>
      </c>
    </row>
    <row r="35" spans="1:19" x14ac:dyDescent="0.2">
      <c r="A35" t="s">
        <v>1135</v>
      </c>
      <c r="R35">
        <v>9082</v>
      </c>
      <c r="S35" t="str">
        <v>No Limit</v>
      </c>
    </row>
    <row r="36" spans="1:19" x14ac:dyDescent="0.2">
      <c r="A36" t="s">
        <v>1136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Scans</vt:lpstr>
      <vt:lpstr>Team Summary</vt:lpstr>
      <vt:lpstr>Team Lookup</vt:lpstr>
      <vt:lpstr>Scouting Check</vt:lpstr>
      <vt:lpstr>TBA Schedule</vt:lpstr>
      <vt:lpstr>TBA 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Dahlin</dc:creator>
  <cp:lastModifiedBy>Johan Dahlin</cp:lastModifiedBy>
  <dcterms:created xsi:type="dcterms:W3CDTF">2026-10-23T13:59:53Z</dcterms:created>
  <dcterms:modified xsi:type="dcterms:W3CDTF">2026-10-23T13:59:59Z</dcterms:modified>
</cp:coreProperties>
</file>